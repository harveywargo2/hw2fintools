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75D9EE53-5E36-1943-B080-E7DF8C2B5C8E}" xr6:coauthVersionLast="47" xr6:coauthVersionMax="47" xr10:uidLastSave="{00000000-0000-0000-0000-000000000000}"/>
  <bookViews>
    <workbookView xWindow="1700" yWindow="-21000" windowWidth="34560" windowHeight="2100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1" l="1" a="1"/>
  <c r="B102" i="1" s="1"/>
  <c r="H102" i="1" a="1"/>
  <c r="H102" i="1" s="1"/>
  <c r="I102" i="1" a="1"/>
  <c r="I102" i="1" s="1"/>
  <c r="J102" i="1" a="1"/>
  <c r="J102" i="1" s="1"/>
  <c r="K102" i="1" a="1"/>
  <c r="K102" i="1" s="1"/>
  <c r="N102" i="1" a="1"/>
  <c r="N102" i="1" s="1"/>
  <c r="B97" i="1" a="1"/>
  <c r="B97" i="1" s="1"/>
  <c r="H97" i="1" a="1"/>
  <c r="H97" i="1" s="1"/>
  <c r="I97" i="1" a="1"/>
  <c r="I97" i="1" s="1"/>
  <c r="J97" i="1" a="1"/>
  <c r="J97" i="1" s="1"/>
  <c r="K97" i="1" a="1"/>
  <c r="K97" i="1" s="1"/>
  <c r="N97" i="1" a="1"/>
  <c r="N97" i="1" s="1"/>
  <c r="B49" i="1" a="1"/>
  <c r="B49" i="1" s="1"/>
  <c r="H49" i="1" a="1"/>
  <c r="H49" i="1" s="1"/>
  <c r="I49" i="1" a="1"/>
  <c r="I49" i="1" s="1"/>
  <c r="J49" i="1" a="1"/>
  <c r="J49" i="1" s="1"/>
  <c r="K49" i="1" a="1"/>
  <c r="K49" i="1" s="1"/>
  <c r="N49" i="1" a="1"/>
  <c r="N49" i="1" s="1"/>
  <c r="B60" i="1" a="1"/>
  <c r="B60" i="1" s="1"/>
  <c r="H60" i="1" a="1"/>
  <c r="H60" i="1" s="1"/>
  <c r="I60" i="1" a="1"/>
  <c r="I60" i="1" s="1"/>
  <c r="J60" i="1" a="1"/>
  <c r="J60" i="1" s="1"/>
  <c r="K60" i="1" a="1"/>
  <c r="K60" i="1" s="1"/>
  <c r="N60" i="1" a="1"/>
  <c r="N60" i="1" s="1"/>
  <c r="B76" i="1" a="1"/>
  <c r="B76" i="1" s="1"/>
  <c r="H76" i="1" a="1"/>
  <c r="H76" i="1" s="1"/>
  <c r="I76" i="1" a="1"/>
  <c r="I76" i="1" s="1"/>
  <c r="J76" i="1" a="1"/>
  <c r="J76" i="1" s="1"/>
  <c r="K76" i="1" a="1"/>
  <c r="K76" i="1" s="1"/>
  <c r="N76" i="1" a="1"/>
  <c r="N76" i="1" s="1"/>
  <c r="B75" i="1" a="1"/>
  <c r="B75" i="1" s="1"/>
  <c r="H75" i="1" a="1"/>
  <c r="H75" i="1" s="1"/>
  <c r="I75" i="1" a="1"/>
  <c r="I75" i="1" s="1"/>
  <c r="J75" i="1" a="1"/>
  <c r="J75" i="1" s="1"/>
  <c r="K75" i="1" a="1"/>
  <c r="K75" i="1" s="1"/>
  <c r="N75" i="1" a="1"/>
  <c r="N75" i="1" s="1"/>
  <c r="B78" i="1" a="1"/>
  <c r="B78" i="1" s="1"/>
  <c r="H78" i="1" a="1"/>
  <c r="H78" i="1" s="1"/>
  <c r="I78" i="1" a="1"/>
  <c r="I78" i="1" s="1"/>
  <c r="J78" i="1" a="1"/>
  <c r="J78" i="1" s="1"/>
  <c r="K78" i="1" a="1"/>
  <c r="K78" i="1" s="1"/>
  <c r="N78" i="1" a="1"/>
  <c r="N78" i="1" s="1"/>
  <c r="B89" i="1" a="1"/>
  <c r="B89" i="1" s="1"/>
  <c r="H89" i="1" a="1"/>
  <c r="H89" i="1" s="1"/>
  <c r="I89" i="1" a="1"/>
  <c r="I89" i="1" s="1"/>
  <c r="J89" i="1" a="1"/>
  <c r="J89" i="1" s="1"/>
  <c r="K89" i="1" a="1"/>
  <c r="K89" i="1" s="1"/>
  <c r="N89" i="1" a="1"/>
  <c r="N89"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1" i="1" a="1"/>
  <c r="K31" i="1" s="1"/>
  <c r="K32" i="1" a="1"/>
  <c r="K32" i="1" s="1"/>
  <c r="K33" i="1" a="1"/>
  <c r="K33" i="1" s="1"/>
  <c r="K34" i="1" a="1"/>
  <c r="K34" i="1" s="1"/>
  <c r="K35" i="1" a="1"/>
  <c r="K35"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50" i="1" a="1"/>
  <c r="K50" i="1" s="1"/>
  <c r="K51" i="1" a="1"/>
  <c r="K51" i="1" s="1"/>
  <c r="K52" i="1" a="1"/>
  <c r="K52" i="1" s="1"/>
  <c r="K53" i="1" a="1"/>
  <c r="K53" i="1" s="1"/>
  <c r="K54" i="1" a="1"/>
  <c r="K54" i="1" s="1"/>
  <c r="K55" i="1" a="1"/>
  <c r="K55" i="1" s="1"/>
  <c r="K56" i="1" a="1"/>
  <c r="K56" i="1" s="1"/>
  <c r="K57" i="1" a="1"/>
  <c r="K57" i="1" s="1"/>
  <c r="K58" i="1" a="1"/>
  <c r="K58" i="1" s="1"/>
  <c r="K59" i="1" a="1"/>
  <c r="K59"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7" i="1" a="1"/>
  <c r="K77" i="1" s="1"/>
  <c r="K79" i="1" a="1"/>
  <c r="K79" i="1" s="1"/>
  <c r="K80" i="1" a="1"/>
  <c r="K80" i="1" s="1"/>
  <c r="K81" i="1" a="1"/>
  <c r="K81" i="1" s="1"/>
  <c r="K82" i="1" a="1"/>
  <c r="K82" i="1" s="1"/>
  <c r="K83" i="1" a="1"/>
  <c r="K83" i="1" s="1"/>
  <c r="K84" i="1" a="1"/>
  <c r="K84" i="1" s="1"/>
  <c r="K85" i="1" a="1"/>
  <c r="K85" i="1" s="1"/>
  <c r="K86" i="1" a="1"/>
  <c r="K86" i="1" s="1"/>
  <c r="K87" i="1" a="1"/>
  <c r="K87" i="1" s="1"/>
  <c r="K88" i="1" a="1"/>
  <c r="K88" i="1" s="1"/>
  <c r="K90" i="1" a="1"/>
  <c r="K90" i="1" s="1"/>
  <c r="K91" i="1" a="1"/>
  <c r="K91" i="1" s="1"/>
  <c r="K92" i="1" a="1"/>
  <c r="K92" i="1" s="1"/>
  <c r="K93" i="1" a="1"/>
  <c r="K93" i="1" s="1"/>
  <c r="K94" i="1" a="1"/>
  <c r="K94" i="1" s="1"/>
  <c r="K95" i="1" a="1"/>
  <c r="K95" i="1" s="1"/>
  <c r="K96" i="1" a="1"/>
  <c r="K96" i="1" s="1"/>
  <c r="K98" i="1" a="1"/>
  <c r="K98" i="1" s="1"/>
  <c r="K99" i="1" a="1"/>
  <c r="K99" i="1" s="1"/>
  <c r="K100" i="1" a="1"/>
  <c r="K100" i="1" s="1"/>
  <c r="K101" i="1" a="1"/>
  <c r="K101" i="1" s="1"/>
  <c r="K30" i="1" a="1"/>
  <c r="K30" i="1" s="1"/>
  <c r="K36" i="1" a="1"/>
  <c r="K36" i="1" s="1"/>
  <c r="K48" i="1" a="1"/>
  <c r="K48" i="1" s="1"/>
  <c r="K2" i="1" a="1"/>
  <c r="K2" i="1" s="1"/>
  <c r="B48" i="1" a="1"/>
  <c r="B48" i="1" s="1"/>
  <c r="H48" i="1" a="1"/>
  <c r="H48" i="1" s="1"/>
  <c r="I48" i="1" a="1"/>
  <c r="I48" i="1" s="1"/>
  <c r="J48" i="1" a="1"/>
  <c r="J48" i="1" s="1"/>
  <c r="N48" i="1" a="1"/>
  <c r="N48" i="1" s="1"/>
  <c r="B36" i="1" a="1"/>
  <c r="B36" i="1" s="1"/>
  <c r="H36" i="1" a="1"/>
  <c r="H36" i="1" s="1"/>
  <c r="I36" i="1" a="1"/>
  <c r="I36" i="1" s="1"/>
  <c r="J36" i="1" a="1"/>
  <c r="J36" i="1" s="1"/>
  <c r="N36" i="1" a="1"/>
  <c r="N36" i="1" s="1"/>
  <c r="B30" i="1" a="1"/>
  <c r="B30" i="1" s="1"/>
  <c r="H30" i="1" a="1"/>
  <c r="H30" i="1" s="1"/>
  <c r="I30" i="1" a="1"/>
  <c r="I30" i="1" s="1"/>
  <c r="J30" i="1" a="1"/>
  <c r="J30" i="1" s="1"/>
  <c r="N30" i="1" a="1"/>
  <c r="N30" i="1" s="1"/>
  <c r="B99" i="1" a="1"/>
  <c r="B99" i="1" s="1"/>
  <c r="H99" i="1" a="1"/>
  <c r="H99" i="1" s="1"/>
  <c r="I99" i="1" a="1"/>
  <c r="I99" i="1" s="1"/>
  <c r="J99" i="1" a="1"/>
  <c r="J99" i="1" s="1"/>
  <c r="N99" i="1" a="1"/>
  <c r="N99" i="1" s="1"/>
  <c r="B74" i="1" a="1"/>
  <c r="B74" i="1" s="1"/>
  <c r="H74" i="1" a="1"/>
  <c r="H74" i="1" s="1"/>
  <c r="I74" i="1" a="1"/>
  <c r="I74" i="1" s="1"/>
  <c r="J74" i="1" a="1"/>
  <c r="J74" i="1" s="1"/>
  <c r="N74" i="1" a="1"/>
  <c r="N74" i="1" s="1"/>
  <c r="B18" i="1" a="1"/>
  <c r="B18" i="1" s="1"/>
  <c r="H18" i="1" a="1"/>
  <c r="H18" i="1" s="1"/>
  <c r="I18" i="1" a="1"/>
  <c r="I18" i="1" s="1"/>
  <c r="J18" i="1" a="1"/>
  <c r="J18" i="1" s="1"/>
  <c r="N18" i="1" a="1"/>
  <c r="N18" i="1" s="1"/>
  <c r="B7" i="1" a="1"/>
  <c r="B7" i="1" s="1"/>
  <c r="H7" i="1" a="1"/>
  <c r="H7" i="1" s="1"/>
  <c r="I7" i="1" a="1"/>
  <c r="I7" i="1" s="1"/>
  <c r="J7" i="1" a="1"/>
  <c r="J7" i="1" s="1"/>
  <c r="N7" i="1" a="1"/>
  <c r="N7" i="1" s="1"/>
  <c r="B90" i="1" a="1"/>
  <c r="B90" i="1" s="1"/>
  <c r="H90" i="1" a="1"/>
  <c r="H90" i="1" s="1"/>
  <c r="I90" i="1" a="1"/>
  <c r="I90" i="1" s="1"/>
  <c r="J90" i="1" a="1"/>
  <c r="J90" i="1" s="1"/>
  <c r="N90" i="1" a="1"/>
  <c r="N90" i="1" s="1"/>
  <c r="B85" i="1" a="1"/>
  <c r="B85" i="1" s="1"/>
  <c r="H85" i="1" a="1"/>
  <c r="H85" i="1" s="1"/>
  <c r="I85" i="1" a="1"/>
  <c r="I85" i="1" s="1"/>
  <c r="J85" i="1" a="1"/>
  <c r="J85" i="1" s="1"/>
  <c r="N85" i="1" a="1"/>
  <c r="N85" i="1" s="1"/>
  <c r="B12" i="1" a="1"/>
  <c r="B12" i="1" s="1"/>
  <c r="H12" i="1" a="1"/>
  <c r="H12" i="1" s="1"/>
  <c r="I12" i="1" a="1"/>
  <c r="I12" i="1" s="1"/>
  <c r="J12" i="1" a="1"/>
  <c r="J12" i="1" s="1"/>
  <c r="N12" i="1" a="1"/>
  <c r="N12" i="1" s="1"/>
  <c r="B61" i="1" a="1"/>
  <c r="B61" i="1" s="1"/>
  <c r="H61" i="1" a="1"/>
  <c r="H61" i="1" s="1"/>
  <c r="I61" i="1" a="1"/>
  <c r="I61" i="1" s="1"/>
  <c r="J61" i="1" a="1"/>
  <c r="J61" i="1" s="1"/>
  <c r="N61" i="1" a="1"/>
  <c r="N61" i="1" s="1"/>
  <c r="B101" i="1" a="1"/>
  <c r="B101" i="1" s="1"/>
  <c r="H101" i="1" a="1"/>
  <c r="H101" i="1" s="1"/>
  <c r="I101" i="1" a="1"/>
  <c r="I101" i="1" s="1"/>
  <c r="J101" i="1" a="1"/>
  <c r="J101" i="1" s="1"/>
  <c r="N101" i="1" a="1"/>
  <c r="N101" i="1" s="1"/>
  <c r="B67" i="1" a="1"/>
  <c r="B67" i="1" s="1"/>
  <c r="H67" i="1" a="1"/>
  <c r="H67" i="1" s="1"/>
  <c r="I67" i="1" a="1"/>
  <c r="I67" i="1" s="1"/>
  <c r="J67" i="1" a="1"/>
  <c r="J67" i="1" s="1"/>
  <c r="N67" i="1" a="1"/>
  <c r="N67" i="1" s="1"/>
  <c r="B6" i="1" a="1"/>
  <c r="B6" i="1" s="1"/>
  <c r="H6" i="1" a="1"/>
  <c r="H6" i="1" s="1"/>
  <c r="I6" i="1" a="1"/>
  <c r="I6" i="1" s="1"/>
  <c r="J6" i="1" a="1"/>
  <c r="J6" i="1" s="1"/>
  <c r="N6" i="1" a="1"/>
  <c r="N6" i="1" s="1"/>
  <c r="B65" i="1" a="1"/>
  <c r="B65" i="1" s="1"/>
  <c r="H65" i="1" a="1"/>
  <c r="H65" i="1" s="1"/>
  <c r="I65" i="1" a="1"/>
  <c r="I65" i="1" s="1"/>
  <c r="J65" i="1" a="1"/>
  <c r="J65" i="1" s="1"/>
  <c r="N65" i="1" a="1"/>
  <c r="N65" i="1" s="1"/>
  <c r="B10" i="1" a="1"/>
  <c r="B10" i="1" s="1"/>
  <c r="H10" i="1" a="1"/>
  <c r="H10" i="1" s="1"/>
  <c r="I10" i="1" a="1"/>
  <c r="I10" i="1" s="1"/>
  <c r="J10" i="1" a="1"/>
  <c r="J10" i="1" s="1"/>
  <c r="N10" i="1" a="1"/>
  <c r="N10" i="1" s="1"/>
  <c r="B100" i="1" a="1"/>
  <c r="B100" i="1" s="1"/>
  <c r="H100" i="1" a="1"/>
  <c r="H100" i="1" s="1"/>
  <c r="I100" i="1" a="1"/>
  <c r="I100" i="1" s="1"/>
  <c r="J100" i="1" a="1"/>
  <c r="J100" i="1" s="1"/>
  <c r="N100" i="1" a="1"/>
  <c r="N100" i="1" s="1"/>
  <c r="B96" i="1" a="1"/>
  <c r="B96" i="1" s="1"/>
  <c r="H96" i="1" a="1"/>
  <c r="H96" i="1" s="1"/>
  <c r="I96" i="1" a="1"/>
  <c r="I96" i="1" s="1"/>
  <c r="J96" i="1" a="1"/>
  <c r="J96" i="1" s="1"/>
  <c r="N96" i="1" a="1"/>
  <c r="N96" i="1" s="1"/>
  <c r="B93" i="1" a="1"/>
  <c r="B93" i="1" s="1"/>
  <c r="H93" i="1" a="1"/>
  <c r="H93" i="1" s="1"/>
  <c r="I93" i="1" a="1"/>
  <c r="I93" i="1" s="1"/>
  <c r="J93" i="1" a="1"/>
  <c r="J93" i="1" s="1"/>
  <c r="N93" i="1" a="1"/>
  <c r="N93" i="1" s="1"/>
  <c r="B94" i="1" a="1"/>
  <c r="B94" i="1" s="1"/>
  <c r="H94" i="1" a="1"/>
  <c r="H94" i="1" s="1"/>
  <c r="I94" i="1" a="1"/>
  <c r="I94" i="1" s="1"/>
  <c r="J94" i="1" a="1"/>
  <c r="J94" i="1" s="1"/>
  <c r="N94" i="1" a="1"/>
  <c r="N94" i="1" s="1"/>
  <c r="B87" i="1" a="1"/>
  <c r="B87" i="1" s="1"/>
  <c r="H87" i="1" a="1"/>
  <c r="H87" i="1" s="1"/>
  <c r="I87" i="1" a="1"/>
  <c r="I87" i="1" s="1"/>
  <c r="J87" i="1" a="1"/>
  <c r="J87" i="1" s="1"/>
  <c r="N87" i="1" a="1"/>
  <c r="N87" i="1" s="1"/>
  <c r="B83" i="1" a="1"/>
  <c r="B83" i="1" s="1"/>
  <c r="H83" i="1" a="1"/>
  <c r="H83" i="1" s="1"/>
  <c r="I83" i="1" a="1"/>
  <c r="I83" i="1" s="1"/>
  <c r="J83" i="1" a="1"/>
  <c r="J83" i="1" s="1"/>
  <c r="N83" i="1" a="1"/>
  <c r="N83" i="1" s="1"/>
  <c r="B82" i="1" a="1"/>
  <c r="B82" i="1" s="1"/>
  <c r="H82" i="1" a="1"/>
  <c r="H82" i="1" s="1"/>
  <c r="I82" i="1" a="1"/>
  <c r="I82" i="1" s="1"/>
  <c r="J82" i="1" a="1"/>
  <c r="J82" i="1" s="1"/>
  <c r="N82" i="1" a="1"/>
  <c r="N82" i="1" s="1"/>
  <c r="B80" i="1" a="1"/>
  <c r="B80" i="1" s="1"/>
  <c r="H80" i="1" a="1"/>
  <c r="H80" i="1" s="1"/>
  <c r="I80" i="1" a="1"/>
  <c r="I80" i="1" s="1"/>
  <c r="J80" i="1" a="1"/>
  <c r="J80" i="1" s="1"/>
  <c r="N80" i="1" a="1"/>
  <c r="N80" i="1" s="1"/>
  <c r="B79" i="1" a="1"/>
  <c r="B79" i="1" s="1"/>
  <c r="H79" i="1" a="1"/>
  <c r="H79" i="1" s="1"/>
  <c r="I79" i="1" a="1"/>
  <c r="I79" i="1" s="1"/>
  <c r="J79" i="1" a="1"/>
  <c r="J79" i="1" s="1"/>
  <c r="N79" i="1" a="1"/>
  <c r="N79" i="1" s="1"/>
  <c r="B77" i="1" a="1"/>
  <c r="B77" i="1" s="1"/>
  <c r="H77" i="1" a="1"/>
  <c r="H77" i="1" s="1"/>
  <c r="I77" i="1" a="1"/>
  <c r="I77" i="1" s="1"/>
  <c r="J77" i="1" a="1"/>
  <c r="J77" i="1" s="1"/>
  <c r="N77" i="1" a="1"/>
  <c r="N77" i="1" s="1"/>
  <c r="B70" i="1" a="1"/>
  <c r="B70" i="1" s="1"/>
  <c r="H70" i="1" a="1"/>
  <c r="H70" i="1" s="1"/>
  <c r="I70" i="1" a="1"/>
  <c r="I70" i="1" s="1"/>
  <c r="J70" i="1" a="1"/>
  <c r="J70" i="1" s="1"/>
  <c r="N70" i="1" a="1"/>
  <c r="N70" i="1" s="1"/>
  <c r="B66" i="1" a="1"/>
  <c r="B66" i="1" s="1"/>
  <c r="H66" i="1" a="1"/>
  <c r="H66" i="1" s="1"/>
  <c r="I66" i="1" a="1"/>
  <c r="I66" i="1" s="1"/>
  <c r="J66" i="1" a="1"/>
  <c r="J66" i="1" s="1"/>
  <c r="N66" i="1" a="1"/>
  <c r="N66" i="1" s="1"/>
  <c r="B58" i="1" a="1"/>
  <c r="B58" i="1" s="1"/>
  <c r="H58" i="1" a="1"/>
  <c r="H58" i="1" s="1"/>
  <c r="I58" i="1" a="1"/>
  <c r="I58" i="1" s="1"/>
  <c r="J58" i="1" a="1"/>
  <c r="J58" i="1" s="1"/>
  <c r="N58" i="1" a="1"/>
  <c r="N58" i="1" s="1"/>
  <c r="B53" i="1" a="1"/>
  <c r="B53" i="1" s="1"/>
  <c r="H53" i="1" a="1"/>
  <c r="H53" i="1" s="1"/>
  <c r="I53" i="1" a="1"/>
  <c r="I53" i="1" s="1"/>
  <c r="J53" i="1" a="1"/>
  <c r="J53" i="1" s="1"/>
  <c r="N53" i="1" a="1"/>
  <c r="N53" i="1" s="1"/>
  <c r="B52" i="1" a="1"/>
  <c r="B52" i="1" s="1"/>
  <c r="H52" i="1" a="1"/>
  <c r="H52" i="1" s="1"/>
  <c r="I52" i="1" a="1"/>
  <c r="I52" i="1" s="1"/>
  <c r="J52" i="1" a="1"/>
  <c r="J52" i="1" s="1"/>
  <c r="N52" i="1" a="1"/>
  <c r="N52" i="1" s="1"/>
  <c r="B47" i="1" a="1"/>
  <c r="B47" i="1" s="1"/>
  <c r="H47" i="1" a="1"/>
  <c r="H47" i="1" s="1"/>
  <c r="I47" i="1" a="1"/>
  <c r="I47" i="1" s="1"/>
  <c r="J47" i="1" a="1"/>
  <c r="J47" i="1" s="1"/>
  <c r="N47" i="1" a="1"/>
  <c r="N47" i="1" s="1"/>
  <c r="B46" i="1" a="1"/>
  <c r="B46" i="1" s="1"/>
  <c r="H46" i="1" a="1"/>
  <c r="H46" i="1" s="1"/>
  <c r="I46" i="1" a="1"/>
  <c r="I46" i="1" s="1"/>
  <c r="J46" i="1" a="1"/>
  <c r="J46" i="1" s="1"/>
  <c r="N46" i="1" a="1"/>
  <c r="N46" i="1" s="1"/>
  <c r="B44" i="1" a="1"/>
  <c r="B44" i="1" s="1"/>
  <c r="H44" i="1" a="1"/>
  <c r="H44" i="1" s="1"/>
  <c r="I44" i="1" a="1"/>
  <c r="I44" i="1" s="1"/>
  <c r="J44" i="1" a="1"/>
  <c r="J44" i="1" s="1"/>
  <c r="N44" i="1" a="1"/>
  <c r="N44" i="1" s="1"/>
  <c r="B41" i="1" a="1"/>
  <c r="B41" i="1" s="1"/>
  <c r="H41" i="1" a="1"/>
  <c r="H41" i="1" s="1"/>
  <c r="I41" i="1" a="1"/>
  <c r="I41" i="1" s="1"/>
  <c r="J41" i="1" a="1"/>
  <c r="J41" i="1" s="1"/>
  <c r="N41" i="1" a="1"/>
  <c r="N41" i="1" s="1"/>
  <c r="B39" i="1" a="1"/>
  <c r="B39" i="1" s="1"/>
  <c r="H39" i="1" a="1"/>
  <c r="H39" i="1" s="1"/>
  <c r="I39" i="1" a="1"/>
  <c r="I39" i="1" s="1"/>
  <c r="J39" i="1" a="1"/>
  <c r="J39" i="1" s="1"/>
  <c r="N39" i="1" a="1"/>
  <c r="N39" i="1" s="1"/>
  <c r="B38" i="1" a="1"/>
  <c r="B38" i="1" s="1"/>
  <c r="H38" i="1" a="1"/>
  <c r="H38" i="1" s="1"/>
  <c r="I38" i="1" a="1"/>
  <c r="I38" i="1" s="1"/>
  <c r="J38" i="1" a="1"/>
  <c r="J38" i="1" s="1"/>
  <c r="N38" i="1" a="1"/>
  <c r="N38" i="1" s="1"/>
  <c r="B37" i="1" a="1"/>
  <c r="B37" i="1" s="1"/>
  <c r="H37" i="1" a="1"/>
  <c r="H37" i="1" s="1"/>
  <c r="I37" i="1" a="1"/>
  <c r="I37" i="1" s="1"/>
  <c r="J37" i="1" a="1"/>
  <c r="J37" i="1" s="1"/>
  <c r="N37" i="1" a="1"/>
  <c r="N37" i="1" s="1"/>
  <c r="B35" i="1" a="1"/>
  <c r="B35" i="1" s="1"/>
  <c r="H35" i="1" a="1"/>
  <c r="H35" i="1" s="1"/>
  <c r="I35" i="1" a="1"/>
  <c r="I35" i="1" s="1"/>
  <c r="J35" i="1" a="1"/>
  <c r="J35" i="1" s="1"/>
  <c r="N35" i="1" a="1"/>
  <c r="N35" i="1" s="1"/>
  <c r="B31" i="1" a="1"/>
  <c r="B31" i="1" s="1"/>
  <c r="H31" i="1" a="1"/>
  <c r="H31" i="1" s="1"/>
  <c r="I31" i="1" a="1"/>
  <c r="I31" i="1" s="1"/>
  <c r="J31" i="1" a="1"/>
  <c r="J31" i="1" s="1"/>
  <c r="N31" i="1" a="1"/>
  <c r="N31" i="1" s="1"/>
  <c r="B29" i="1" a="1"/>
  <c r="B29" i="1" s="1"/>
  <c r="H29" i="1" a="1"/>
  <c r="H29" i="1" s="1"/>
  <c r="I29" i="1" a="1"/>
  <c r="I29" i="1" s="1"/>
  <c r="J29" i="1" a="1"/>
  <c r="J29" i="1" s="1"/>
  <c r="N29" i="1" a="1"/>
  <c r="N29" i="1" s="1"/>
  <c r="B33" i="1" a="1"/>
  <c r="B33" i="1" s="1"/>
  <c r="H33" i="1" a="1"/>
  <c r="H33" i="1" s="1"/>
  <c r="I33" i="1" a="1"/>
  <c r="I33" i="1" s="1"/>
  <c r="J33" i="1" a="1"/>
  <c r="J33" i="1" s="1"/>
  <c r="N33" i="1" a="1"/>
  <c r="N33" i="1" s="1"/>
  <c r="B32" i="1" a="1"/>
  <c r="B32" i="1" s="1"/>
  <c r="H32" i="1" a="1"/>
  <c r="H32" i="1" s="1"/>
  <c r="I32" i="1" a="1"/>
  <c r="I32" i="1" s="1"/>
  <c r="J32" i="1" a="1"/>
  <c r="J32" i="1" s="1"/>
  <c r="N32" i="1" a="1"/>
  <c r="N32"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7" i="1" l="1"/>
  <c r="L102" i="1"/>
  <c r="M102" i="1"/>
  <c r="M97" i="1"/>
  <c r="L49" i="1"/>
  <c r="L60" i="1"/>
  <c r="M49" i="1"/>
  <c r="M60" i="1"/>
  <c r="L76" i="1"/>
  <c r="M76" i="1"/>
  <c r="M75" i="1"/>
  <c r="L78" i="1"/>
  <c r="L75" i="1"/>
  <c r="L89" i="1"/>
  <c r="M78" i="1"/>
  <c r="M89" i="1"/>
  <c r="L48" i="1"/>
  <c r="M48" i="1"/>
  <c r="L36" i="1"/>
  <c r="L30" i="1"/>
  <c r="M36" i="1"/>
  <c r="M30" i="1"/>
  <c r="L99" i="1"/>
  <c r="M99" i="1"/>
  <c r="L74" i="1"/>
  <c r="M74" i="1"/>
  <c r="L18" i="1"/>
  <c r="M18" i="1"/>
  <c r="L7" i="1"/>
  <c r="M90" i="1"/>
  <c r="M7" i="1"/>
  <c r="L90" i="1"/>
  <c r="L85" i="1"/>
  <c r="M85" i="1"/>
  <c r="L12" i="1"/>
  <c r="L61" i="1"/>
  <c r="M12" i="1"/>
  <c r="L101" i="1"/>
  <c r="M61" i="1"/>
  <c r="L67" i="1"/>
  <c r="M101" i="1"/>
  <c r="M67" i="1"/>
  <c r="L6" i="1"/>
  <c r="L65" i="1"/>
  <c r="M6" i="1"/>
  <c r="L10" i="1"/>
  <c r="M65" i="1"/>
  <c r="M10" i="1"/>
  <c r="M96" i="1"/>
  <c r="L100" i="1"/>
  <c r="M100" i="1"/>
  <c r="L96" i="1"/>
  <c r="L93" i="1"/>
  <c r="M93" i="1"/>
  <c r="L94" i="1"/>
  <c r="L87" i="1"/>
  <c r="M94" i="1"/>
  <c r="L83" i="1"/>
  <c r="M87" i="1"/>
  <c r="L82" i="1"/>
  <c r="M83" i="1"/>
  <c r="L80" i="1"/>
  <c r="M82" i="1"/>
  <c r="L79" i="1"/>
  <c r="M80" i="1"/>
  <c r="M79" i="1"/>
  <c r="L77" i="1"/>
  <c r="L70" i="1"/>
  <c r="M77" i="1"/>
  <c r="L66" i="1"/>
  <c r="M70" i="1"/>
  <c r="M66" i="1"/>
  <c r="L58" i="1"/>
  <c r="M58" i="1"/>
  <c r="L53" i="1"/>
  <c r="M52" i="1"/>
  <c r="M53" i="1"/>
  <c r="L52" i="1"/>
  <c r="L47" i="1"/>
  <c r="L46" i="1"/>
  <c r="M47" i="1"/>
  <c r="M46" i="1"/>
  <c r="L44" i="1"/>
  <c r="M44" i="1"/>
  <c r="L41" i="1"/>
  <c r="M41" i="1"/>
  <c r="L39" i="1"/>
  <c r="M38" i="1"/>
  <c r="M39" i="1"/>
  <c r="L38" i="1"/>
  <c r="L37" i="1"/>
  <c r="M37" i="1"/>
  <c r="L35" i="1"/>
  <c r="M35" i="1"/>
  <c r="L31" i="1"/>
  <c r="M31" i="1"/>
  <c r="L33" i="1"/>
  <c r="L29" i="1"/>
  <c r="M29" i="1"/>
  <c r="L32" i="1"/>
  <c r="M33" i="1"/>
  <c r="L28" i="1"/>
  <c r="M32" i="1"/>
  <c r="M28" i="1"/>
  <c r="L27" i="1"/>
  <c r="M27" i="1"/>
  <c r="M24" i="1"/>
  <c r="L24" i="1"/>
  <c r="L23" i="1"/>
  <c r="M23" i="1"/>
  <c r="L22" i="1"/>
  <c r="M22" i="1"/>
  <c r="L19" i="1"/>
  <c r="M19" i="1"/>
  <c r="L17" i="1"/>
  <c r="M17" i="1"/>
  <c r="L14" i="1"/>
  <c r="L13" i="1"/>
  <c r="M14" i="1"/>
  <c r="M13" i="1"/>
  <c r="L11" i="1"/>
  <c r="L9" i="1"/>
  <c r="M11" i="1"/>
  <c r="M9" i="1"/>
  <c r="L5" i="1"/>
  <c r="M5" i="1"/>
  <c r="M3" i="1"/>
  <c r="L3" i="1"/>
  <c r="B63" i="1" l="1" a="1"/>
  <c r="B63" i="1" s="1"/>
  <c r="H63" i="1" a="1"/>
  <c r="H63" i="1" s="1"/>
  <c r="I63" i="1" a="1"/>
  <c r="I63" i="1" s="1"/>
  <c r="J63" i="1" a="1"/>
  <c r="J63" i="1" s="1"/>
  <c r="N63" i="1" a="1"/>
  <c r="N63" i="1" s="1"/>
  <c r="B71" i="1" a="1"/>
  <c r="B71" i="1" s="1"/>
  <c r="H71" i="1" a="1"/>
  <c r="H71" i="1" s="1"/>
  <c r="I71" i="1" a="1"/>
  <c r="I71" i="1" s="1"/>
  <c r="J71" i="1" a="1"/>
  <c r="J71" i="1" s="1"/>
  <c r="N71" i="1" a="1"/>
  <c r="N71" i="1" s="1"/>
  <c r="B42" i="1" a="1"/>
  <c r="B42" i="1" s="1"/>
  <c r="H42" i="1" a="1"/>
  <c r="H42" i="1" s="1"/>
  <c r="I42" i="1" a="1"/>
  <c r="I42" i="1" s="1"/>
  <c r="J42" i="1" a="1"/>
  <c r="J42" i="1" s="1"/>
  <c r="N42" i="1" a="1"/>
  <c r="N42" i="1" s="1"/>
  <c r="H69" i="1" a="1"/>
  <c r="H69" i="1" s="1"/>
  <c r="H72" i="1" a="1"/>
  <c r="H72" i="1" s="1"/>
  <c r="H73" i="1" a="1"/>
  <c r="H73" i="1" s="1"/>
  <c r="H81" i="1" a="1"/>
  <c r="H81" i="1" s="1"/>
  <c r="H84" i="1" a="1"/>
  <c r="H84" i="1" s="1"/>
  <c r="H86" i="1" a="1"/>
  <c r="H86" i="1" s="1"/>
  <c r="H88" i="1" a="1"/>
  <c r="H88" i="1" s="1"/>
  <c r="H91" i="1" a="1"/>
  <c r="H91" i="1" s="1"/>
  <c r="H92" i="1" a="1"/>
  <c r="H92" i="1" s="1"/>
  <c r="H95" i="1" a="1"/>
  <c r="H95" i="1" s="1"/>
  <c r="H98" i="1" a="1"/>
  <c r="H98" i="1" s="1"/>
  <c r="H56" i="1" a="1"/>
  <c r="H56" i="1" s="1"/>
  <c r="H59" i="1" a="1"/>
  <c r="H59" i="1" s="1"/>
  <c r="H51" i="1" a="1"/>
  <c r="H51" i="1" s="1"/>
  <c r="N2" i="1" a="1"/>
  <c r="N2" i="1" s="1"/>
  <c r="N4" i="1" a="1"/>
  <c r="N4" i="1" s="1"/>
  <c r="N8" i="1" a="1"/>
  <c r="N8" i="1" s="1"/>
  <c r="N15" i="1" a="1"/>
  <c r="N15" i="1" s="1"/>
  <c r="N16" i="1" a="1"/>
  <c r="N16" i="1" s="1"/>
  <c r="N20" i="1" a="1"/>
  <c r="N20" i="1" s="1"/>
  <c r="N21" i="1" a="1"/>
  <c r="N21" i="1" s="1"/>
  <c r="N25" i="1" a="1"/>
  <c r="N25" i="1" s="1"/>
  <c r="N26" i="1" a="1"/>
  <c r="N26" i="1" s="1"/>
  <c r="N34" i="1" a="1"/>
  <c r="N34" i="1" s="1"/>
  <c r="N40" i="1" a="1"/>
  <c r="N40" i="1" s="1"/>
  <c r="N43" i="1" a="1"/>
  <c r="N43" i="1" s="1"/>
  <c r="N45" i="1" a="1"/>
  <c r="N45" i="1" s="1"/>
  <c r="N50" i="1" a="1"/>
  <c r="N50" i="1" s="1"/>
  <c r="N54" i="1" a="1"/>
  <c r="N54" i="1" s="1"/>
  <c r="N55" i="1" a="1"/>
  <c r="N55" i="1" s="1"/>
  <c r="N57" i="1" a="1"/>
  <c r="N57" i="1" s="1"/>
  <c r="N62" i="1" a="1"/>
  <c r="N62" i="1" s="1"/>
  <c r="N64" i="1" a="1"/>
  <c r="N64" i="1" s="1"/>
  <c r="N68" i="1" a="1"/>
  <c r="N68" i="1" s="1"/>
  <c r="N69" i="1" a="1"/>
  <c r="N69" i="1" s="1"/>
  <c r="N72" i="1" a="1"/>
  <c r="N72" i="1" s="1"/>
  <c r="N73" i="1" a="1"/>
  <c r="N73" i="1" s="1"/>
  <c r="N81" i="1" a="1"/>
  <c r="N81" i="1" s="1"/>
  <c r="N84" i="1" a="1"/>
  <c r="N84" i="1" s="1"/>
  <c r="N86" i="1" a="1"/>
  <c r="N86" i="1" s="1"/>
  <c r="N88" i="1" a="1"/>
  <c r="N88" i="1" s="1"/>
  <c r="N91" i="1" a="1"/>
  <c r="N91" i="1" s="1"/>
  <c r="N92" i="1" a="1"/>
  <c r="N92" i="1" s="1"/>
  <c r="N95" i="1" a="1"/>
  <c r="N95" i="1" s="1"/>
  <c r="N98" i="1" a="1"/>
  <c r="N98" i="1" s="1"/>
  <c r="N56" i="1" a="1"/>
  <c r="N56" i="1" s="1"/>
  <c r="N59" i="1" a="1"/>
  <c r="N59" i="1" s="1"/>
  <c r="N51" i="1" a="1"/>
  <c r="N51" i="1" s="1"/>
  <c r="J2" i="1" a="1"/>
  <c r="J2" i="1" s="1"/>
  <c r="J4" i="1" a="1"/>
  <c r="J4" i="1" s="1"/>
  <c r="J8" i="1" a="1"/>
  <c r="J8" i="1" s="1"/>
  <c r="J15" i="1" a="1"/>
  <c r="J15" i="1" s="1"/>
  <c r="J16" i="1" a="1"/>
  <c r="J16" i="1" s="1"/>
  <c r="J20" i="1" a="1"/>
  <c r="J20" i="1" s="1"/>
  <c r="J21" i="1" a="1"/>
  <c r="J21" i="1" s="1"/>
  <c r="J25" i="1" a="1"/>
  <c r="J25" i="1" s="1"/>
  <c r="J26" i="1" a="1"/>
  <c r="J26" i="1" s="1"/>
  <c r="J34" i="1" a="1"/>
  <c r="J34" i="1" s="1"/>
  <c r="J40" i="1" a="1"/>
  <c r="J40" i="1" s="1"/>
  <c r="J43" i="1" a="1"/>
  <c r="J43" i="1" s="1"/>
  <c r="J45" i="1" a="1"/>
  <c r="J45" i="1" s="1"/>
  <c r="J50" i="1" a="1"/>
  <c r="J50" i="1" s="1"/>
  <c r="J54" i="1" a="1"/>
  <c r="J54" i="1" s="1"/>
  <c r="J55" i="1" a="1"/>
  <c r="J55" i="1" s="1"/>
  <c r="J57" i="1" a="1"/>
  <c r="J57" i="1" s="1"/>
  <c r="J62" i="1" a="1"/>
  <c r="J62" i="1" s="1"/>
  <c r="J64" i="1" a="1"/>
  <c r="J64" i="1" s="1"/>
  <c r="J68" i="1" a="1"/>
  <c r="J68" i="1" s="1"/>
  <c r="J69" i="1" a="1"/>
  <c r="J69" i="1" s="1"/>
  <c r="J72" i="1" a="1"/>
  <c r="J72" i="1" s="1"/>
  <c r="J73" i="1" a="1"/>
  <c r="J73" i="1" s="1"/>
  <c r="J81" i="1" a="1"/>
  <c r="J81" i="1" s="1"/>
  <c r="J84" i="1" a="1"/>
  <c r="J84" i="1" s="1"/>
  <c r="J86" i="1" a="1"/>
  <c r="J86" i="1" s="1"/>
  <c r="J88" i="1" a="1"/>
  <c r="J88" i="1" s="1"/>
  <c r="J91" i="1" a="1"/>
  <c r="J91" i="1" s="1"/>
  <c r="J92" i="1" a="1"/>
  <c r="J92" i="1" s="1"/>
  <c r="J95" i="1" a="1"/>
  <c r="J95" i="1" s="1"/>
  <c r="J98" i="1" a="1"/>
  <c r="J98" i="1" s="1"/>
  <c r="J56" i="1" a="1"/>
  <c r="J56" i="1" s="1"/>
  <c r="J59" i="1" a="1"/>
  <c r="J59" i="1" s="1"/>
  <c r="J51" i="1" a="1"/>
  <c r="J51" i="1" s="1"/>
  <c r="I2" i="1" a="1"/>
  <c r="I2" i="1" s="1"/>
  <c r="I4" i="1" a="1"/>
  <c r="I4" i="1" s="1"/>
  <c r="I8" i="1" a="1"/>
  <c r="I8" i="1" s="1"/>
  <c r="I15" i="1" a="1"/>
  <c r="I15" i="1" s="1"/>
  <c r="I16" i="1" a="1"/>
  <c r="I16" i="1" s="1"/>
  <c r="I20" i="1" a="1"/>
  <c r="I20" i="1" s="1"/>
  <c r="I21" i="1" a="1"/>
  <c r="I21" i="1" s="1"/>
  <c r="I25" i="1" a="1"/>
  <c r="I25" i="1" s="1"/>
  <c r="I26" i="1" a="1"/>
  <c r="I26" i="1" s="1"/>
  <c r="I34" i="1" a="1"/>
  <c r="I34" i="1" s="1"/>
  <c r="I40" i="1" a="1"/>
  <c r="I40" i="1" s="1"/>
  <c r="I43" i="1" a="1"/>
  <c r="I43" i="1" s="1"/>
  <c r="I45" i="1" a="1"/>
  <c r="I45" i="1" s="1"/>
  <c r="I50" i="1" a="1"/>
  <c r="I50" i="1" s="1"/>
  <c r="I54" i="1" a="1"/>
  <c r="I54" i="1" s="1"/>
  <c r="I55" i="1" a="1"/>
  <c r="I55" i="1" s="1"/>
  <c r="I57" i="1" a="1"/>
  <c r="I57" i="1" s="1"/>
  <c r="I62" i="1" a="1"/>
  <c r="I62" i="1" s="1"/>
  <c r="I64" i="1" a="1"/>
  <c r="I64" i="1" s="1"/>
  <c r="I68" i="1" a="1"/>
  <c r="I68" i="1" s="1"/>
  <c r="I69" i="1" a="1"/>
  <c r="I69" i="1" s="1"/>
  <c r="I72" i="1" a="1"/>
  <c r="I72" i="1" s="1"/>
  <c r="I73" i="1" a="1"/>
  <c r="I73" i="1" s="1"/>
  <c r="I81" i="1" a="1"/>
  <c r="I81" i="1" s="1"/>
  <c r="I84" i="1" a="1"/>
  <c r="I84" i="1" s="1"/>
  <c r="I86" i="1" a="1"/>
  <c r="I86" i="1" s="1"/>
  <c r="I88" i="1" a="1"/>
  <c r="I88" i="1" s="1"/>
  <c r="I91" i="1" a="1"/>
  <c r="I91" i="1" s="1"/>
  <c r="I92" i="1" a="1"/>
  <c r="I92" i="1" s="1"/>
  <c r="I95" i="1" a="1"/>
  <c r="I95" i="1" s="1"/>
  <c r="I98" i="1" a="1"/>
  <c r="I98" i="1" s="1"/>
  <c r="I56" i="1" a="1"/>
  <c r="I56" i="1" s="1"/>
  <c r="I59" i="1" a="1"/>
  <c r="I59" i="1" s="1"/>
  <c r="I51" i="1" a="1"/>
  <c r="I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B51" i="1" a="1"/>
  <c r="B51" i="1" s="1"/>
  <c r="B59" i="1" a="1"/>
  <c r="B59" i="1" s="1"/>
  <c r="B56" i="1" a="1"/>
  <c r="B56" i="1" s="1"/>
  <c r="B98" i="1" a="1"/>
  <c r="B98" i="1" s="1"/>
  <c r="B95" i="1" a="1"/>
  <c r="B95" i="1" s="1"/>
  <c r="B92" i="1" a="1"/>
  <c r="B92" i="1" s="1"/>
  <c r="B91" i="1" a="1"/>
  <c r="B91" i="1" s="1"/>
  <c r="B88" i="1" a="1"/>
  <c r="B88" i="1" s="1"/>
  <c r="B86" i="1" a="1"/>
  <c r="B86" i="1" s="1"/>
  <c r="B84" i="1" a="1"/>
  <c r="B84" i="1" s="1"/>
  <c r="B81" i="1" a="1"/>
  <c r="B81" i="1" s="1"/>
  <c r="B73" i="1" a="1"/>
  <c r="B73" i="1" s="1"/>
  <c r="B72" i="1" a="1"/>
  <c r="B72"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L63" i="1" l="1"/>
  <c r="L71" i="1"/>
  <c r="M63" i="1"/>
  <c r="M71" i="1"/>
  <c r="L42" i="1"/>
  <c r="M42" i="1"/>
  <c r="M50" i="1"/>
  <c r="M16" i="1"/>
  <c r="M51" i="1"/>
  <c r="M81" i="1"/>
  <c r="M95" i="1"/>
  <c r="M68" i="1"/>
  <c r="M4" i="1"/>
  <c r="L88" i="1"/>
  <c r="L57" i="1"/>
  <c r="L25" i="1"/>
  <c r="M34" i="1"/>
  <c r="M86" i="1"/>
  <c r="M55" i="1"/>
  <c r="L21" i="1"/>
  <c r="M92" i="1"/>
  <c r="M64" i="1"/>
  <c r="M2" i="1"/>
  <c r="M84" i="1"/>
  <c r="M59" i="1"/>
  <c r="M73" i="1"/>
  <c r="M45" i="1"/>
  <c r="M15" i="1"/>
  <c r="M8" i="1"/>
  <c r="L91" i="1"/>
  <c r="L62" i="1"/>
  <c r="M56" i="1"/>
  <c r="M72" i="1"/>
  <c r="M43" i="1"/>
  <c r="L26" i="1"/>
  <c r="M54" i="1"/>
  <c r="M20" i="1"/>
  <c r="M98" i="1"/>
  <c r="M69" i="1"/>
  <c r="M40" i="1"/>
  <c r="M91" i="1"/>
  <c r="M62" i="1"/>
  <c r="M26" i="1"/>
  <c r="M88" i="1"/>
  <c r="M57" i="1"/>
  <c r="M25" i="1"/>
  <c r="L2" i="1"/>
  <c r="M21" i="1"/>
  <c r="L86" i="1"/>
  <c r="L55" i="1"/>
  <c r="L50" i="1"/>
  <c r="L51" i="1"/>
  <c r="L81" i="1"/>
  <c r="L16" i="1"/>
  <c r="L92" i="1"/>
  <c r="L64" i="1"/>
  <c r="L34" i="1"/>
  <c r="L95" i="1"/>
  <c r="L68" i="1"/>
  <c r="L4" i="1"/>
  <c r="L84" i="1"/>
  <c r="L54" i="1"/>
  <c r="L20" i="1"/>
  <c r="L59" i="1"/>
  <c r="L73" i="1"/>
  <c r="L45" i="1"/>
  <c r="L15" i="1"/>
  <c r="L72" i="1"/>
  <c r="L43" i="1"/>
  <c r="L8" i="1"/>
  <c r="L56" i="1"/>
  <c r="L98" i="1"/>
  <c r="L69" i="1"/>
  <c r="L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<sst xmlns="http://schemas.openxmlformats.org/spreadsheetml/2006/main" count="55" uniqueCount="26">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</sst>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1.1079000000000001</v>
    <v>-5.95</v>
    <v>-2.2733E-2</v>
    <v>-0.44</v>
    <v>-1.72E-3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262.23</v>
    <v>Computers, Phones &amp; Household Electronics</v>
    <v>Stock</v>
    <v>46066.967229374997</v>
    <v>0</v>
    <v>255.45</v>
    <v>3760656606000</v>
    <v>APPLE INC.</v>
    <v>APPLE INC.</v>
    <v>262.01</v>
    <v>33.252099999999999</v>
    <v>261.73</v>
    <v>255.78</v>
    <v>255.34</v>
    <v>14702700000</v>
    <v>AAPL</v>
    <v>APPLE INC. (XNAS:AAPL)</v>
    <v>56290673</v>
    <v>56006543</v>
    <v>1977</v>
  </rv>
  <rv s="2">
    <v>1</v>
  </rv>
  <rv s="0">
    <v>https://www.bing.com/financeapi/forcetrigger?t=a1mpqh&amp;q=XNYS%3aABBV&amp;form=skydnc</v>
    <v>Learn more on Bing</v>
  </rv>
  <rv s="1">
    <v>0</v>
    <v>ABBVIE INC. (XNYS:ABBV)</v>
    <v>2</v>
    <v>3</v>
    <v>Finance</v>
    <v>5</v>
    <v>en-US</v>
    <v>a1mpqh</v>
    <v>268435456</v>
    <v>1</v>
    <v>Powered by Refinitiv</v>
    <v>244.81</v>
    <v>164.39</v>
    <v>0.32679999999999998</v>
    <v>4.0999999999999996</v>
    <v>1.8022E-2</v>
    <v>0.8</v>
    <v>3.4560000000000003E-3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234.74</v>
    <v>Pharmaceuticals</v>
    <v>Stock</v>
    <v>46066.967230635935</v>
    <v>3</v>
    <v>228</v>
    <v>409326366000</v>
    <v>ABBVIE INC.</v>
    <v>ABBVIE INC.</v>
    <v>228.42</v>
    <v>96.259200000000007</v>
    <v>227.5</v>
    <v>231.6</v>
    <v>232.3</v>
    <v>1767385000</v>
    <v>ABBV</v>
    <v>ABBVIE INC. (XNYS:ABBV)</v>
    <v>8252480</v>
    <v>7571909</v>
    <v>2012</v>
  </rv>
  <rv s="2">
    <v>4</v>
  </rv>
  <rv s="0">
    <v>https://www.bing.com/financeapi/forcetrigger?t=a1mvm7&amp;q=XNYS%3aADM&amp;form=skydnc</v>
    <v>Learn more on Bing</v>
  </rv>
  <rv s="1">
    <v>0</v>
    <v>ARCHER-DANIELS-MIDLAND COMPANY. (XNYS:ADM)</v>
    <v>2</v>
    <v>3</v>
    <v>Finance</v>
    <v>5</v>
    <v>en-US</v>
    <v>a1mvm7</v>
    <v>268435456</v>
    <v>1</v>
    <v>Powered by Refinitiv</v>
    <v>70.09</v>
    <v>40.98</v>
    <v>0.6724</v>
    <v>5.0000000000000001E-3</v>
    <v>7.1939999999999992E-5</v>
    <v>0.12640000000000001</v>
    <v>1.818E-3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70.06</v>
    <v>Food &amp; Tobacco</v>
    <v>Stock</v>
    <v>46066.882582742968</v>
    <v>6</v>
    <v>68.37</v>
    <v>33401996998</v>
    <v>ARCHER-DANIELS-MIDLAND COMPANY.</v>
    <v>ARCHER-DANIELS-MIDLAND COMPANY.</v>
    <v>69.13</v>
    <v>31.186299999999999</v>
    <v>69.5</v>
    <v>69.504999999999995</v>
    <v>69.636399999999995</v>
    <v>480569700</v>
    <v>ADM</v>
    <v>ARCHER-DANIELS-MIDLAND COMPANY. (XNYS:ADM)</v>
    <v>3063865</v>
    <v>4151322</v>
    <v>1923</v>
  </rv>
  <rv s="2">
    <v>7</v>
  </rv>
  <rv s="0">
    <v>https://www.bing.com/financeapi/forcetrigger?t=a1mw4c&amp;q=XNAS%3aADP&amp;form=skydnc</v>
    <v>Learn more on Bing</v>
  </rv>
  <rv s="1">
    <v>0</v>
    <v>AUTOMATIC DATA PROCESSING, INC. (XNAS:ADP)</v>
    <v>2</v>
    <v>3</v>
    <v>Finance</v>
    <v>5</v>
    <v>en-US</v>
    <v>a1mw4c</v>
    <v>268435456</v>
    <v>1</v>
    <v>Powered by Refinitiv</v>
    <v>329.92950000000002</v>
    <v>208.62</v>
    <v>0.876</v>
    <v>2.15</v>
    <v>1.0240000000000001E-2</v>
    <v>0.89</v>
    <v>4.1960000000000001E-3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213.35499999999999</v>
    <v>Software &amp; IT Services</v>
    <v>Stock</v>
    <v>46066.896643853906</v>
    <v>9</v>
    <v>209.05</v>
    <v>85404882473</v>
    <v>AUTOMATIC DATA PROCESSING, INC.</v>
    <v>AUTOMATIC DATA PROCESSING, INC.</v>
    <v>210.67</v>
    <v>20.169499999999999</v>
    <v>209.96</v>
    <v>212.11</v>
    <v>213</v>
    <v>402644300</v>
    <v>ADP</v>
    <v>AUTOMATIC DATA PROCESSING, INC. (XNAS:ADP)</v>
    <v>3840667</v>
    <v>3052230</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1.9734</v>
    <v>1.38</v>
    <v>6.7010000000000004E-3</v>
    <v>-0.56000000000000005</v>
    <v>-2.7010000000000003E-3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210.05</v>
    <v>Semiconductors &amp; Semiconductor Equipment</v>
    <v>Stock</v>
    <v>46066.932998622658</v>
    <v>12</v>
    <v>203.8801</v>
    <v>338016808520</v>
    <v>ADVANCED MICRO DEVICES, INC.</v>
    <v>ADVANCED MICRO DEVICES, INC.</v>
    <v>204.02</v>
    <v>79.073300000000003</v>
    <v>205.94</v>
    <v>207.32</v>
    <v>206.76</v>
    <v>1630411000</v>
    <v>AMD</v>
    <v>ADVANCED MICRO DEVICES, INC. (XNAS:AMD)</v>
    <v>26123882</v>
    <v>42579992</v>
    <v>1969</v>
  </rv>
  <rv s="2">
    <v>13</v>
  </rv>
  <rv s="0">
    <v>https://www.bing.com/financeapi/forcetrigger?t=a1ngur&amp;q=XNYS%3aAMT&amp;form=skydnc</v>
    <v>Learn more on Bing</v>
  </rv>
  <rv s="1">
    <v>0</v>
    <v>AMERICAN TOWER CORPORATION (XNYS:AMT)</v>
    <v>2</v>
    <v>3</v>
    <v>Finance</v>
    <v>5</v>
    <v>en-US</v>
    <v>a1ngur</v>
    <v>268435456</v>
    <v>1</v>
    <v>Powered by Refinitiv</v>
    <v>234.33</v>
    <v>166.88</v>
    <v>0.92269999999999996</v>
    <v>3.91</v>
    <v>2.0777E-2</v>
    <v>-2.0998999999999999</v>
    <v>-1.0931E-2</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192.21</v>
    <v>Residential &amp; Commercial REIT</v>
    <v>Stock</v>
    <v>46066.912768159375</v>
    <v>15</v>
    <v>188.1</v>
    <v>89930961860</v>
    <v>AMERICAN TOWER CORPORATION</v>
    <v>AMERICAN TOWER CORPORATION</v>
    <v>188.67</v>
    <v>30.016999999999999</v>
    <v>188.19</v>
    <v>192.1</v>
    <v>190.0001</v>
    <v>468146600</v>
    <v>AMT</v>
    <v>AMERICAN TOWER CORPORATION (XNYS:AMT)</v>
    <v>3413310</v>
    <v>3398392</v>
    <v>1996</v>
  </rv>
  <rv s="2">
    <v>16</v>
  </rv>
  <rv s="0">
    <v>https://www.bing.com/financeapi/forcetrigger?t=a1nhlh&amp;q=XNAS%3aAMZN&amp;form=skydnc</v>
    <v>Learn more on Bing</v>
  </rv>
  <rv s="1">
    <v>0</v>
    <v>AMAZON.COM, INC. (XNAS:AMZN)</v>
    <v>2</v>
    <v>3</v>
    <v>Finance</v>
    <v>4</v>
    <v>en-US</v>
    <v>a1nhlh</v>
    <v>268435456</v>
    <v>1</v>
    <v>Powered by Refinitiv</v>
    <v>258.60000000000002</v>
    <v>161.38</v>
    <v>1.419</v>
    <v>-0.81</v>
    <v>-4.058E-3</v>
    <v>0.16980000000000001</v>
    <v>8.5419999999999995E-4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201.16</v>
    <v>Diversified Retail</v>
    <v>Stock</v>
    <v>46066.967227615627</v>
    <v>18</v>
    <v>197.27500000000001</v>
    <v>2133994746800</v>
    <v>AMAZON.COM, INC.</v>
    <v>AMAZON.COM, INC.</v>
    <v>198.88</v>
    <v>27.829499999999999</v>
    <v>199.6</v>
    <v>198.79</v>
    <v>198.9598</v>
    <v>10734920000</v>
    <v>AMZN</v>
    <v>AMAZON.COM, INC. (XNAS:AMZN)</v>
    <v>66321593</v>
    <v>55125654</v>
    <v>1996</v>
  </rv>
  <rv s="2">
    <v>19</v>
  </rv>
  <rv s="0">
    <v>https://www.bing.com/financeapi/forcetrigger?t=a1nkm7&amp;q=XNYS%3aAOS&amp;form=skydnc</v>
    <v>Learn more on Bing</v>
  </rv>
  <rv s="1">
    <v>0</v>
    <v>A. O. SMITH CORPORATION (XNYS:AOS)</v>
    <v>2</v>
    <v>3</v>
    <v>Finance</v>
    <v>4</v>
    <v>en-US</v>
    <v>a1nkm7</v>
    <v>268435456</v>
    <v>1</v>
    <v>Powered by Refinitiv</v>
    <v>81.864999999999995</v>
    <v>58.83</v>
    <v>1.3158000000000001</v>
    <v>0.84</v>
    <v>1.0549999999999999E-2</v>
    <v>-0.46</v>
    <v>-5.7169999999999999E-3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80.59</v>
    <v>Machinery, Equipment &amp; Components</v>
    <v>Stock</v>
    <v>46066.99818444375</v>
    <v>21</v>
    <v>79.180000000000007</v>
    <v>11126805354</v>
    <v>A. O. SMITH CORPORATION</v>
    <v>A. O. SMITH CORPORATION</v>
    <v>79.64</v>
    <v>20.6952</v>
    <v>79.62</v>
    <v>80.459999999999994</v>
    <v>80</v>
    <v>138289900</v>
    <v>AOS</v>
    <v>A. O. SMITH CORPORATION (XNYS:AOS)</v>
    <v>1077996</v>
    <v>1528637</v>
    <v>1986</v>
  </rv>
  <rv s="2">
    <v>22</v>
  </rv>
  <rv s="0">
    <v>https://www.bing.com/financeapi/forcetrigger?t=a1ntlh&amp;q=XNAS%3aASML&amp;form=skydnc</v>
    <v>Learn more on Bing</v>
  </rv>
  <rv s="1">
    <v>0</v>
    <v>ASML Holding NV (XNAS:ASML)</v>
    <v>2</v>
    <v>6</v>
    <v>Finance</v>
    <v>5</v>
    <v>en-US</v>
    <v>a1ntlh</v>
    <v>268435456</v>
    <v>1</v>
    <v>Powered by Refinitiv</v>
    <v>1493.4749999999999</v>
    <v>578.51</v>
    <v>2.1825999999999999</v>
    <v>-0.26</v>
    <v>-1.8479999999999999E-4</v>
    <v>-2.98</v>
    <v>-2.1190000000000002E-3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Nasdaq Stock Market</v>
    <v>XNAS</v>
    <v>XNAS</v>
    <v>De Run 6501, VELDHOVEN, NOORD-BRABANT, 5504 DR NL</v>
    <v>1436.66</v>
    <v>Semiconductors &amp; Semiconductor Equipment</v>
    <v>Stock</v>
    <v>46066.927550844528</v>
    <v>24</v>
    <v>1401</v>
    <v>557236482551</v>
    <v>ASML Holding NV</v>
    <v>ASML Holding NV</v>
    <v>1414.85</v>
    <v>48.465600000000002</v>
    <v>1406.87</v>
    <v>1406.61</v>
    <v>1403.63</v>
    <v>388147700</v>
    <v>ASML</v>
    <v>ASML Holding NV (XNAS:ASML)</v>
    <v>1249325</v>
    <v>2137890</v>
    <v>1994</v>
  </rv>
  <rv s="2">
    <v>25</v>
  </rv>
  <rv s="0">
    <v>https://www.bing.com/financeapi/forcetrigger?t=a1nz8m&amp;q=XNAS%3aAVGO&amp;form=skydnc</v>
    <v>Learn more on Bing</v>
  </rv>
  <rv s="1">
    <v>0</v>
    <v>BROADCOM INC. (XNAS:AVGO)</v>
    <v>2</v>
    <v>3</v>
    <v>Finance</v>
    <v>5</v>
    <v>en-US</v>
    <v>a1nz8m</v>
    <v>268435456</v>
    <v>1</v>
    <v>Powered by Refinitiv</v>
    <v>414.61</v>
    <v>138.1</v>
    <v>1.2273000000000001</v>
    <v>-6</v>
    <v>-1.8118000000000002E-2</v>
    <v>-0.32479999999999998</v>
    <v>-9.9890000000000005E-4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334.32</v>
    <v>Semiconductors &amp; Semiconductor Equipment</v>
    <v>Stock</v>
    <v>46066.999884918747</v>
    <v>27</v>
    <v>324.69</v>
    <v>1541720066580</v>
    <v>BROADCOM INC.</v>
    <v>BROADCOM INC.</v>
    <v>329.85</v>
    <v>69.427700000000002</v>
    <v>331.17</v>
    <v>325.17</v>
    <v>324.84519999999998</v>
    <v>4741274000</v>
    <v>AVGO</v>
    <v>BROADCOM INC. (XNAS:AVGO)</v>
    <v>18397161</v>
    <v>26912788</v>
    <v>2018</v>
  </rv>
  <rv s="2">
    <v>28</v>
  </rv>
  <rv s="0">
    <v>https://www.bing.com/financeapi/forcetrigger?t=a1o1jc&amp;q=XNYS%3aAWK&amp;form=skydnc</v>
    <v>Learn more on Bing</v>
  </rv>
  <rv s="1">
    <v>0</v>
    <v>AMERICAN WATER WORKS COMPANY, INC. (XNYS:AWK)</v>
    <v>2</v>
    <v>3</v>
    <v>Finance</v>
    <v>5</v>
    <v>en-US</v>
    <v>a1o1jc</v>
    <v>268435456</v>
    <v>1</v>
    <v>Powered by Refinitiv</v>
    <v>155.5</v>
    <v>121.27500000000001</v>
    <v>0.76780000000000004</v>
    <v>5.03</v>
    <v>3.9184000000000004E-2</v>
    <v>-0.11</v>
    <v>-8.2399999999999997E-4</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133.68</v>
    <v>Water Utilities</v>
    <v>Stock</v>
    <v>46066.933939930466</v>
    <v>30</v>
    <v>127.85</v>
    <v>26036638480</v>
    <v>AMERICAN WATER WORKS COMPANY, INC.</v>
    <v>AMERICAN WATER WORKS COMPANY, INC.</v>
    <v>127.85</v>
    <v>22.510899999999999</v>
    <v>128.37</v>
    <v>133.4</v>
    <v>133.38999999999999</v>
    <v>195177200</v>
    <v>AWK</v>
    <v>AMERICAN WATER WORKS COMPANY, INC. (XNYS:AWK)</v>
    <v>3176791</v>
    <v>1680458</v>
    <v>1936</v>
  </rv>
  <rv s="2">
    <v>31</v>
  </rv>
  <rv s="0">
    <v>https://www.bing.com/financeapi/forcetrigger?t=a1o9gh&amp;q=XNYS%3aBBY&amp;form=skydnc</v>
    <v>Learn more on Bing</v>
  </rv>
  <rv s="1">
    <v>0</v>
    <v>Best Buy Co., Inc. (XNYS:BBY)</v>
    <v>2</v>
    <v>3</v>
    <v>Finance</v>
    <v>5</v>
    <v>en-US</v>
    <v>a1o9gh</v>
    <v>268435456</v>
    <v>1</v>
    <v>Powered by Refinitiv</v>
    <v>91.68</v>
    <v>54.99</v>
    <v>1.458</v>
    <v>0.91</v>
    <v>1.4028000000000001E-2</v>
    <v>0.28000000000000003</v>
    <v>4.2550000000000001E-3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66.334999999999994</v>
    <v>Specialty Retailers</v>
    <v>Stock</v>
    <v>46066.901158378903</v>
    <v>33</v>
    <v>64.25</v>
    <v>13783218878</v>
    <v>Best Buy Co., Inc.</v>
    <v>Best Buy Co., Inc.</v>
    <v>64.680000000000007</v>
    <v>21.405799999999999</v>
    <v>64.87</v>
    <v>65.78</v>
    <v>66.08</v>
    <v>209535100</v>
    <v>BBY</v>
    <v>Best Buy Co., Inc. (XNYS:BBY)</v>
    <v>4175260</v>
    <v>4404540</v>
    <v>1966</v>
  </rv>
  <rv s="2">
    <v>34</v>
  </rv>
  <rv s="0">
    <v>https://www.bing.com/financeapi/forcetrigger?t=a1odur&amp;q=XNYS%3aBF.A&amp;form=skydnc</v>
    <v>Learn more on Bing</v>
  </rv>
  <rv s="3">
    <v>7</v>
    <v>BROWN-FORMAN CORPORATION (XNYS:BF.A)</v>
    <v>2</v>
    <v>8</v>
    <v>Finance</v>
    <v>4</v>
    <v>en-US</v>
    <v>a1odur</v>
    <v>268435456</v>
    <v>1</v>
    <v>Powered by Refinitiv</v>
    <v>38.21</v>
    <v>25.53</v>
    <v>0.37659999999999999</v>
    <v>-0.62</v>
    <v>-2.0104E-2</v>
    <v>0</v>
    <v>0</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30.83</v>
    <v>Beverages</v>
    <v>Stock</v>
    <v>46066.881998772653</v>
    <v>36</v>
    <v>29.6</v>
    <v>13998188068</v>
    <v>BROWN-FORMAN CORPORATION</v>
    <v>BROWN-FORMAN CORPORATION</v>
    <v>30.63</v>
    <v>30.84</v>
    <v>30.22</v>
    <v>30.22</v>
    <v>463209400</v>
    <v>BF.A</v>
    <v>BROWN-FORMAN CORPORATION (XNYS:BF.A)</v>
    <v>139380</v>
    <v>180629</v>
    <v>1933</v>
  </rv>
  <rv s="2">
    <v>37</v>
  </rv>
  <rv s="4">
    <v>12</v>
    <v>P/E</v>
    <v>0</v>
  </rv>
  <rv s="0">
    <v>https://www.bing.com/financeapi/forcetrigger?t=a1om4c&amp;q=XNYS%3aBLK&amp;form=skydnc</v>
    <v>Learn more on Bing</v>
  </rv>
  <rv s="1">
    <v>0</v>
    <v>BLACKROCK, INC. (XNYS:BLK)</v>
    <v>2</v>
    <v>3</v>
    <v>Finance</v>
    <v>5</v>
    <v>en-US</v>
    <v>a1om4c</v>
    <v>268435456</v>
    <v>1</v>
    <v>Powered by Refinitiv</v>
    <v>1219.9399000000001</v>
    <v>773.74009999999998</v>
    <v>1.4923999999999999</v>
    <v>15.09</v>
    <v>1.4295E-2</v>
    <v>1.42</v>
    <v>1.325E-3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1072.2</v>
    <v>Investment Banking &amp; Investment Services</v>
    <v>Stock</v>
    <v>46066.98434467578</v>
    <v>40</v>
    <v>1047</v>
    <v>166123171648</v>
    <v>BLACKROCK, INC.</v>
    <v>BLACKROCK, INC.</v>
    <v>1057.2</v>
    <v>30.459700000000002</v>
    <v>1055.6300000000001</v>
    <v>1070.72</v>
    <v>1072.93</v>
    <v>155150900</v>
    <v>BLK</v>
    <v>BLACKROCK, INC. (XNYS:BLK)</v>
    <v>669228</v>
    <v>828773</v>
    <v>2024</v>
  </rv>
  <rv s="2">
    <v>41</v>
  </rv>
  <rv s="0">
    <v>https://www.bing.com/financeapi/forcetrigger?t=a1ook2&amp;q=XNYS%3aBMY&amp;form=skydnc</v>
    <v>Learn more on Bing</v>
  </rv>
  <rv s="1">
    <v>0</v>
    <v>BRISTOL-MYERS SQUIBB COMPANY (XNYS:BMY)</v>
    <v>2</v>
    <v>3</v>
    <v>Finance</v>
    <v>4</v>
    <v>en-US</v>
    <v>a1ook2</v>
    <v>268435456</v>
    <v>1</v>
    <v>Powered by Refinitiv</v>
    <v>63.33</v>
    <v>42.52</v>
    <v>0.26989999999999997</v>
    <v>0.88</v>
    <v>1.4700999999999999E-2</v>
    <v>-0.14000000000000001</v>
    <v>-2.3050000000000002E-3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60.945</v>
    <v>Pharmaceuticals</v>
    <v>Stock</v>
    <v>46066.912708228905</v>
    <v>43</v>
    <v>60.02</v>
    <v>123695430760</v>
    <v>BRISTOL-MYERS SQUIBB COMPANY</v>
    <v>BRISTOL-MYERS SQUIBB COMPANY</v>
    <v>60.11</v>
    <v>17.335100000000001</v>
    <v>59.86</v>
    <v>60.74</v>
    <v>60.6</v>
    <v>2036474000</v>
    <v>BMY</v>
    <v>BRISTOL-MYERS SQUIBB COMPANY (XNYS:BMY)</v>
    <v>10819612</v>
    <v>13346682</v>
    <v>1933</v>
  </rv>
  <rv s="2">
    <v>44</v>
  </rv>
  <rv s="0">
    <v>https://www.bing.com/financeapi/forcetrigger?t=a1p7zr&amp;q=XNYS%3aCAT&amp;form=skydnc</v>
    <v>Learn more on Bing</v>
  </rv>
  <rv s="1">
    <v>0</v>
    <v>CATERPILLAR INC. (XNYS:CAT)</v>
    <v>2</v>
    <v>3</v>
    <v>Finance</v>
    <v>5</v>
    <v>en-US</v>
    <v>a1p7zr</v>
    <v>268435456</v>
    <v>1</v>
    <v>Powered by Refinitiv</v>
    <v>789.81</v>
    <v>267.3</v>
    <v>1.5105999999999999</v>
    <v>16.37</v>
    <v>2.1588E-2</v>
    <v>1.03</v>
    <v>1.33E-3</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784</v>
    <v>Machinery, Equipment &amp; Components</v>
    <v>Stock</v>
    <v>46066.98558070547</v>
    <v>46</v>
    <v>747.42</v>
    <v>362525076936</v>
    <v>CATERPILLAR INC.</v>
    <v>CATERPILLAR INC.</v>
    <v>765</v>
    <v>40.277700000000003</v>
    <v>758.29</v>
    <v>774.66</v>
    <v>775.23</v>
    <v>467979600</v>
    <v>CAT</v>
    <v>CATERPILLAR INC. (XNYS:CAT)</v>
    <v>3232805</v>
    <v>2993304</v>
    <v>1986</v>
  </rv>
  <rv s="2">
    <v>47</v>
  </rv>
  <rv s="0">
    <v>https://www.bing.com/financeapi/forcetrigger?t=a1pcf2&amp;q=XNYS%3aCCI&amp;form=skydnc</v>
    <v>Learn more on Bing</v>
  </rv>
  <rv s="1">
    <v>0</v>
    <v>CROWN CASTLE INC. (XNYS:CCI)</v>
    <v>2</v>
    <v>3</v>
    <v>Finance</v>
    <v>5</v>
    <v>en-US</v>
    <v>a1pcf2</v>
    <v>268435456</v>
    <v>1</v>
    <v>Powered by Refinitiv</v>
    <v>115.76</v>
    <v>77.010000000000005</v>
    <v>0.96789999999999998</v>
    <v>2.58</v>
    <v>2.9382000000000002E-2</v>
    <v>0</v>
    <v>0</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90.99</v>
    <v>Residential &amp; Commercial REIT</v>
    <v>Stock</v>
    <v>46066.888890971873</v>
    <v>49</v>
    <v>87.89</v>
    <v>39319650000</v>
    <v>CROWN CASTLE INC.</v>
    <v>CROWN CASTLE INC.</v>
    <v>88.37</v>
    <v>34.7896</v>
    <v>87.81</v>
    <v>90.39</v>
    <v>90.38</v>
    <v>435000000</v>
    <v>CCI</v>
    <v>CROWN CASTLE INC. (XNYS:CCI)</v>
    <v>3292186</v>
    <v>3795098</v>
    <v>2014</v>
  </rv>
  <rv s="2">
    <v>50</v>
  </rv>
  <rv s="0">
    <v>https://www.bing.com/financeapi/forcetrigger?t=a1pshw&amp;q=XNYS%3aCL&amp;form=skydnc</v>
    <v>Learn more on Bing</v>
  </rv>
  <rv s="1">
    <v>0</v>
    <v>COLGATE-PALMOLIVE COMPANY (XNYS:CL)</v>
    <v>2</v>
    <v>3</v>
    <v>Finance</v>
    <v>4</v>
    <v>en-US</v>
    <v>a1pshw</v>
    <v>268435456</v>
    <v>1</v>
    <v>Powered by Refinitiv</v>
    <v>100.18</v>
    <v>74.545000000000002</v>
    <v>0.27389999999999998</v>
    <v>0.5</v>
    <v>5.1990000000000005E-3</v>
    <v>6.4399999999999999E-2</v>
    <v>6.6620000000000004E-4</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97.3</v>
    <v>Personal &amp; Household Products &amp; Services</v>
    <v>Stock</v>
    <v>46066.932999825782</v>
    <v>52</v>
    <v>95.4</v>
    <v>77922293883</v>
    <v>COLGATE-PALMOLIVE COMPANY</v>
    <v>COLGATE-PALMOLIVE COMPANY</v>
    <v>96.05</v>
    <v>36.686599999999999</v>
    <v>96.17</v>
    <v>96.67</v>
    <v>96.734399999999994</v>
    <v>806064900</v>
    <v>CL</v>
    <v>COLGATE-PALMOLIVE COMPANY (XNYS:CL)</v>
    <v>5326389</v>
    <v>7727462</v>
    <v>1923</v>
  </rv>
  <rv s="2">
    <v>53</v>
  </rv>
  <rv s="0">
    <v>https://www.bing.com/financeapi/forcetrigger?t=a1pvu2&amp;q=XNYS%3aCLX&amp;form=skydnc</v>
    <v>Learn more on Bing</v>
  </rv>
  <rv s="1">
    <v>0</v>
    <v>THE CLOROX COMPANY (XNYS:CLX)</v>
    <v>2</v>
    <v>3</v>
    <v>Finance</v>
    <v>5</v>
    <v>en-US</v>
    <v>a1pvu2</v>
    <v>268435456</v>
    <v>1</v>
    <v>Powered by Refinitiv</v>
    <v>159.04</v>
    <v>96.6601</v>
    <v>0.5766</v>
    <v>1.2749999999999999</v>
    <v>1.0228999999999999E-2</v>
    <v>-0.25</v>
    <v>-1.9850000000000002E-3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126.01</v>
    <v>Personal &amp; Household Products &amp; Services</v>
    <v>Stock</v>
    <v>46066.904540635936</v>
    <v>55</v>
    <v>123.62</v>
    <v>15224621888</v>
    <v>THE CLOROX COMPANY</v>
    <v>THE CLOROX COMPANY</v>
    <v>125</v>
    <v>20.365200000000002</v>
    <v>124.64</v>
    <v>125.91500000000001</v>
    <v>125.69</v>
    <v>120911900</v>
    <v>CLX</v>
    <v>THE CLOROX COMPANY (XNYS:CLX)</v>
    <v>1525199</v>
    <v>2372926</v>
    <v>1986</v>
  </rv>
  <rv s="2">
    <v>56</v>
  </rv>
  <rv s="0">
    <v>https://www.bing.com/financeapi/forcetrigger?t=a1pwqh&amp;q=XNAS%3aCMCSA&amp;form=skydnc</v>
    <v>Learn more on Bing</v>
  </rv>
  <rv s="1">
    <v>0</v>
    <v>COMCAST CORPORATION (XNAS:CMCSA)</v>
    <v>2</v>
    <v>3</v>
    <v>Finance</v>
    <v>5</v>
    <v>en-US</v>
    <v>a1pwqh</v>
    <v>268435456</v>
    <v>1</v>
    <v>Powered by Refinitiv</v>
    <v>35.5762</v>
    <v>24.1234</v>
    <v>0.77500000000000002</v>
    <v>-0.25</v>
    <v>-7.8569999999999994E-3</v>
    <v>-0.17</v>
    <v>-5.385E-3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31.88</v>
    <v>Telecommunications Services</v>
    <v>Stock</v>
    <v>46066.994421481249</v>
    <v>58</v>
    <v>31.12</v>
    <v>113583998220</v>
    <v>COMCAST CORPORATION</v>
    <v>COMCAST CORPORATION</v>
    <v>31.7</v>
    <v>5.9192999999999998</v>
    <v>31.82</v>
    <v>31.57</v>
    <v>31.4</v>
    <v>3597846000</v>
    <v>CMCSA</v>
    <v>COMCAST CORPORATION (XNAS:CMCSA)</v>
    <v>28487888</v>
    <v>36899578</v>
    <v>2001</v>
  </rv>
  <rv s="2">
    <v>59</v>
  </rv>
  <rv s="0">
    <v>https://www.bing.com/financeapi/forcetrigger?t=a1q19c&amp;q=XNYS%3aCNI&amp;form=skydnc</v>
    <v>Learn more on Bing</v>
  </rv>
  <rv s="1">
    <v>0</v>
    <v>Canadian National Railway Company (XNYS:CNI)</v>
    <v>2</v>
    <v>9</v>
    <v>Finance</v>
    <v>5</v>
    <v>en-US</v>
    <v>a1q19c</v>
    <v>268435456</v>
    <v>1</v>
    <v>Powered by Refinitiv</v>
    <v>108.745</v>
    <v>90.74</v>
    <v>0.87280000000000002</v>
    <v>0.23</v>
    <v>2.1440000000000001E-3</v>
    <v>0.15</v>
    <v>1.3940000000000001E-3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107.77</v>
    <v>Freight &amp; Logistics Services</v>
    <v>Stock</v>
    <v>46066.93750592578</v>
    <v>61</v>
    <v>105.73</v>
    <v>59319389450</v>
    <v>Canadian National Railway Company</v>
    <v>Canadian National Railway Company</v>
    <v>107.38</v>
    <v>19.4587</v>
    <v>107.3</v>
    <v>107.53</v>
    <v>107.75</v>
    <v>611400000</v>
    <v>CNI</v>
    <v>Canadian National Railway Company (XNYS:CNI)</v>
    <v>2203770</v>
    <v>1701650</v>
    <v>1995</v>
  </rv>
  <rv s="2">
    <v>62</v>
  </rv>
  <rv s="0">
    <v>https://www.bing.com/financeapi/forcetrigger?t=a1q6k2&amp;q=XNAS%3aCOST&amp;form=skydnc</v>
    <v>Learn more on Bing</v>
  </rv>
  <rv s="1">
    <v>0</v>
    <v>COSTCO WHOLESALE CORPORATION (XNAS:COST)</v>
    <v>2</v>
    <v>3</v>
    <v>Finance</v>
    <v>5</v>
    <v>en-US</v>
    <v>a1q6k2</v>
    <v>268435456</v>
    <v>1</v>
    <v>Powered by Refinitiv</v>
    <v>1078.2349999999999</v>
    <v>844.06</v>
    <v>0.99629999999999996</v>
    <v>19.62</v>
    <v>1.9642E-2</v>
    <v>-2.1800000000000002</v>
    <v>-2.14E-3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1022.88</v>
    <v>Diversified Retail</v>
    <v>Stock</v>
    <v>46066.967229883594</v>
    <v>64</v>
    <v>993.76</v>
    <v>452072106512</v>
    <v>COSTCO WHOLESALE CORPORATION</v>
    <v>COSTCO WHOLESALE CORPORATION</v>
    <v>1000</v>
    <v>53.506100000000004</v>
    <v>998.86</v>
    <v>1018.48</v>
    <v>1016.3</v>
    <v>443869400</v>
    <v>COST</v>
    <v>COSTCO WHOLESALE CORPORATION (XNAS:COST)</v>
    <v>2661568</v>
    <v>2662398</v>
    <v>1987</v>
  </rv>
  <rv s="2">
    <v>65</v>
  </rv>
  <rv s="0">
    <v>https://www.bing.com/financeapi/forcetrigger?t=a1q7jc&amp;q=XNYS%3aCPB&amp;form=skydnc</v>
    <v>Learn more on Bing</v>
  </rv>
  <rv s="1">
    <v>0</v>
    <v>THE CAMPBELL'S COMPANY (XNAS:CPB)</v>
    <v>2</v>
    <v>3</v>
    <v>Finance</v>
    <v>4</v>
    <v>en-US</v>
    <v>a1q7jc</v>
    <v>268435456</v>
    <v>1</v>
    <v>Powered by Refinitiv</v>
    <v>43.85</v>
    <v>25.62</v>
    <v>-4.9799999999999997E-2</v>
    <v>0.47</v>
    <v>1.6195999999999999E-2</v>
    <v>0.14000000000000001</v>
    <v>4.7470000000000004E-3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29.984999999999999</v>
    <v>Food &amp; Tobacco</v>
    <v>Stock</v>
    <v>46066.876661678129</v>
    <v>67</v>
    <v>29</v>
    <v>8791977558</v>
    <v>THE CAMPBELL'S COMPANY</v>
    <v>THE CAMPBELL'S COMPANY</v>
    <v>29.07</v>
    <v>15.0265</v>
    <v>29.02</v>
    <v>29.49</v>
    <v>29.63</v>
    <v>298134200</v>
    <v>CPB</v>
    <v>THE CAMPBELL'S COMPANY (XNAS:CPB)</v>
    <v>5675706</v>
    <v>7052396</v>
    <v>1922</v>
  </rv>
  <rv s="2">
    <v>68</v>
  </rv>
  <rv s="0">
    <v>https://www.bing.com/financeapi/forcetrigger?t=a1qlnm&amp;q=XNYS%3aCVS&amp;form=skydnc</v>
    <v>Learn more on Bing</v>
  </rv>
  <rv s="1">
    <v>0</v>
    <v>CVS HEALTH CORPORATION (XNYS:CVS)</v>
    <v>2</v>
    <v>3</v>
    <v>Finance</v>
    <v>5</v>
    <v>en-US</v>
    <v>a1qlnm</v>
    <v>268435456</v>
    <v>1</v>
    <v>Powered by Refinitiv</v>
    <v>85.15</v>
    <v>58.35</v>
    <v>0.48759999999999998</v>
    <v>0.54</v>
    <v>6.9289999999999994E-3</v>
    <v>0.02</v>
    <v>2.5480000000000001E-4</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79.09</v>
    <v>Healthcare Providers &amp; Services</v>
    <v>Stock</v>
    <v>46066.962977036717</v>
    <v>70</v>
    <v>77.650000000000006</v>
    <v>99830397170</v>
    <v>CVS HEALTH CORPORATION</v>
    <v>CVS HEALTH CORPORATION</v>
    <v>77.75</v>
    <v>56.988</v>
    <v>77.930000000000007</v>
    <v>78.47</v>
    <v>78.5</v>
    <v>1272211000</v>
    <v>CVS</v>
    <v>CVS HEALTH CORPORATION (XNYS:CVS)</v>
    <v>6721020</v>
    <v>10542215</v>
    <v>1996</v>
  </rv>
  <rv s="2">
    <v>71</v>
  </rv>
  <rv s="0">
    <v>https://www.bing.com/financeapi/forcetrigger?t=a1qlz2&amp;q=XNYS%3aCVX&amp;form=skydnc</v>
    <v>Learn more on Bing</v>
  </rv>
  <rv s="1">
    <v>0</v>
    <v>CHEVRON CORPORATION (XNYS:CVX)</v>
    <v>2</v>
    <v>3</v>
    <v>Finance</v>
    <v>5</v>
    <v>en-US</v>
    <v>a1qlz2</v>
    <v>268435456</v>
    <v>1</v>
    <v>Powered by Refinitiv</v>
    <v>186.52</v>
    <v>132.04</v>
    <v>0.66239999999999999</v>
    <v>1.3</v>
    <v>7.1269999999999997E-3</v>
    <v>0.2213</v>
    <v>1.204E-3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184.84</v>
    <v>Oil &amp; Gas</v>
    <v>Stock</v>
    <v>46066.947429791406</v>
    <v>73</v>
    <v>181.72</v>
    <v>363726000000</v>
    <v>CHEVRON CORPORATION</v>
    <v>CHEVRON CORPORATION</v>
    <v>182.54</v>
    <v>27.436900000000001</v>
    <v>182.4</v>
    <v>183.7</v>
    <v>183.96129999999999</v>
    <v>1980000000</v>
    <v>CVX</v>
    <v>CHEVRON CORPORATION (XNYS:CVX)</v>
    <v>9034683</v>
    <v>11899332</v>
    <v>1926</v>
  </rv>
  <rv s="2">
    <v>74</v>
  </rv>
  <rv s="0">
    <v>https://www.bing.com/financeapi/forcetrigger?t=a1qpw7&amp;q=XNYS%3aD&amp;form=skydnc</v>
    <v>Learn more on Bing</v>
  </rv>
  <rv s="1">
    <v>0</v>
    <v>Dominion Energy, Inc. (XNYS:D)</v>
    <v>2</v>
    <v>3</v>
    <v>Finance</v>
    <v>4</v>
    <v>en-US</v>
    <v>a1qpw7</v>
    <v>268435456</v>
    <v>1</v>
    <v>Powered by Refinitiv</v>
    <v>66.790000000000006</v>
    <v>48.07</v>
    <v>0.67849999999999999</v>
    <v>1.39</v>
    <v>2.1344999999999999E-2</v>
    <v>-0.01</v>
    <v>-1.504E-4</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66.790000000000006</v>
    <v>Electrical Utilities &amp; IPPs</v>
    <v>Stock</v>
    <v>46066.881944444445</v>
    <v>76</v>
    <v>65</v>
    <v>56793773583</v>
    <v>Dominion Energy, Inc.</v>
    <v>Dominion Energy, Inc.</v>
    <v>65</v>
    <v>24.444500000000001</v>
    <v>65.12</v>
    <v>66.510000000000005</v>
    <v>66.5</v>
    <v>853913300</v>
    <v>D</v>
    <v>Dominion Energy, Inc. (XNYS:D)</v>
    <v>4554192</v>
    <v>5797521</v>
    <v>1983</v>
  </rv>
  <rv s="2">
    <v>77</v>
  </rv>
  <rv s="0">
    <v>https://www.bing.com/financeapi/forcetrigger?t=a1qvjc&amp;q=XNYS%3aDE&amp;form=skydnc</v>
    <v>Learn more on Bing</v>
  </rv>
  <rv s="1">
    <v>0</v>
    <v>DEERE &amp; COMPANY (XNYS:DE)</v>
    <v>2</v>
    <v>3</v>
    <v>Finance</v>
    <v>4</v>
    <v>en-US</v>
    <v>a1qvjc</v>
    <v>268435456</v>
    <v>1</v>
    <v>Powered by Refinitiv</v>
    <v>626.25</v>
    <v>404.42</v>
    <v>0.96809999999999996</v>
    <v>4.8099999999999996</v>
    <v>8.0420000000000005E-3</v>
    <v>-0.12</v>
    <v>-1.9900000000000001E-4</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610.95799999999997</v>
    <v>Machinery, Equipment &amp; Components</v>
    <v>Stock</v>
    <v>46066.912763703127</v>
    <v>79</v>
    <v>597.20000000000005</v>
    <v>163436237540</v>
    <v>DEERE &amp; COMPANY</v>
    <v>DEERE &amp; COMPANY</v>
    <v>598.86</v>
    <v>32.319000000000003</v>
    <v>598.11</v>
    <v>602.91999999999996</v>
    <v>602.79999999999995</v>
    <v>271074500</v>
    <v>DE</v>
    <v>DEERE &amp; COMPANY (XNYS:DE)</v>
    <v>1565162</v>
    <v>1561196</v>
    <v>1958</v>
  </rv>
  <rv s="2">
    <v>80</v>
  </rv>
  <rv s="0">
    <v>https://www.bing.com/financeapi/forcetrigger?t=a1qwoc&amp;q=XNYS%3aDEO&amp;form=skydnc</v>
    <v>Learn more on Bing</v>
  </rv>
  <rv s="1">
    <v>0</v>
    <v>DIAGEO PLC (XNYS:DEO)</v>
    <v>2</v>
    <v>10</v>
    <v>Finance</v>
    <v>4</v>
    <v>en-US</v>
    <v>a1qwoc</v>
    <v>268435456</v>
    <v>1</v>
    <v>Powered by Refinitiv</v>
    <v>116.69</v>
    <v>84.52</v>
    <v>0.25390000000000001</v>
    <v>-0.88</v>
    <v>-8.796E-3</v>
    <v>0.32</v>
    <v>3.2269999999999998E-3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100.15</v>
    <v>Beverages</v>
    <v>Stock</v>
    <v>46066.998198055466</v>
    <v>82</v>
    <v>98.62</v>
    <v>56111823857</v>
    <v>DIAGEO PLC</v>
    <v>DIAGEO PLC</v>
    <v>100.13</v>
    <v>23.6737</v>
    <v>100.05</v>
    <v>99.17</v>
    <v>99.49</v>
    <v>2226439000</v>
    <v>DEO</v>
    <v>DIAGEO PLC (XNYS:DEO)</v>
    <v>1161243</v>
    <v>1710711</v>
    <v>1886</v>
  </rv>
  <rv s="2">
    <v>83</v>
  </rv>
  <rv s="0">
    <v>https://www.bing.com/financeapi/forcetrigger?t=a1r5fr&amp;q=XNYS%3aDLR&amp;form=skydnc</v>
    <v>Learn more on Bing</v>
  </rv>
  <rv s="1">
    <v>0</v>
    <v>DIGITAL REALTY TRUST, INC. (XNYS:DLR)</v>
    <v>2</v>
    <v>3</v>
    <v>Finance</v>
    <v>5</v>
    <v>en-US</v>
    <v>a1r5fr</v>
    <v>268435456</v>
    <v>1</v>
    <v>Powered by Refinitiv</v>
    <v>184.79</v>
    <v>129.94999999999999</v>
    <v>1.1221000000000001</v>
    <v>0.66</v>
    <v>3.6600000000000001E-3</v>
    <v>-0.65429999999999999</v>
    <v>-3.6159999999999999E-3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182</v>
    <v>Residential &amp; Commercial REIT</v>
    <v>Stock</v>
    <v>46066.904540693751</v>
    <v>85</v>
    <v>178.99</v>
    <v>62173510290</v>
    <v>DIGITAL REALTY TRUST, INC.</v>
    <v>DIGITAL REALTY TRUST, INC.</v>
    <v>181.5</v>
    <v>50.365900000000003</v>
    <v>180.31</v>
    <v>180.97</v>
    <v>180.31569999999999</v>
    <v>343557000</v>
    <v>DLR</v>
    <v>DIGITAL REALTY TRUST, INC. (XNYS:DLR)</v>
    <v>2374889</v>
    <v>2126147</v>
    <v>2004</v>
  </rv>
  <rv s="2">
    <v>86</v>
  </rv>
  <rv s="0">
    <v>https://www.bing.com/financeapi/forcetrigger?t=bpifbh&amp;q=XNYS%3aDOW&amp;form=skydnc</v>
    <v>Learn more on Bing</v>
  </rv>
  <rv s="3">
    <v>7</v>
    <v>Dow Inc. (XNYS:DOW)</v>
    <v>2</v>
    <v>8</v>
    <v>Finance</v>
    <v>4</v>
    <v>en-US</v>
    <v>bpifbh</v>
    <v>268435456</v>
    <v>1</v>
    <v>Powered by Refinitiv</v>
    <v>40.090000000000003</v>
    <v>20.401900000000001</v>
    <v>0.70540000000000003</v>
    <v>-0.16</v>
    <v>-4.8999999999999998E-3</v>
    <v>0.15920000000000001</v>
    <v>4.8999999999999998E-3</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33.15</v>
    <v>Chemicals</v>
    <v>Stock</v>
    <v>46066.881944444445</v>
    <v>88</v>
    <v>32.320999999999998</v>
    <v>23312682909</v>
    <v>Dow Inc.</v>
    <v>Dow Inc.</v>
    <v>32.619999999999997</v>
    <v>32.65</v>
    <v>32.49</v>
    <v>32.6492</v>
    <v>717534100</v>
    <v>DOW</v>
    <v>Dow Inc. (XNYS:DOW)</v>
    <v>10184110</v>
    <v>14017560</v>
    <v>2018</v>
  </rv>
  <rv s="2">
    <v>89</v>
  </rv>
  <rv s="0">
    <v>https://www.bing.com/financeapi/forcetrigger?t=a1rdzr&amp;q=XNYS%3aDUK&amp;form=skydnc</v>
    <v>Learn more on Bing</v>
  </rv>
  <rv s="1">
    <v>0</v>
    <v>DUKE ENERGY CORPORATION (XNYS:DUK)</v>
    <v>2</v>
    <v>3</v>
    <v>Finance</v>
    <v>4</v>
    <v>en-US</v>
    <v>a1rdzr</v>
    <v>268435456</v>
    <v>1</v>
    <v>Powered by Refinitiv</v>
    <v>130.03</v>
    <v>110.51</v>
    <v>0.49659999999999999</v>
    <v>3.1549999999999998</v>
    <v>2.5231E-2</v>
    <v>-0.35499999999999998</v>
    <v>-2.7689999999999998E-3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128.26</v>
    <v>Electrical Utilities &amp; IPPs</v>
    <v>Stock</v>
    <v>46066.881944444445</v>
    <v>91</v>
    <v>124.97499999999999</v>
    <v>99739599999</v>
    <v>DUKE ENERGY CORPORATION</v>
    <v>DUKE ENERGY CORPORATION</v>
    <v>125.11</v>
    <v>19.787299999999998</v>
    <v>125.045</v>
    <v>128.19999999999999</v>
    <v>127.845</v>
    <v>778000000</v>
    <v>DUK</v>
    <v>DUKE ENERGY CORPORATION (XNYS:DUK)</v>
    <v>5569375</v>
    <v>4506921</v>
    <v>2005</v>
  </rv>
  <rv s="2">
    <v>92</v>
  </rv>
  <rv s="0">
    <v>https://www.bing.com/financeapi/forcetrigger?t=a1rmkr&amp;q=XNYS%3aED&amp;form=skydnc</v>
    <v>Learn more on Bing</v>
  </rv>
  <rv s="1">
    <v>0</v>
    <v>CONSOLIDATED EDISON, INC. (XNYS:ED)</v>
    <v>2</v>
    <v>3</v>
    <v>Finance</v>
    <v>5</v>
    <v>en-US</v>
    <v>a1rmkr</v>
    <v>268435456</v>
    <v>1</v>
    <v>Powered by Refinitiv</v>
    <v>114.87</v>
    <v>94.49</v>
    <v>0.37309999999999999</v>
    <v>1.92</v>
    <v>1.7186E-2</v>
    <v>0.13</v>
    <v>1.1429999999999999E-3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114.02</v>
    <v>Electrical Utilities &amp; IPPs</v>
    <v>Stock</v>
    <v>46066.908316885936</v>
    <v>94</v>
    <v>110.98</v>
    <v>41016721584</v>
    <v>CONSOLIDATED EDISON, INC.</v>
    <v>CONSOLIDATED EDISON, INC.</v>
    <v>111.77</v>
    <v>19.515499999999999</v>
    <v>111.72</v>
    <v>113.64</v>
    <v>113.85</v>
    <v>360935600</v>
    <v>ED</v>
    <v>CONSOLIDATED EDISON, INC. (XNYS:ED)</v>
    <v>2275122</v>
    <v>1962624</v>
    <v>1997</v>
  </rv>
  <rv s="2">
    <v>95</v>
  </rv>
  <rv s="0">
    <v>https://www.bing.com/financeapi/forcetrigger?t=a1rxu2&amp;q=XNYS%3aEMN&amp;form=skydnc</v>
    <v>Learn more on Bing</v>
  </rv>
  <rv s="1">
    <v>0</v>
    <v>EASTMAN CHEMICAL COMPANY (XNYS:EMN)</v>
    <v>2</v>
    <v>3</v>
    <v>Finance</v>
    <v>4</v>
    <v>en-US</v>
    <v>a1rxu2</v>
    <v>268435456</v>
    <v>1</v>
    <v>Powered by Refinitiv</v>
    <v>103.82</v>
    <v>56.11</v>
    <v>1.1894</v>
    <v>0.27</v>
    <v>3.3829999999999997E-3</v>
    <v>-0.56999999999999995</v>
    <v>-7.1180000000000002E-3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80.864999999999995</v>
    <v>Chemicals</v>
    <v>Stock</v>
    <v>46066.967778738283</v>
    <v>97</v>
    <v>79.355000000000004</v>
    <v>9137128000</v>
    <v>EASTMAN CHEMICAL COMPANY</v>
    <v>EASTMAN CHEMICAL COMPANY</v>
    <v>79.52</v>
    <v>19.522200000000002</v>
    <v>79.81</v>
    <v>80.08</v>
    <v>79.510000000000005</v>
    <v>114100000</v>
    <v>EMN</v>
    <v>EASTMAN CHEMICAL COMPANY (XNYS:EMN)</v>
    <v>1453671</v>
    <v>1898300</v>
    <v>1993</v>
  </rv>
  <rv s="2">
    <v>98</v>
  </rv>
  <rv s="0">
    <v>https://www.bing.com/financeapi/forcetrigger?t=a1s24c&amp;q=XNYS%3aEOG&amp;form=skydnc</v>
    <v>Learn more on Bing</v>
  </rv>
  <rv s="1">
    <v>0</v>
    <v>EOG RESOURCES, INC. (XNYS:EOG)</v>
    <v>2</v>
    <v>3</v>
    <v>Finance</v>
    <v>5</v>
    <v>en-US</v>
    <v>a1s24c</v>
    <v>268435456</v>
    <v>1</v>
    <v>Powered by Refinitiv</v>
    <v>135.87</v>
    <v>101.5936</v>
    <v>0.44419999999999998</v>
    <v>2.88</v>
    <v>2.4438000000000001E-2</v>
    <v>-1.23</v>
    <v>-1.0187999999999999E-2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121.11</v>
    <v>Oil &amp; Gas</v>
    <v>Stock</v>
    <v>46066.88889104141</v>
    <v>100</v>
    <v>117.94</v>
    <v>65507904832</v>
    <v>EOG RESOURCES, INC.</v>
    <v>EOG RESOURCES, INC.</v>
    <v>117.94</v>
    <v>11.7159</v>
    <v>117.85</v>
    <v>120.73</v>
    <v>119.5</v>
    <v>542598400</v>
    <v>EOG</v>
    <v>EOG RESOURCES, INC. (XNYS:EOG)</v>
    <v>4864216</v>
    <v>5001996</v>
    <v>1985</v>
  </rv>
  <rv s="2">
    <v>101</v>
  </rv>
  <rv s="0">
    <v>https://www.bing.com/financeapi/forcetrigger?t=a1s4mw&amp;q=XNAS%3aEQIX&amp;form=skydnc</v>
    <v>Learn more on Bing</v>
  </rv>
  <rv s="1">
    <v>0</v>
    <v>EQUINIX, INC. (XNAS:EQIX)</v>
    <v>2</v>
    <v>3</v>
    <v>Finance</v>
    <v>4</v>
    <v>en-US</v>
    <v>a1s4mw</v>
    <v>268435456</v>
    <v>1</v>
    <v>Powered by Refinitiv</v>
    <v>992.9</v>
    <v>701.41</v>
    <v>1.0250999999999999</v>
    <v>-1.68</v>
    <v>-1.7539999999999999E-3</v>
    <v>-16.189900000000002</v>
    <v>-1.6931999999999999E-2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967.03</v>
    <v>Residential &amp; Commercial REIT</v>
    <v>Stock</v>
    <v>46066.913180844531</v>
    <v>103</v>
    <v>942.11</v>
    <v>93950381516</v>
    <v>EQUINIX, INC.</v>
    <v>EQUINIX, INC.</v>
    <v>956.78</v>
    <v>69.610600000000005</v>
    <v>957.87</v>
    <v>956.19</v>
    <v>940.00009999999997</v>
    <v>98254930</v>
    <v>EQIX</v>
    <v>EQUINIX, INC. (XNAS:EQIX)</v>
    <v>1063985</v>
    <v>637920</v>
    <v>1998</v>
  </rv>
  <rv s="2">
    <v>104</v>
  </rv>
  <rv s="0">
    <v>https://www.bing.com/financeapi/forcetrigger?t=a1sl52&amp;q=XNAS%3aFAST&amp;form=skydnc</v>
    <v>Learn more on Bing</v>
  </rv>
  <rv s="1">
    <v>0</v>
    <v>FASTENAL COMPANY (XNAS:FAST)</v>
    <v>2</v>
    <v>3</v>
    <v>Finance</v>
    <v>5</v>
    <v>en-US</v>
    <v>a1sl52</v>
    <v>268435456</v>
    <v>1</v>
    <v>Powered by Refinitiv</v>
    <v>50.63</v>
    <v>35.305</v>
    <v>0.86970000000000003</v>
    <v>0.87</v>
    <v>1.9103999999999999E-2</v>
    <v>-0.38869999999999999</v>
    <v>-8.3750000000000005E-3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46.54</v>
    <v>Machinery, Equipment &amp; Components</v>
    <v>Stock</v>
    <v>46066.985160717188</v>
    <v>106</v>
    <v>45.03</v>
    <v>53286987389</v>
    <v>FASTENAL COMPANY</v>
    <v>FASTENAL COMPANY</v>
    <v>45.704999999999998</v>
    <v>41.6233</v>
    <v>45.54</v>
    <v>46.41</v>
    <v>46.021299999999997</v>
    <v>1148179000</v>
    <v>FAST</v>
    <v>FASTENAL COMPANY (XNAS:FAST)</v>
    <v>9921118</v>
    <v>9966274</v>
    <v>1968</v>
  </rv>
  <rv s="2">
    <v>107</v>
  </rv>
  <rv s="0">
    <v>https://www.bing.com/financeapi/forcetrigger?t=a1sqr7&amp;q=XNYS%3aFDX&amp;form=skydnc</v>
    <v>Learn more on Bing</v>
  </rv>
  <rv s="1">
    <v>0</v>
    <v>FEDEX CORPORATION (XNYS:FDX)</v>
    <v>2</v>
    <v>3</v>
    <v>Finance</v>
    <v>5</v>
    <v>en-US</v>
    <v>a1sqr7</v>
    <v>268435456</v>
    <v>1</v>
    <v>Powered by Refinitiv</v>
    <v>380.86</v>
    <v>194.29499999999999</v>
    <v>1.2941</v>
    <v>5.2050000000000001</v>
    <v>1.4088E-2</v>
    <v>-0.22</v>
    <v>-5.8710000000000001E-4</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378.52</v>
    <v>Freight &amp; Logistics Services</v>
    <v>Stock</v>
    <v>46066.921083020316</v>
    <v>109</v>
    <v>364.63</v>
    <v>88092283862</v>
    <v>FEDEX CORPORATION</v>
    <v>FEDEX CORPORATION</v>
    <v>370</v>
    <v>20.395299999999999</v>
    <v>369.46</v>
    <v>374.66500000000002</v>
    <v>374.5</v>
    <v>235122800</v>
    <v>FDX</v>
    <v>FEDEX CORPORATION (XNYS:FDX)</v>
    <v>1846935</v>
    <v>2097910</v>
    <v>1997</v>
  </rv>
  <rv s="2">
    <v>110</v>
  </rv>
  <rv s="0">
    <v>https://www.bing.com/financeapi/forcetrigger?t=a1t227&amp;q=XNYS%3aFLO&amp;form=skydnc</v>
    <v>Learn more on Bing</v>
  </rv>
  <rv s="1">
    <v>0</v>
    <v>FLOWERS FOODS, INC. (XNYS:FLO)</v>
    <v>2</v>
    <v>3</v>
    <v>Finance</v>
    <v>4</v>
    <v>en-US</v>
    <v>a1t227</v>
    <v>268435456</v>
    <v>1</v>
    <v>Powered by Refinitiv</v>
    <v>20.23</v>
    <v>9.84</v>
    <v>0.3427</v>
    <v>-0.99</v>
    <v>-8.7224999999999997E-2</v>
    <v>0.08</v>
    <v>7.7219999999999997E-3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11.427300000000001</v>
    <v>Food &amp; Tobacco</v>
    <v>Stock</v>
    <v>46066.881944444445</v>
    <v>112</v>
    <v>9.84</v>
    <v>2187806152</v>
    <v>FLOWERS FOODS, INC.</v>
    <v>FLOWERS FOODS, INC.</v>
    <v>11.164999999999999</v>
    <v>12.4015</v>
    <v>11.35</v>
    <v>10.36</v>
    <v>10.44</v>
    <v>211178200</v>
    <v>FLO</v>
    <v>FLOWERS FOODS, INC. (XNYS:FLO)</v>
    <v>16825626</v>
    <v>3977401</v>
    <v>2000</v>
  </rv>
  <rv s="2">
    <v>113</v>
  </rv>
  <rv s="0">
    <v>https://www.bing.com/financeapi/forcetrigger?t=a1tppr&amp;q=XNYS%3aGD&amp;form=skydnc</v>
    <v>Learn more on Bing</v>
  </rv>
  <rv s="1">
    <v>0</v>
    <v>GENERAL DYNAMICS CORPORATION (XNYS:GD)</v>
    <v>2</v>
    <v>3</v>
    <v>Finance</v>
    <v>4</v>
    <v>en-US</v>
    <v>a1tppr</v>
    <v>268435456</v>
    <v>1</v>
    <v>Powered by Refinitiv</v>
    <v>369.7</v>
    <v>239.2</v>
    <v>0.40160000000000001</v>
    <v>6.89</v>
    <v>2.0219999999999998E-2</v>
    <v>1.61</v>
    <v>4.6309999999999997E-3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349.435</v>
    <v>Aerospace &amp; Defense</v>
    <v>Stock</v>
    <v>46066.91318133047</v>
    <v>115</v>
    <v>341.66</v>
    <v>93998310072</v>
    <v>GENERAL DYNAMICS CORPORATION</v>
    <v>GENERAL DYNAMICS CORPORATION</v>
    <v>341.97</v>
    <v>22.049600000000002</v>
    <v>340.75</v>
    <v>347.64</v>
    <v>349.25</v>
    <v>270389800</v>
    <v>GD</v>
    <v>GENERAL DYNAMICS CORPORATION (XNYS:GD)</v>
    <v>1533713</v>
    <v>1553101</v>
    <v>1952</v>
  </rv>
  <rv s="2">
    <v>116</v>
  </rv>
  <rv s="0">
    <v>https://www.bing.com/financeapi/forcetrigger?t=a1tvzr&amp;q=XNYS%3aGIS&amp;form=skydnc</v>
    <v>Learn more on Bing</v>
  </rv>
  <rv s="1">
    <v>0</v>
    <v>GENERAL MILLS, INC. (XNYS:GIS)</v>
    <v>2</v>
    <v>3</v>
    <v>Finance</v>
    <v>4</v>
    <v>en-US</v>
    <v>a1tvzr</v>
    <v>268435456</v>
    <v>1</v>
    <v>Powered by Refinitiv</v>
    <v>67.349999999999994</v>
    <v>42.784999999999997</v>
    <v>-7.3800000000000004E-2</v>
    <v>-0.24</v>
    <v>-4.9399999999999999E-3</v>
    <v>-0.04</v>
    <v>-8.275E-4</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48.734999999999999</v>
    <v>Food &amp; Tobacco</v>
    <v>Stock</v>
    <v>46066.881944444445</v>
    <v>118</v>
    <v>47.58</v>
    <v>25793358714</v>
    <v>GENERAL MILLS, INC.</v>
    <v>GENERAL MILLS, INC.</v>
    <v>48.56</v>
    <v>10.422499999999999</v>
    <v>48.58</v>
    <v>48.34</v>
    <v>48.3</v>
    <v>533582100</v>
    <v>GIS</v>
    <v>GENERAL MILLS, INC. (XNYS:GIS)</v>
    <v>5769802</v>
    <v>7998016</v>
    <v>1928</v>
  </rv>
  <rv s="2">
    <v>119</v>
  </rv>
  <rv s="0">
    <v>https://www.bing.com/financeapi/forcetrigger?t=a1u3rw&amp;q=XNAS%3aGOOGL&amp;form=skydnc</v>
    <v>Learn more on Bing</v>
  </rv>
  <rv s="1">
    <v>0</v>
    <v>ALPHABET INC. (XNAS:GOOGL)</v>
    <v>2</v>
    <v>3</v>
    <v>Finance</v>
    <v>5</v>
    <v>en-US</v>
    <v>a1u3rw</v>
    <v>268435456</v>
    <v>1</v>
    <v>Powered by Refinitiv</v>
    <v>349</v>
    <v>140.53</v>
    <v>1.1077999999999999</v>
    <v>-3.28</v>
    <v>-1.0615000000000001E-2</v>
    <v>-0.37</v>
    <v>-1.2099999999999999E-3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308.63</v>
    <v>Software &amp; IT Services</v>
    <v>Stock</v>
    <v>46066.999884872654</v>
    <v>121</v>
    <v>303.70999999999998</v>
    <v>3698294840000</v>
    <v>ALPHABET INC.</v>
    <v>ALPHABET INC.</v>
    <v>307.72500000000002</v>
    <v>28.584599999999998</v>
    <v>309</v>
    <v>305.72000000000003</v>
    <v>305.35000000000002</v>
    <v>12097000000</v>
    <v>GOOGL</v>
    <v>ALPHABET INC. (XNAS:GOOGL)</v>
    <v>38499701</v>
    <v>37950409</v>
    <v>2015</v>
  </rv>
  <rv s="2">
    <v>122</v>
  </rv>
  <rv s="0">
    <v>https://www.bing.com/financeapi/forcetrigger?t=a1uj52&amp;q=XNYS%3aHD&amp;form=skydnc</v>
    <v>Learn more on Bing</v>
  </rv>
  <rv s="1">
    <v>0</v>
    <v>THE HOME DEPOT, INC. (XNYS:HD)</v>
    <v>2</v>
    <v>3</v>
    <v>Finance</v>
    <v>5</v>
    <v>en-US</v>
    <v>a1uj52</v>
    <v>268435456</v>
    <v>1</v>
    <v>Powered by Refinitiv</v>
    <v>426.75</v>
    <v>326.31</v>
    <v>1.0751999999999999</v>
    <v>0.78</v>
    <v>1.9989999999999999E-3</v>
    <v>-1.5</v>
    <v>-3.836E-3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394</v>
    <v>Specialty Retailers</v>
    <v>Stock</v>
    <v>46066.997081724221</v>
    <v>124</v>
    <v>387.1</v>
    <v>389244996500</v>
    <v>THE HOME DEPOT, INC.</v>
    <v>THE HOME DEPOT, INC.</v>
    <v>390.2</v>
    <v>26.616</v>
    <v>390.22</v>
    <v>391</v>
    <v>389.55</v>
    <v>995511500</v>
    <v>HD</v>
    <v>THE HOME DEPOT, INC. (XNYS:HD)</v>
    <v>2875923</v>
    <v>4424051</v>
    <v>1978</v>
  </rv>
  <rv s="2">
    <v>125</v>
  </rv>
  <rv s="0">
    <v>https://www.bing.com/financeapi/forcetrigger?t=a1uv7w&amp;q=XNYS%3aHRL&amp;form=skydnc</v>
    <v>Learn more on Bing</v>
  </rv>
  <rv s="1">
    <v>0</v>
    <v>HORMEL FOODS CORPORATION (XNYS:HRL)</v>
    <v>2</v>
    <v>3</v>
    <v>Finance</v>
    <v>4</v>
    <v>en-US</v>
    <v>a1uv7w</v>
    <v>268435456</v>
    <v>1</v>
    <v>Powered by Refinitiv</v>
    <v>32.07</v>
    <v>21.03</v>
    <v>0.3337</v>
    <v>0.34</v>
    <v>1.4504999999999999E-2</v>
    <v>0.05</v>
    <v>2.1029999999999998E-3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23.98</v>
    <v>Food &amp; Tobacco</v>
    <v>Stock</v>
    <v>46066.881944444445</v>
    <v>127</v>
    <v>23.59</v>
    <v>13081542082</v>
    <v>HORMEL FOODS CORPORATION</v>
    <v>HORMEL FOODS CORPORATION</v>
    <v>23.59</v>
    <v>26.9788</v>
    <v>23.44</v>
    <v>23.78</v>
    <v>23.83</v>
    <v>550106900</v>
    <v>HRL</v>
    <v>HORMEL FOODS CORPORATION (XNYS:HRL)</v>
    <v>3658088</v>
    <v>4808228</v>
    <v>1928</v>
  </rv>
  <rv s="2">
    <v>128</v>
  </rv>
  <rv s="0">
    <v>https://www.bing.com/financeapi/forcetrigger?t=a1uwu2&amp;q=XNYS%3aHSY&amp;form=skydnc</v>
    <v>Learn more on Bing</v>
  </rv>
  <rv s="1">
    <v>0</v>
    <v>THE HERSHEY COMPANY (XNYS:HSY)</v>
    <v>2</v>
    <v>3</v>
    <v>Finance</v>
    <v>5</v>
    <v>en-US</v>
    <v>a1uwu2</v>
    <v>268435456</v>
    <v>1</v>
    <v>Powered by Refinitiv</v>
    <v>234.87</v>
    <v>150.04</v>
    <v>0.13689999999999999</v>
    <v>-3.69</v>
    <v>-1.6309000000000001E-2</v>
    <v>0.27</v>
    <v>1.2130000000000001E-3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227.19499999999999</v>
    <v>Food &amp; Tobacco</v>
    <v>Stock</v>
    <v>46066.883025589843</v>
    <v>130</v>
    <v>221.36</v>
    <v>45133879707</v>
    <v>THE HERSHEY COMPANY</v>
    <v>THE HERSHEY COMPANY</v>
    <v>227.05</v>
    <v>52.133600000000001</v>
    <v>226.26</v>
    <v>222.57</v>
    <v>222.85</v>
    <v>202785100</v>
    <v>HSY</v>
    <v>THE HERSHEY COMPANY (XNYS:HSY)</v>
    <v>2200400</v>
    <v>2308625</v>
    <v>1927</v>
  </rv>
  <rv s="2">
    <v>131</v>
  </rv>
  <rv s="0">
    <v>https://www.bing.com/financeapi/forcetrigger?t=a1vmf2&amp;q=XNAS%3aINTC&amp;form=skydnc</v>
    <v>Learn more on Bing</v>
  </rv>
  <rv s="1">
    <v>0</v>
    <v>INTEL CORPORATION (XNAS:INTC)</v>
    <v>2</v>
    <v>3</v>
    <v>Finance</v>
    <v>4</v>
    <v>en-US</v>
    <v>a1vmf2</v>
    <v>268435456</v>
    <v>1</v>
    <v>Powered by Refinitiv</v>
    <v>54.6</v>
    <v>17.664999999999999</v>
    <v>1.3688</v>
    <v>0.31</v>
    <v>6.6700000000000006E-3</v>
    <v>-0.17</v>
    <v>-3.6329999999999999E-3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47.69</v>
    <v>Semiconductors &amp; Semiconductor Equipment</v>
    <v>Stock</v>
    <v>46066.912712418751</v>
    <v>133</v>
    <v>44.97</v>
    <v>233716050000</v>
    <v>INTEL CORPORATION</v>
    <v>INTEL CORPORATION</v>
    <v>45.76</v>
    <v>0</v>
    <v>46.48</v>
    <v>46.79</v>
    <v>46.62</v>
    <v>4995000000</v>
    <v>INTC</v>
    <v>INTEL CORPORATION (XNAS:INTC)</v>
    <v>69740424</v>
    <v>139769074</v>
    <v>1989</v>
  </rv>
  <rv s="2">
    <v>134</v>
  </rv>
  <rv s="0">
    <v>https://www.bing.com/financeapi/forcetrigger?t=a1vmtc&amp;q=XNAS%3aINTU&amp;form=skydnc</v>
    <v>Learn more on Bing</v>
  </rv>
  <rv s="1">
    <v>0</v>
    <v>INTUIT INC. (XNAS:INTU)</v>
    <v>2</v>
    <v>3</v>
    <v>Finance</v>
    <v>5</v>
    <v>en-US</v>
    <v>a1vmtc</v>
    <v>268435456</v>
    <v>1</v>
    <v>Powered by Refinitiv</v>
    <v>813.7</v>
    <v>389.32</v>
    <v>1.2749999999999999</v>
    <v>1.44</v>
    <v>3.6180000000000001E-3</v>
    <v>0.35</v>
    <v>8.763E-4</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407.38990000000001</v>
    <v>Financial Technology (Fintech) &amp; Infrastructure</v>
    <v>Stock</v>
    <v>46066.967230103903</v>
    <v>136</v>
    <v>389.32</v>
    <v>111142675540</v>
    <v>INTUIT INC.</v>
    <v>INTUIT INC.</v>
    <v>397.01499999999999</v>
    <v>27.3278</v>
    <v>397.96</v>
    <v>399.4</v>
    <v>399.75</v>
    <v>278274100</v>
    <v>INTU</v>
    <v>INTUIT INC. (XNAS:INTU)</v>
    <v>4888297</v>
    <v>3807990</v>
    <v>1993</v>
  </rv>
  <rv s="2">
    <v>137</v>
  </rv>
  <rv s="0">
    <v>https://www.bing.com/financeapi/forcetrigger?t=a1vrec&amp;q=XNYS%3aIRM&amp;form=skydnc</v>
    <v>Learn more on Bing</v>
  </rv>
  <rv s="1">
    <v>0</v>
    <v>IRON MOUNTAIN INCORPORATED (XNYS:IRM)</v>
    <v>2</v>
    <v>3</v>
    <v>Finance</v>
    <v>5</v>
    <v>en-US</v>
    <v>a1vrec</v>
    <v>268435456</v>
    <v>1</v>
    <v>Powered by Refinitiv</v>
    <v>110.91</v>
    <v>72.33</v>
    <v>1.1335999999999999</v>
    <v>3.82</v>
    <v>3.6038000000000001E-2</v>
    <v>1.17</v>
    <v>1.0652999999999999E-2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110.8899</v>
    <v>Residential &amp; Commercial REIT</v>
    <v>Stock</v>
    <v>46066.993452152346</v>
    <v>139</v>
    <v>106.09</v>
    <v>32488621663</v>
    <v>IRON MOUNTAIN INCORPORATED</v>
    <v>IRON MOUNTAIN INCORPORATED</v>
    <v>107</v>
    <v>219.18029999999999</v>
    <v>106</v>
    <v>109.82</v>
    <v>111</v>
    <v>295835200</v>
    <v>IRM</v>
    <v>IRON MOUNTAIN INCORPORATED (XNYS:IRM)</v>
    <v>4050404</v>
    <v>2087372</v>
    <v>2014</v>
  </rv>
  <rv s="2">
    <v>140</v>
  </rv>
  <rv s="0">
    <v>https://www.bing.com/financeapi/forcetrigger?t=a1vv8m&amp;q=XNYS%3aITW&amp;form=skydnc</v>
    <v>Learn more on Bing</v>
  </rv>
  <rv s="1">
    <v>0</v>
    <v>ILLINOIS TOOL WORKS INC. (XNYS:ITW)</v>
    <v>2</v>
    <v>3</v>
    <v>Finance</v>
    <v>4</v>
    <v>en-US</v>
    <v>a1vv8m</v>
    <v>268435456</v>
    <v>1</v>
    <v>Powered by Refinitiv</v>
    <v>303.15499999999997</v>
    <v>214.66</v>
    <v>1.121</v>
    <v>1.0900000000000001</v>
    <v>3.6509999999999997E-3</v>
    <v>0</v>
    <v>0</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44000</v>
    <v>New York Stock Exchange</v>
    <v>XNYS</v>
    <v>XNYS</v>
    <v>155 Harlem Avenue, GLENVIEW, IL, 60025 US</v>
    <v>302.23</v>
    <v>Consumer Goods Conglomerates</v>
    <v>Stock</v>
    <v>46066.908121839842</v>
    <v>142</v>
    <v>295.19</v>
    <v>86913960000</v>
    <v>ILLINOIS TOOL WORKS INC.</v>
    <v>ILLINOIS TOOL WORKS INC.</v>
    <v>298.01</v>
    <v>28.4529</v>
    <v>298.51</v>
    <v>299.60000000000002</v>
    <v>299.60000000000002</v>
    <v>290100000</v>
    <v>ITW</v>
    <v>ILLINOIS TOOL WORKS INC. (XNYS:ITW)</v>
    <v>1310771</v>
    <v>1604340</v>
    <v>1961</v>
  </rv>
  <rv s="2">
    <v>143</v>
  </rv>
  <rv s="0">
    <v>https://www.bing.com/financeapi/forcetrigger?t=a1w8ec&amp;q=XNYS%3aJNJ&amp;form=skydnc</v>
    <v>Learn more on Bing</v>
  </rv>
  <rv s="1">
    <v>0</v>
    <v>JOHNSON &amp; JOHNSON (XNYS:JNJ)</v>
    <v>2</v>
    <v>3</v>
    <v>Finance</v>
    <v>4</v>
    <v>en-US</v>
    <v>a1w8ec</v>
    <v>268435456</v>
    <v>1</v>
    <v>Powered by Refinitiv</v>
    <v>246.34989999999999</v>
    <v>141.5</v>
    <v>0.33129999999999998</v>
    <v>-1.1000000000000001</v>
    <v>-4.4979999999999994E-3</v>
    <v>1.29</v>
    <v>5.2990000000000008E-3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244.95</v>
    <v>Pharmaceuticals</v>
    <v>Stock</v>
    <v>46066.931325832811</v>
    <v>145</v>
    <v>242.61</v>
    <v>586689911550</v>
    <v>JOHNSON &amp; JOHNSON</v>
    <v>JOHNSON &amp; JOHNSON</v>
    <v>244.59</v>
    <v>22.146899999999999</v>
    <v>244.55</v>
    <v>243.45</v>
    <v>244.74</v>
    <v>2409899000</v>
    <v>JNJ</v>
    <v>JOHNSON &amp; JOHNSON (XNYS:JNJ)</v>
    <v>13268519</v>
    <v>9511824</v>
    <v>1887</v>
  </rv>
  <rv s="2">
    <v>146</v>
  </rv>
  <rv s="0">
    <v>https://www.bing.com/financeapi/forcetrigger?t=a1wjz2&amp;q=XNYS%3aKMB&amp;form=skydnc</v>
    <v>Learn more on Bing</v>
  </rv>
  <rv s="1">
    <v>0</v>
    <v>KIMBERLY-CLARK CORPORATION (XNAS:KMB)</v>
    <v>2</v>
    <v>3</v>
    <v>Finance</v>
    <v>5</v>
    <v>en-US</v>
    <v>a1wjz2</v>
    <v>268435456</v>
    <v>1</v>
    <v>Powered by Refinitiv</v>
    <v>150.44999999999999</v>
    <v>96.26</v>
    <v>0.2535</v>
    <v>1.1499999999999999</v>
    <v>1.0623E-2</v>
    <v>-0.04</v>
    <v>-3.656E-4</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109.80500000000001</v>
    <v>Personal &amp; Household Products &amp; Services</v>
    <v>Stock</v>
    <v>46066.996931585156</v>
    <v>148</v>
    <v>107.97</v>
    <v>36315629784</v>
    <v>KIMBERLY-CLARK CORPORATION</v>
    <v>KIMBERLY-CLARK CORPORATION</v>
    <v>108.69</v>
    <v>22.158999999999999</v>
    <v>108.26</v>
    <v>109.41</v>
    <v>109.37</v>
    <v>331922400</v>
    <v>KMB</v>
    <v>KIMBERLY-CLARK CORPORATION (XNAS:KMB)</v>
    <v>5233716</v>
    <v>6812166</v>
    <v>1928</v>
  </rv>
  <rv s="2">
    <v>149</v>
  </rv>
  <rv s="0">
    <v>https://www.bing.com/financeapi/forcetrigger?t=a1wljc&amp;q=XNYS%3aKO&amp;form=skydnc</v>
    <v>Learn more on Bing</v>
  </rv>
  <rv s="1">
    <v>0</v>
    <v>THE COCA-COLA COMPANY (XNYS:KO)</v>
    <v>2</v>
    <v>3</v>
    <v>Finance</v>
    <v>5</v>
    <v>en-US</v>
    <v>a1wljc</v>
    <v>268435456</v>
    <v>1</v>
    <v>Powered by Refinitiv</v>
    <v>80.41</v>
    <v>65.353800000000007</v>
    <v>0.3518</v>
    <v>-0.33</v>
    <v>-4.1770000000000002E-3</v>
    <v>0</v>
    <v>0</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79.400000000000006</v>
    <v>Beverages</v>
    <v>Stock</v>
    <v>46066.967229652342</v>
    <v>151</v>
    <v>78.13</v>
    <v>338407580030</v>
    <v>THE COCA-COLA COMPANY</v>
    <v>THE COCA-COLA COMPANY</v>
    <v>78.45</v>
    <v>25.995799999999999</v>
    <v>79</v>
    <v>78.67</v>
    <v>78.680000000000007</v>
    <v>4301609000</v>
    <v>KO</v>
    <v>THE COCA-COLA COMPANY (XNYS:KO)</v>
    <v>16711872</v>
    <v>20451511</v>
    <v>1919</v>
  </rv>
  <rv s="2">
    <v>152</v>
  </rv>
  <rv s="0">
    <v>https://www.bing.com/financeapi/forcetrigger?t=a1wyu2&amp;q=XNYS%3aLLY&amp;form=skydnc</v>
    <v>Learn more on Bing</v>
  </rv>
  <rv s="1">
    <v>0</v>
    <v>ELI LILLY AND COMPANY (XNYS:LLY)</v>
    <v>2</v>
    <v>3</v>
    <v>Finance</v>
    <v>5</v>
    <v>en-US</v>
    <v>a1wyu2</v>
    <v>268435456</v>
    <v>1</v>
    <v>Powered by Refinitiv</v>
    <v>1133.95</v>
    <v>623.78</v>
    <v>0.39810000000000001</v>
    <v>3.91</v>
    <v>3.7719999999999997E-3</v>
    <v>2.5</v>
    <v>2.4039999999999999E-3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1064.3399999999999</v>
    <v>Pharmaceuticals</v>
    <v>Stock</v>
    <v>46066.955550323437</v>
    <v>154</v>
    <v>1033.69</v>
    <v>981516206830</v>
    <v>ELI LILLY AND COMPANY</v>
    <v>ELI LILLY AND COMPANY</v>
    <v>1039.98</v>
    <v>45.154299999999999</v>
    <v>1036.54</v>
    <v>1040.45</v>
    <v>1042.5</v>
    <v>943357400</v>
    <v>LLY</v>
    <v>ELI LILLY AND COMPANY (XNYS:LLY)</v>
    <v>2698728</v>
    <v>3453337</v>
    <v>1901</v>
  </rv>
  <rv s="2">
    <v>155</v>
  </rv>
  <rv s="0">
    <v>https://www.bing.com/financeapi/forcetrigger?t=a1wzw7&amp;q=XNYS%3aLMT&amp;form=skydnc</v>
    <v>Learn more on Bing</v>
  </rv>
  <rv s="1">
    <v>0</v>
    <v>LOCKHEED MARTIN CORPORATION (XNYS:LMT)</v>
    <v>2</v>
    <v>3</v>
    <v>Finance</v>
    <v>5</v>
    <v>en-US</v>
    <v>a1wzw7</v>
    <v>268435456</v>
    <v>1</v>
    <v>Powered by Refinitiv</v>
    <v>656.34</v>
    <v>410.11</v>
    <v>0.22559999999999999</v>
    <v>14.82</v>
    <v>2.3250000000000003E-2</v>
    <v>1.1399999999999999</v>
    <v>1.7469999999999999E-3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656.34</v>
    <v>Aerospace &amp; Defense</v>
    <v>Stock</v>
    <v>46066.99522004609</v>
    <v>157</v>
    <v>639</v>
    <v>150069810450</v>
    <v>LOCKHEED MARTIN CORPORATION</v>
    <v>LOCKHEED MARTIN CORPORATION</v>
    <v>639</v>
    <v>29.667100000000001</v>
    <v>637.42999999999995</v>
    <v>652.25</v>
    <v>653.72</v>
    <v>230080200</v>
    <v>LMT</v>
    <v>LOCKHEED MARTIN CORPORATION (XNYS:LMT)</v>
    <v>1490800</v>
    <v>2017162</v>
    <v>1994</v>
  </rv>
  <rv s="2">
    <v>158</v>
  </rv>
  <rv s="0">
    <v>https://www.bing.com/financeapi/forcetrigger?t=a1x2ur&amp;q=XNYS%3aLOW&amp;form=skydnc</v>
    <v>Learn more on Bing</v>
  </rv>
  <rv s="1">
    <v>0</v>
    <v>LOWE'S COMPANIES, INC. (XNYS:LOW)</v>
    <v>2</v>
    <v>3</v>
    <v>Finance</v>
    <v>5</v>
    <v>en-US</v>
    <v>a1x2ur</v>
    <v>268435456</v>
    <v>1</v>
    <v>Powered by Refinitiv</v>
    <v>293.06</v>
    <v>206.38499999999999</v>
    <v>0.95779999999999998</v>
    <v>1.89</v>
    <v>6.6190000000000008E-3</v>
    <v>1.5294000000000001</v>
    <v>5.3220000000000003E-3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289.87</v>
    <v>Specialty Retailers</v>
    <v>Stock</v>
    <v>46066.913179270312</v>
    <v>160</v>
    <v>282.14999999999998</v>
    <v>161228680130</v>
    <v>LOWE'S COMPANIES, INC.</v>
    <v>LOWE'S COMPANIES, INC.</v>
    <v>285.42</v>
    <v>23.684699999999999</v>
    <v>285.52999999999997</v>
    <v>287.42</v>
    <v>288.9194</v>
    <v>560951500</v>
    <v>LOW</v>
    <v>LOWE'S COMPANIES, INC. (XNYS:LOW)</v>
    <v>2241885</v>
    <v>2999759</v>
    <v>1952</v>
  </rv>
  <rv s="2">
    <v>161</v>
  </rv>
  <rv s="0">
    <v>https://www.bing.com/financeapi/forcetrigger?t=a1x4f2&amp;q=XNAS%3aLRCX&amp;form=skydnc</v>
    <v>Learn more on Bing</v>
  </rv>
  <rv s="1">
    <v>0</v>
    <v>LAM RESEARCH CORPORATION (XNAS:LRCX)</v>
    <v>2</v>
    <v>3</v>
    <v>Finance</v>
    <v>5</v>
    <v>en-US</v>
    <v>a1x4f2</v>
    <v>268435456</v>
    <v>1</v>
    <v>Powered by Refinitiv</v>
    <v>251.87</v>
    <v>56.32</v>
    <v>1.7713000000000001</v>
    <v>4.24</v>
    <v>1.8332000000000001E-2</v>
    <v>-0.17</v>
    <v>-7.2179999999999998E-4</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242.7799</v>
    <v>Semiconductors &amp; Semiconductor Equipment</v>
    <v>Stock</v>
    <v>46066.999885092191</v>
    <v>163</v>
    <v>233.39</v>
    <v>294123033630</v>
    <v>LAM RESEARCH CORPORATION</v>
    <v>LAM RESEARCH CORPORATION</v>
    <v>236.18</v>
    <v>47.402700000000003</v>
    <v>231.29</v>
    <v>235.53</v>
    <v>235.36</v>
    <v>1248771000</v>
    <v>LRCX</v>
    <v>LAM RESEARCH CORPORATION (XNAS:LRCX)</v>
    <v>9905432</v>
    <v>13235239</v>
    <v>1989</v>
  </rv>
  <rv s="2">
    <v>164</v>
  </rv>
  <rv s="0">
    <v>https://www.bing.com/financeapi/forcetrigger?t=a1x8c7&amp;q=XNYS%3aLYB&amp;form=skydnc</v>
    <v>Learn more on Bing</v>
  </rv>
  <rv s="1">
    <v>0</v>
    <v>LyondellBasell Industries NV (XNYS:LYB)</v>
    <v>2</v>
    <v>3</v>
    <v>Finance</v>
    <v>5</v>
    <v>en-US</v>
    <v>a1x8c7</v>
    <v>268435456</v>
    <v>1</v>
    <v>Powered by Refinitiv</v>
    <v>78.516000000000005</v>
    <v>41.58</v>
    <v>0.62980000000000003</v>
    <v>-0.17</v>
    <v>-2.9420000000000002E-3</v>
    <v>0.31</v>
    <v>5.3810000000000004E-3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58.56</v>
    <v>Chemicals</v>
    <v>Stock</v>
    <v>46066.888891191404</v>
    <v>166</v>
    <v>56.73</v>
    <v>18550420000</v>
    <v>LyondellBasell Industries NV</v>
    <v>LyondellBasell Industries NV</v>
    <v>57.23</v>
    <v>0</v>
    <v>57.78</v>
    <v>57.61</v>
    <v>57.92</v>
    <v>322000000</v>
    <v>LYB</v>
    <v>LyondellBasell Industries NV (XNYS:LYB)</v>
    <v>3814689</v>
    <v>6889515</v>
    <v>2009</v>
  </rv>
  <rv s="2">
    <v>167</v>
  </rv>
  <rv s="0">
    <v>https://www.bing.com/financeapi/forcetrigger?t=a1x9yc&amp;q=XNYS%3aMAN&amp;form=skydnc</v>
    <v>Learn more on Bing</v>
  </rv>
  <rv s="3">
    <v>7</v>
    <v>MANPOWERGROUP INC. (XNYS:MAN)</v>
    <v>2</v>
    <v>8</v>
    <v>Finance</v>
    <v>4</v>
    <v>en-US</v>
    <v>a1x9yc</v>
    <v>268435456</v>
    <v>1</v>
    <v>Powered by Refinitiv</v>
    <v>63.344999999999999</v>
    <v>26.14</v>
    <v>0.89980000000000004</v>
    <v>-0.55000000000000004</v>
    <v>-1.8828999999999999E-2</v>
    <v>0.1</v>
    <v>3.4889999999999999E-3</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29.55</v>
    <v>Professional &amp; Commercial Services</v>
    <v>Stock</v>
    <v>46066.9489015625</v>
    <v>169</v>
    <v>28.3</v>
    <v>1326877178</v>
    <v>MANPOWERGROUP INC.</v>
    <v>MANPOWERGROUP INC.</v>
    <v>29.43</v>
    <v>29.21</v>
    <v>28.66</v>
    <v>28.76</v>
    <v>46297180</v>
    <v>MAN</v>
    <v>MANPOWERGROUP INC. (XNYS:MAN)</v>
    <v>2295599</v>
    <v>1373234</v>
    <v>1990</v>
  </rv>
  <rv s="2">
    <v>170</v>
  </rv>
  <rv s="0">
    <v>http://en.wikipedia.org/wiki/Public_domain</v>
    <v>Public domain</v>
  </rv>
  <rv s="0">
    <v>http://en.wikipedia.org/wiki/McDonald's</v>
    <v>Wikipedia</v>
  </rv>
  <rv s="5">
    <v>172</v>
    <v>173</v>
  </rv>
  <rv s="6">
    <v>15</v>
    <v>https://www.bing.com/th?id=AMMS_7d8255243964a8970376f8dd41121106&amp;qlt=95</v>
    <v>174</v>
    <v>0</v>
    <v>https://www.bing.com/images/search?form=xlimg&amp;q=mcdonald%27s</v>
    <v>Image of MCDONALD'S CORPORATION</v>
  </rv>
  <rv s="0">
    <v>https://www.bing.com/financeapi/forcetrigger?t=a1xdec&amp;q=XNYS%3aMCD&amp;form=skydnc</v>
    <v>Learn more on Bing</v>
  </rv>
  <rv s="7">
    <v>11</v>
    <v>MCDONALD'S CORPORATION (XNYS:MCD)</v>
    <v>13</v>
    <v>14</v>
    <v>Finance</v>
    <v>5</v>
    <v>en-US</v>
    <v>a1xdec</v>
    <v>268435456</v>
    <v>1</v>
    <v>Powered by Refinitiv</v>
    <v>335.67</v>
    <v>283.47000000000003</v>
    <v>0.51859999999999995</v>
    <v>-4.46</v>
    <v>-1.3429999999999999E-2</v>
    <v>0.42</v>
    <v>1.2820000000000002E-3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335.67</v>
    <v>175</v>
    <v>Hotels &amp; Entertainment Services</v>
    <v>Stock</v>
    <v>46066.970323437497</v>
    <v>176</v>
    <v>326.52999999999997</v>
    <v>233316024528</v>
    <v>MCDONALD'S CORPORATION</v>
    <v>MCDONALD'S CORPORATION</v>
    <v>332.5</v>
    <v>27.783200000000001</v>
    <v>332.08</v>
    <v>327.62</v>
    <v>328</v>
    <v>712154400</v>
    <v>MCD</v>
    <v>MCDONALD'S CORPORATION (XNYS:MCD)</v>
    <v>3587877</v>
    <v>3335294</v>
    <v>1964</v>
  </rv>
  <rv s="2">
    <v>177</v>
  </rv>
  <rv s="0">
    <v>https://www.bing.com/financeapi/forcetrigger?t=a1xear&amp;q=XNYS%3aMCO&amp;form=skydnc</v>
    <v>Learn more on Bing</v>
  </rv>
  <rv s="1">
    <v>0</v>
    <v>MOODY'S CORPORATION (XNYS:MCO)</v>
    <v>2</v>
    <v>3</v>
    <v>Finance</v>
    <v>5</v>
    <v>en-US</v>
    <v>a1xear</v>
    <v>268435456</v>
    <v>1</v>
    <v>Powered by Refinitiv</v>
    <v>546.88</v>
    <v>378.71</v>
    <v>1.4736</v>
    <v>11.19</v>
    <v>2.6958000000000003E-2</v>
    <v>8.0299999999999994</v>
    <v>1.883E-2</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15952</v>
    <v>New York Stock Exchange</v>
    <v>XNYS</v>
    <v>XNYS</v>
    <v>7 World Trade Center, At 250 Greenwich Street, NEW YORK, NY, 10007 US</v>
    <v>430.8</v>
    <v>Professional &amp; Commercial Services</v>
    <v>Stock</v>
    <v>46066.912607071092</v>
    <v>179</v>
    <v>416.25</v>
    <v>76048352000</v>
    <v>MOODY'S CORPORATION</v>
    <v>MOODY'S CORPORATION</v>
    <v>416.25</v>
    <v>33.194699999999997</v>
    <v>415.09</v>
    <v>426.28</v>
    <v>434.47</v>
    <v>178400000</v>
    <v>MCO</v>
    <v>MOODY'S CORPORATION (XNYS:MCO)</v>
    <v>2273122</v>
    <v>1261460</v>
    <v>2000</v>
  </rv>
  <rv s="2">
    <v>180</v>
  </rv>
  <rv s="0">
    <v>https://www.bing.com/financeapi/forcetrigger?t=a1xfoc&amp;q=XNAS%3aMDLZ&amp;form=skydnc</v>
    <v>Learn more on Bing</v>
  </rv>
  <rv s="1">
    <v>0</v>
    <v>Mondelez International, Inc. (XNAS:MDLZ)</v>
    <v>2</v>
    <v>3</v>
    <v>Finance</v>
    <v>5</v>
    <v>en-US</v>
    <v>a1xfoc</v>
    <v>268435456</v>
    <v>1</v>
    <v>Powered by Refinitiv</v>
    <v>71.150000000000006</v>
    <v>51.200800000000001</v>
    <v>0.38350000000000001</v>
    <v>0.73</v>
    <v>1.1800999999999999E-2</v>
    <v>-0.02</v>
    <v>-3.1950000000000001E-4</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62.8</v>
    <v>Food &amp; Tobacco</v>
    <v>Stock</v>
    <v>46066.99737192109</v>
    <v>182</v>
    <v>61.42</v>
    <v>80230741140</v>
    <v>Mondelez International, Inc.</v>
    <v>Mondelez International, Inc.</v>
    <v>61.9</v>
    <v>32.738500000000002</v>
    <v>61.86</v>
    <v>62.59</v>
    <v>62.57</v>
    <v>1281846000</v>
    <v>MDLZ</v>
    <v>Mondelez International, Inc. (XNAS:MDLZ)</v>
    <v>11915241</v>
    <v>12078393</v>
    <v>2000</v>
  </rv>
  <rv s="2">
    <v>183</v>
  </rv>
  <rv s="0">
    <v>https://www.bing.com/financeapi/forcetrigger?t=a1xg3m&amp;q=XNYS%3aMDT&amp;form=skydnc</v>
    <v>Learn more on Bing</v>
  </rv>
  <rv s="1">
    <v>0</v>
    <v>MEDTRONIC PUBLIC LIMITED COMPANY (XNYS:MDT)</v>
    <v>2</v>
    <v>3</v>
    <v>Finance</v>
    <v>5</v>
    <v>en-US</v>
    <v>a1xg3m</v>
    <v>268435456</v>
    <v>1</v>
    <v>Powered by Refinitiv</v>
    <v>106.33</v>
    <v>79.55</v>
    <v>0.72219999999999995</v>
    <v>-1.47</v>
    <v>-1.4572E-2</v>
    <v>0.02</v>
    <v>2.0100000000000001E-4</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102.505</v>
    <v>Healthcare Equipment &amp; Supplies</v>
    <v>Stock</v>
    <v>46066.97944178203</v>
    <v>185</v>
    <v>99.12</v>
    <v>127445011740</v>
    <v>MEDTRONIC PUBLIC LIMITED COMPANY</v>
    <v>MEDTRONIC PUBLIC LIMITED COMPANY</v>
    <v>100.92</v>
    <v>27.276299999999999</v>
    <v>100.88</v>
    <v>99.41</v>
    <v>99.51</v>
    <v>1282014000</v>
    <v>MDT</v>
    <v>MEDTRONIC PUBLIC LIMITED COMPANY (XNYS:MDT)</v>
    <v>10354801</v>
    <v>8646914</v>
    <v>2014</v>
  </rv>
  <rv s="2">
    <v>186</v>
  </rv>
  <rv s="0">
    <v>https://www.bing.com/financeapi/forcetrigger?t=a1slm7&amp;q=XNAS%3aMETA&amp;form=skydnc</v>
    <v>Learn more on Bing</v>
  </rv>
  <rv s="1">
    <v>0</v>
    <v>Meta Platforms, Inc. (XNAS:META)</v>
    <v>2</v>
    <v>3</v>
    <v>Finance</v>
    <v>4</v>
    <v>en-US</v>
    <v>a1slm7</v>
    <v>268435456</v>
    <v>1</v>
    <v>Powered by Refinitiv</v>
    <v>796.25</v>
    <v>479.8</v>
    <v>1.3069999999999999</v>
    <v>-10.039999999999999</v>
    <v>-1.5450999999999999E-2</v>
    <v>-1.07</v>
    <v>-1.6719999999999999E-3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651.42989999999998</v>
    <v>Software &amp; IT Services</v>
    <v>Stock</v>
    <v>46066.897144930466</v>
    <v>188</v>
    <v>634.57000000000005</v>
    <v>1618333402350</v>
    <v>Meta Platforms, Inc.</v>
    <v>Meta Platforms, Inc.</v>
    <v>645.1</v>
    <v>22.230499999999999</v>
    <v>649.80999999999995</v>
    <v>639.77</v>
    <v>638.70000000000005</v>
    <v>2529555000</v>
    <v>META</v>
    <v>Meta Platforms, Inc. (XNAS:META)</v>
    <v>12336363</v>
    <v>17986643</v>
    <v>2004</v>
  </rv>
  <rv s="2">
    <v>189</v>
  </rv>
  <rv s="0">
    <v>http://zh.wikipedia.org/wiki/味可美</v>
    <v>Wikipedia</v>
  </rv>
  <rv s="5">
    <v>172</v>
    <v>191</v>
  </rv>
  <rv s="6">
    <v>15</v>
    <v>https://www.bing.com/th?id=AMMS_8d96836a886471f7120ce0135f3ca8bd&amp;qlt=95</v>
    <v>192</v>
    <v>0</v>
    <v>https://www.bing.com/images/search?form=xlimg&amp;q=mccormick+%26+company</v>
    <v>Image of MCCORMICK &amp; COMPANY, INCORPORATED</v>
  </rv>
  <rv s="0">
    <v>https://www.bing.com/financeapi/forcetrigger?t=a1xof2&amp;q=XNYS%3aMKC.V&amp;form=skydnc</v>
    <v>Learn more on Bing</v>
  </rv>
  <rv s="8">
    <v>16</v>
    <v>MCCORMICK &amp; COMPANY, INCORPORATED (XNYS:MKC.V)</v>
    <v>13</v>
    <v>17</v>
    <v>Finance</v>
    <v>4</v>
    <v>en-US</v>
    <v>a1xof2</v>
    <v>268435456</v>
    <v>1</v>
    <v>Powered by Refinitiv</v>
    <v>85.5</v>
    <v>59.564999999999998</v>
    <v>0.57389999999999997</v>
    <v>-0.1</v>
    <v>-1.389E-3</v>
    <v>0</v>
    <v>0</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72.14</v>
    <v>193</v>
    <v>Food &amp; Tobacco</v>
    <v>Stock</v>
    <v>46066.882000555466</v>
    <v>194</v>
    <v>71.209999999999994</v>
    <v>19300706580</v>
    <v>MCCORMICK &amp; COMPANY, INCORPORATED</v>
    <v>MCCORMICK &amp; COMPANY, INCORPORATED</v>
    <v>71.349999999999994</v>
    <v>72</v>
    <v>71.900000000000006</v>
    <v>71.900000000000006</v>
    <v>268438200</v>
    <v>MKC.V</v>
    <v>MCCORMICK &amp; COMPANY, INCORPORATED (XNYS:MKC.V)</v>
    <v>11992</v>
    <v>5842</v>
    <v>1915</v>
  </rv>
  <rv s="2">
    <v>195</v>
  </rv>
  <rv s="0">
    <v>https://www.bing.com/financeapi/forcetrigger?t=a1xroc&amp;q=XNYS%3aMMM&amp;form=skydnc</v>
    <v>Learn more on Bing</v>
  </rv>
  <rv s="1">
    <v>0</v>
    <v>3M COMPANY (XNYS:MMM)</v>
    <v>2</v>
    <v>3</v>
    <v>Finance</v>
    <v>5</v>
    <v>en-US</v>
    <v>a1xroc</v>
    <v>268435456</v>
    <v>1</v>
    <v>Powered by Refinitiv</v>
    <v>177.41</v>
    <v>121.97709999999999</v>
    <v>1.0483</v>
    <v>-2.0299999999999998</v>
    <v>-1.1677999999999999E-2</v>
    <v>0.38</v>
    <v>2.212E-3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174.7</v>
    <v>Consumer Goods Conglomerates</v>
    <v>Stock</v>
    <v>46066.90154736094</v>
    <v>197</v>
    <v>170.57499999999999</v>
    <v>90487060000</v>
    <v>3M COMPANY</v>
    <v>3M COMPANY</v>
    <v>174.5</v>
    <v>28.992899999999999</v>
    <v>173.83</v>
    <v>171.8</v>
    <v>172.2</v>
    <v>526700000</v>
    <v>MMM</v>
    <v>3M COMPANY (XNYS:MMM)</v>
    <v>3178374</v>
    <v>4728256</v>
    <v>1929</v>
  </rv>
  <rv s="2">
    <v>198</v>
  </rv>
  <rv s="0">
    <v>https://www.bing.com/financeapi/forcetrigger?t=a1xtpr&amp;q=XNYS%3aMO&amp;form=skydnc</v>
    <v>Learn more on Bing</v>
  </rv>
  <rv s="1">
    <v>0</v>
    <v>Altria Group, Inc. (XNYS:MO)</v>
    <v>2</v>
    <v>3</v>
    <v>Finance</v>
    <v>4</v>
    <v>en-US</v>
    <v>a1xtpr</v>
    <v>268435456</v>
    <v>1</v>
    <v>Powered by Refinitiv</v>
    <v>68.599999999999994</v>
    <v>52.4</v>
    <v>0.47660000000000002</v>
    <v>0.24</v>
    <v>3.5820000000000001E-3</v>
    <v>0</v>
    <v>0</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67.765000000000001</v>
    <v>Food &amp; Tobacco</v>
    <v>Stock</v>
    <v>46066.912750185154</v>
    <v>200</v>
    <v>66.41</v>
    <v>112597885500</v>
    <v>Altria Group, Inc.</v>
    <v>Altria Group, Inc.</v>
    <v>66.819999999999993</v>
    <v>16.277699999999999</v>
    <v>67.010000000000005</v>
    <v>67.25</v>
    <v>67.25</v>
    <v>1674318000</v>
    <v>MO</v>
    <v>Altria Group, Inc. (XNYS:MO)</v>
    <v>8578418</v>
    <v>11208917</v>
    <v>1985</v>
  </rv>
  <rv s="2">
    <v>201</v>
  </rv>
  <rv s="0">
    <v>https://www.bing.com/financeapi/forcetrigger?t=a1xxmw&amp;q=XNYS%3aMRK&amp;form=skydnc</v>
    <v>Learn more on Bing</v>
  </rv>
  <rv s="1">
    <v>0</v>
    <v>MERCK &amp; CO., INC. (XNYS:MRK)</v>
    <v>2</v>
    <v>3</v>
    <v>Finance</v>
    <v>4</v>
    <v>en-US</v>
    <v>a1xxmw</v>
    <v>268435456</v>
    <v>1</v>
    <v>Powered by Refinitiv</v>
    <v>123.33</v>
    <v>73.31</v>
    <v>0.2792</v>
    <v>2.17</v>
    <v>1.8199E-2</v>
    <v>-7.6600000000000001E-2</v>
    <v>-6.3089999999999989E-4</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123.33</v>
    <v>Pharmaceuticals</v>
    <v>Stock</v>
    <v>46066.912700497654</v>
    <v>203</v>
    <v>121.03</v>
    <v>301342291020</v>
    <v>MERCK &amp; CO., INC.</v>
    <v>MERCK &amp; CO., INC.</v>
    <v>121.5</v>
    <v>16.3901</v>
    <v>119.24</v>
    <v>121.41</v>
    <v>121.3334</v>
    <v>2482022000</v>
    <v>MRK</v>
    <v>MERCK &amp; CO., INC. (XNYS:MRK)</v>
    <v>10102324</v>
    <v>14039385</v>
    <v>1970</v>
  </rv>
  <rv s="2">
    <v>204</v>
  </rv>
  <rv s="0">
    <v>https://en.wikipedia.org/wiki/Microsoft</v>
    <v>Wikipedia</v>
  </rv>
  <rv s="5">
    <v>172</v>
    <v>206</v>
  </rv>
  <rv s="6">
    <v>15</v>
    <v>https://www.bing.com/th?id=AMMS_e6e837c7bf3a77408619758b7447855a&amp;qlt=95</v>
    <v>207</v>
    <v>0</v>
    <v>https://www.bing.com/images/search?form=xlimg&amp;q=microsoft</v>
    <v>Image of MICROSOFT CORPORATION</v>
  </rv>
  <rv s="0">
    <v>https://www.bing.com/financeapi/forcetrigger?t=a1xzim&amp;q=XNAS%3aMSFT&amp;form=skydnc</v>
    <v>Learn more on Bing</v>
  </rv>
  <rv s="7">
    <v>11</v>
    <v>MICROSOFT CORPORATION (XNAS:MSFT)</v>
    <v>13</v>
    <v>14</v>
    <v>Finance</v>
    <v>4</v>
    <v>en-US</v>
    <v>a1xzim</v>
    <v>268435456</v>
    <v>1</v>
    <v>Powered by Refinitiv</v>
    <v>555.45000000000005</v>
    <v>344.79</v>
    <v>1.0964</v>
    <v>-0.52</v>
    <v>-1.2939999999999998E-3</v>
    <v>-1.1499999999999999</v>
    <v>-2.8660000000000001E-3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405.54</v>
    <v>208</v>
    <v>Software &amp; IT Services</v>
    <v>Stock</v>
    <v>46066.967230520313</v>
    <v>209</v>
    <v>398.05</v>
    <v>2980053430280</v>
    <v>MICROSOFT CORPORATION</v>
    <v>MICROSOFT CORPORATION</v>
    <v>404.45</v>
    <v>25.142600000000002</v>
    <v>401.84</v>
    <v>401.32</v>
    <v>400.17</v>
    <v>7425629000</v>
    <v>MSFT</v>
    <v>MICROSOFT CORPORATION (XNAS:MSFT)</v>
    <v>34091553</v>
    <v>41069262</v>
    <v>1993</v>
  </rv>
  <rv s="2">
    <v>210</v>
  </rv>
  <rv s="0">
    <v>https://www.bing.com/financeapi/forcetrigger?t=a1yjxm&amp;q=XNYS%3aNKE&amp;form=skydnc</v>
    <v>Learn more on Bing</v>
  </rv>
  <rv s="1">
    <v>0</v>
    <v>NIKE, INC. (XNYS:NKE)</v>
    <v>2</v>
    <v>3</v>
    <v>Finance</v>
    <v>4</v>
    <v>en-US</v>
    <v>a1yjxm</v>
    <v>268435456</v>
    <v>1</v>
    <v>Powered by Refinitiv</v>
    <v>82.44</v>
    <v>52.28</v>
    <v>1.2652000000000001</v>
    <v>2.0299999999999998</v>
    <v>3.3224000000000004E-2</v>
    <v>-0.17</v>
    <v>-2.6929999999999996E-3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63.375</v>
    <v>Textiles &amp; Apparel</v>
    <v>Stock</v>
    <v>46066.91272756875</v>
    <v>212</v>
    <v>61.59</v>
    <v>93456578790</v>
    <v>NIKE, INC.</v>
    <v>NIKE, INC.</v>
    <v>61.59</v>
    <v>35.827199999999998</v>
    <v>61.1</v>
    <v>63.13</v>
    <v>62.96</v>
    <v>1480383000</v>
    <v>NKE</v>
    <v>NIKE, INC. (XNYS:NKE)</v>
    <v>20180904</v>
    <v>14717813</v>
    <v>1969</v>
  </rv>
  <rv s="2">
    <v>213</v>
  </rv>
  <rv s="0">
    <v>https://www.bing.com/financeapi/forcetrigger?t=a1yngh&amp;q=XNYS%3aNOC&amp;form=skydnc</v>
    <v>Learn more on Bing</v>
  </rv>
  <rv s="1">
    <v>0</v>
    <v>NORTHROP GRUMMAN CORPORATION (XNYS:NOC)</v>
    <v>2</v>
    <v>3</v>
    <v>Finance</v>
    <v>5</v>
    <v>en-US</v>
    <v>a1yngh</v>
    <v>268435456</v>
    <v>1</v>
    <v>Powered by Refinitiv</v>
    <v>715.61</v>
    <v>426.24</v>
    <v>3.9699999999999999E-2</v>
    <v>7.31</v>
    <v>1.0517E-2</v>
    <v>0.93</v>
    <v>1.3239999999999999E-3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709</v>
    <v>Aerospace &amp; Defense</v>
    <v>Stock</v>
    <v>46066.980728853909</v>
    <v>215</v>
    <v>696.26</v>
    <v>99681474192</v>
    <v>NORTHROP GRUMMAN CORPORATION</v>
    <v>NORTHROP GRUMMAN CORPORATION</v>
    <v>696.8</v>
    <v>23.9</v>
    <v>695.06</v>
    <v>702.37</v>
    <v>703.5</v>
    <v>141921600</v>
    <v>NOC</v>
    <v>NORTHROP GRUMMAN CORPORATION (XNYS:NOC)</v>
    <v>676157</v>
    <v>1138797</v>
    <v>2010</v>
  </rv>
  <rv s="2">
    <v>216</v>
  </rv>
  <rv s="0">
    <v>https://www.bing.com/financeapi/forcetrigger?t=a1yv52&amp;q=XNAS%3aNVDA&amp;form=skydnc</v>
    <v>Learn more on Bing</v>
  </rv>
  <rv s="1">
    <v>0</v>
    <v>NVIDIA CORPORATION (XNAS:NVDA)</v>
    <v>2</v>
    <v>3</v>
    <v>Finance</v>
    <v>4</v>
    <v>en-US</v>
    <v>a1yv52</v>
    <v>268435456</v>
    <v>1</v>
    <v>Powered by Refinitiv</v>
    <v>212.18989999999999</v>
    <v>86.62</v>
    <v>2.3235000000000001</v>
    <v>-4.13</v>
    <v>-2.2092999999999998E-2</v>
    <v>7.0000000000000007E-2</v>
    <v>3.8289999999999998E-4</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187.5</v>
    <v>Semiconductors &amp; Semiconductor Equipment</v>
    <v>Stock</v>
    <v>46066.912727546092</v>
    <v>218</v>
    <v>181.59</v>
    <v>4442283000000</v>
    <v>NVIDIA CORPORATION</v>
    <v>NVIDIA CORPORATION</v>
    <v>187.47499999999999</v>
    <v>46.301499999999997</v>
    <v>186.94</v>
    <v>182.81</v>
    <v>182.88</v>
    <v>24300000000</v>
    <v>NVDA</v>
    <v>NVIDIA CORPORATION (XNAS:NVDA)</v>
    <v>161888021</v>
    <v>172472672</v>
    <v>1998</v>
  </rv>
  <rv s="2">
    <v>219</v>
  </rv>
  <rv s="0">
    <v>https://www.bing.com/financeapi/forcetrigger?t=a1z11h&amp;q=XNYS%3aO&amp;form=skydnc</v>
    <v>Learn more on Bing</v>
  </rv>
  <rv s="1">
    <v>0</v>
    <v>REALTY INCOME CORPORATION (XNYS:O)</v>
    <v>2</v>
    <v>3</v>
    <v>Finance</v>
    <v>5</v>
    <v>en-US</v>
    <v>a1z11h</v>
    <v>268435456</v>
    <v>1</v>
    <v>Powered by Refinitiv</v>
    <v>66.28</v>
    <v>50.71</v>
    <v>0.77439999999999998</v>
    <v>0.875</v>
    <v>1.3507E-2</v>
    <v>-0.05</v>
    <v>-7.6149999999999992E-4</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66</v>
    <v>Residential &amp; Commercial REIT</v>
    <v>Stock</v>
    <v>46066.999325022654</v>
    <v>221</v>
    <v>64.75</v>
    <v>60396415299</v>
    <v>REALTY INCOME CORPORATION</v>
    <v>REALTY INCOME CORPORATION</v>
    <v>65.02</v>
    <v>60.511499999999998</v>
    <v>64.78</v>
    <v>65.655000000000001</v>
    <v>65.61</v>
    <v>919905800</v>
    <v>O</v>
    <v>REALTY INCOME CORPORATION (XNYS:O)</v>
    <v>5767336</v>
    <v>6590486</v>
    <v>1997</v>
  </rv>
  <rv s="2">
    <v>222</v>
  </rv>
  <rv s="0">
    <v>https://www.bing.com/financeapi/forcetrigger?t=axyhnm&amp;q=XNAS%3aPEP&amp;form=skydnc</v>
    <v>Learn more on Bing</v>
  </rv>
  <rv s="1">
    <v>0</v>
    <v>PEPSICO, INC. (XNAS:PEP)</v>
    <v>2</v>
    <v>3</v>
    <v>Finance</v>
    <v>5</v>
    <v>en-US</v>
    <v>axyhnm</v>
    <v>268435456</v>
    <v>1</v>
    <v>Powered by Refinitiv</v>
    <v>171.48</v>
    <v>127.6</v>
    <v>0.39650000000000002</v>
    <v>-1.26</v>
    <v>-7.5360000000000002E-3</v>
    <v>-0.54</v>
    <v>-3.2540000000000004E-3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167.88</v>
    <v>Beverages</v>
    <v>Stock</v>
    <v>46066.967227152345</v>
    <v>224</v>
    <v>164.995</v>
    <v>226781735060</v>
    <v>PEPSICO, INC.</v>
    <v>PEPSICO, INC.</v>
    <v>167.2</v>
    <v>27.8599</v>
    <v>167.2</v>
    <v>165.94</v>
    <v>165.4</v>
    <v>1366649000</v>
    <v>PEP</v>
    <v>PEPSICO, INC. (XNAS:PEP)</v>
    <v>9286336</v>
    <v>9611404</v>
    <v>1986</v>
  </rv>
  <rv s="2">
    <v>225</v>
  </rv>
  <rv s="0">
    <v>https://www.bing.com/financeapi/forcetrigger?t=a1zqnm&amp;q=XNYS%3aPFE&amp;form=skydnc</v>
    <v>Learn more on Bing</v>
  </rv>
  <rv s="1">
    <v>0</v>
    <v>PFIZER INC. (XNYS:PFE)</v>
    <v>2</v>
    <v>3</v>
    <v>Finance</v>
    <v>4</v>
    <v>en-US</v>
    <v>a1zqnm</v>
    <v>268435456</v>
    <v>1</v>
    <v>Powered by Refinitiv</v>
    <v>27.94</v>
    <v>20.914999999999999</v>
    <v>0.42849999999999999</v>
    <v>0.11</v>
    <v>4.0039999999999997E-3</v>
    <v>6.9699999999999998E-2</v>
    <v>2.5269999999999997E-3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81000</v>
    <v>New York Stock Exchange</v>
    <v>XNYS</v>
    <v>XNYS</v>
    <v>66 HUDSON BOULEVARD EAST, NEW YORK, NY, 10001-2192 US</v>
    <v>27.94</v>
    <v>Pharmaceuticals</v>
    <v>Stock</v>
    <v>46066.885261550779</v>
    <v>227</v>
    <v>27.55</v>
    <v>156811826640</v>
    <v>PFIZER INC.</v>
    <v>PFIZER INC.</v>
    <v>27.6</v>
    <v>20.260200000000001</v>
    <v>27.47</v>
    <v>27.58</v>
    <v>27.649699999999999</v>
    <v>5685708000</v>
    <v>PFE</v>
    <v>PFIZER INC. (XNYS:PFE)</v>
    <v>36986727</v>
    <v>53740422</v>
    <v>1942</v>
  </rv>
  <rv s="2">
    <v>228</v>
  </rv>
  <rv s="0">
    <v>https://www.bing.com/financeapi/forcetrigger?t=a1zzmw&amp;q=XNYS%3aPM&amp;form=skydnc</v>
    <v>Learn more on Bing</v>
  </rv>
  <rv s="1">
    <v>0</v>
    <v>Philip Morris International Inc. (XNYS:PM)</v>
    <v>2</v>
    <v>3</v>
    <v>Finance</v>
    <v>5</v>
    <v>en-US</v>
    <v>a1zzmw</v>
    <v>268435456</v>
    <v>1</v>
    <v>Powered by Refinitiv</v>
    <v>190.98</v>
    <v>142.11000000000001</v>
    <v>0.39989999999999998</v>
    <v>-1.5049999999999999</v>
    <v>-7.9649999999999999E-3</v>
    <v>0.7117</v>
    <v>3.7959999999999999E-3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190.25</v>
    <v>Food &amp; Tobacco</v>
    <v>Stock</v>
    <v>46066.971349409374</v>
    <v>230</v>
    <v>186.80500000000001</v>
    <v>291791882600</v>
    <v>Philip Morris International Inc.</v>
    <v>Philip Morris International Inc.</v>
    <v>188.49</v>
    <v>26.014800000000001</v>
    <v>188.95</v>
    <v>187.44499999999999</v>
    <v>188.2217</v>
    <v>1556680000</v>
    <v>PM</v>
    <v>Philip Morris International Inc. (XNYS:PM)</v>
    <v>3770609</v>
    <v>5812129</v>
    <v>2007</v>
  </rv>
  <rv s="2">
    <v>231</v>
  </rv>
  <rv s="0">
    <v>https://www.bing.com/financeapi/forcetrigger?t=a214h7&amp;q=XNYS%3aPPG&amp;form=skydnc</v>
    <v>Learn more on Bing</v>
  </rv>
  <rv s="1">
    <v>0</v>
    <v>PPG INDUSTRIES, INC. (XNYS:PPG)</v>
    <v>2</v>
    <v>3</v>
    <v>Finance</v>
    <v>5</v>
    <v>en-US</v>
    <v>a214h7</v>
    <v>268435456</v>
    <v>1</v>
    <v>Powered by Refinitiv</v>
    <v>133.43</v>
    <v>90.24</v>
    <v>1.1227</v>
    <v>-0.25</v>
    <v>-1.9E-3</v>
    <v>0</v>
    <v>0</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46000</v>
    <v>New York Stock Exchange</v>
    <v>XNYS</v>
    <v>XNYS</v>
    <v>One Ppg Pl 40 East, PITTSBURGH, PA, 15272 US</v>
    <v>132.625</v>
    <v>Chemicals</v>
    <v>Stock</v>
    <v>46066.904540532028</v>
    <v>233</v>
    <v>130.72999999999999</v>
    <v>29465964000</v>
    <v>PPG INDUSTRIES, INC.</v>
    <v>PPG INDUSTRIES, INC.</v>
    <v>131.18</v>
    <v>19.023</v>
    <v>131.56</v>
    <v>131.31</v>
    <v>131.34</v>
    <v>224400000</v>
    <v>PPG</v>
    <v>PPG INDUSTRIES, INC. (XNYS:PPG)</v>
    <v>1713733</v>
    <v>2415823</v>
    <v>1883</v>
  </rv>
  <rv s="2">
    <v>234</v>
  </rv>
  <rv s="0">
    <v>http://en.wikipedia.org/wiki/Qualcomm</v>
    <v>Wikipedia</v>
  </rv>
  <rv s="5">
    <v>172</v>
    <v>236</v>
  </rv>
  <rv s="6">
    <v>15</v>
    <v>https://www.bing.com/th?id=AMMS_2b1c176dae370ecc0d55a1517537f595&amp;qlt=95</v>
    <v>237</v>
    <v>0</v>
    <v>https://www.bing.com/images/search?form=xlimg&amp;q=qualcomm</v>
    <v>Image of QUALCOMM INCORPORATED</v>
  </rv>
  <rv s="0">
    <v>https://www.bing.com/financeapi/forcetrigger?t=a21k2w&amp;q=XNAS%3aQCOM&amp;form=skydnc</v>
    <v>Learn more on Bing</v>
  </rv>
  <rv s="7">
    <v>11</v>
    <v>QUALCOMM INCORPORATED (XNAS:QCOM)</v>
    <v>13</v>
    <v>14</v>
    <v>Finance</v>
    <v>4</v>
    <v>en-US</v>
    <v>a21k2w</v>
    <v>268435456</v>
    <v>1</v>
    <v>Powered by Refinitiv</v>
    <v>205.95</v>
    <v>120.8019</v>
    <v>1.2494000000000001</v>
    <v>2.23</v>
    <v>1.6105000000000001E-2</v>
    <v>-0.19</v>
    <v>-1.3500000000000001E-3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141.47999999999999</v>
    <v>238</v>
    <v>Semiconductors &amp; Semiconductor Equipment</v>
    <v>Stock</v>
    <v>46066.912746099217</v>
    <v>239</v>
    <v>136.74</v>
    <v>150126900000</v>
    <v>QUALCOMM INCORPORATED</v>
    <v>QUALCOMM INCORPORATED</v>
    <v>137.12</v>
    <v>28.607099999999999</v>
    <v>138.47</v>
    <v>140.69999999999999</v>
    <v>140.51</v>
    <v>1067000000</v>
    <v>QCOM</v>
    <v>QUALCOMM INCORPORATED (XNAS:QCOM)</v>
    <v>13134422</v>
    <v>11133995</v>
    <v>1991</v>
  </rv>
  <rv s="2">
    <v>240</v>
  </rv>
  <rv s="0">
    <v>https://www.bing.com/financeapi/forcetrigger?t=a22k9c&amp;q=XNAS%3aSBUX&amp;form=skydnc</v>
    <v>Learn more on Bing</v>
  </rv>
  <rv s="1">
    <v>0</v>
    <v>STARBUCKS CORPORATION (XNAS:SBUX)</v>
    <v>2</v>
    <v>3</v>
    <v>Finance</v>
    <v>5</v>
    <v>en-US</v>
    <v>a22k9c</v>
    <v>268435456</v>
    <v>1</v>
    <v>Powered by Refinitiv</v>
    <v>117.46</v>
    <v>75.5</v>
    <v>0.9274</v>
    <v>-2.35</v>
    <v>-2.4444E-2</v>
    <v>0.16</v>
    <v>1.7060000000000001E-3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96.915000000000006</v>
    <v>Hotels &amp; Entertainment Services</v>
    <v>Stock</v>
    <v>46066.999603738281</v>
    <v>242</v>
    <v>93.594999999999999</v>
    <v>106854947000</v>
    <v>STARBUCKS CORPORATION</v>
    <v>STARBUCKS CORPORATION</v>
    <v>95.86</v>
    <v>80.087999999999994</v>
    <v>96.14</v>
    <v>93.79</v>
    <v>93.95</v>
    <v>1139300000</v>
    <v>SBUX</v>
    <v>STARBUCKS CORPORATION (XNAS:SBUX)</v>
    <v>8948975</v>
    <v>10778484</v>
    <v>1985</v>
  </rv>
  <rv s="2">
    <v>243</v>
  </rv>
  <rv s="0">
    <v>https://www.bing.com/financeapi/forcetrigger?t=a22n4c&amp;q=XNYS%3aSCHW&amp;form=skydnc</v>
    <v>Learn more on Bing</v>
  </rv>
  <rv s="1">
    <v>0</v>
    <v>THE CHARLES SCHWAB CORPORATION (XNYS:SCHW)</v>
    <v>2</v>
    <v>3</v>
    <v>Finance</v>
    <v>5</v>
    <v>en-US</v>
    <v>a22n4c</v>
    <v>268435456</v>
    <v>1</v>
    <v>Powered by Refinitiv</v>
    <v>107.5</v>
    <v>65.88</v>
    <v>0.92969999999999997</v>
    <v>-1.04</v>
    <v>-1.0974999999999999E-2</v>
    <v>2.7900000000000001E-2</v>
    <v>2.9770000000000003E-4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94.52</v>
    <v>Investment Banking &amp; Investment Services</v>
    <v>Stock</v>
    <v>46066.994638853903</v>
    <v>245</v>
    <v>93.01</v>
    <v>166534535640</v>
    <v>THE CHARLES SCHWAB CORPORATION</v>
    <v>THE CHARLES SCHWAB CORPORATION</v>
    <v>94.06</v>
    <v>20.326000000000001</v>
    <v>94.76</v>
    <v>93.72</v>
    <v>93.747900000000001</v>
    <v>1776937000</v>
    <v>SCHW</v>
    <v>THE CHARLES SCHWAB CORPORATION (XNYS:SCHW)</v>
    <v>12653698</v>
    <v>12205772</v>
    <v>1986</v>
  </rv>
  <rv s="2">
    <v>246</v>
  </rv>
  <rv s="0">
    <v>https://www.bing.com/financeapi/forcetrigger?t=a22xk2&amp;q=XNYS%3aSHW&amp;form=skydnc</v>
    <v>Learn more on Bing</v>
  </rv>
  <rv s="1">
    <v>0</v>
    <v>THE SHERWIN-WILLIAMS COMPANY (XNYS:SHW)</v>
    <v>2</v>
    <v>3</v>
    <v>Finance</v>
    <v>4</v>
    <v>en-US</v>
    <v>a22xk2</v>
    <v>268435456</v>
    <v>1</v>
    <v>Powered by Refinitiv</v>
    <v>379.65</v>
    <v>308.83999999999997</v>
    <v>1.2456</v>
    <v>-3.71</v>
    <v>-9.9570000000000006E-3</v>
    <v>0.51</v>
    <v>1.3830000000000001E-3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377.77</v>
    <v>Chemicals</v>
    <v>Stock</v>
    <v>46066.937506029688</v>
    <v>248</v>
    <v>367.21499999999997</v>
    <v>91445433215</v>
    <v>THE SHERWIN-WILLIAMS COMPANY</v>
    <v>THE SHERWIN-WILLIAMS COMPANY</v>
    <v>374.45</v>
    <v>36.324300000000001</v>
    <v>372.6</v>
    <v>368.89</v>
    <v>369.4</v>
    <v>247893500</v>
    <v>SHW</v>
    <v>THE SHERWIN-WILLIAMS COMPANY (XNYS:SHW)</v>
    <v>2162236</v>
    <v>1987096</v>
    <v>1884</v>
  </rv>
  <rv s="2">
    <v>249</v>
  </rv>
  <rv s="0">
    <v>https://www.bing.com/financeapi/forcetrigger?t=a2319c&amp;q=XNYS%3aSJM&amp;form=skydnc</v>
    <v>Learn more on Bing</v>
  </rv>
  <rv s="1">
    <v>0</v>
    <v>THE J. M. SMUCKER COMPANY (XNYS:SJM)</v>
    <v>2</v>
    <v>3</v>
    <v>Finance</v>
    <v>5</v>
    <v>en-US</v>
    <v>a2319c</v>
    <v>268435456</v>
    <v>1</v>
    <v>Powered by Refinitiv</v>
    <v>121.48</v>
    <v>93.3</v>
    <v>0.2167</v>
    <v>0.60499999999999998</v>
    <v>5.5049999999999995E-3</v>
    <v>-7.0000000000000007E-2</v>
    <v>-6.3329999999999994E-4</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110.64</v>
    <v>Food &amp; Tobacco</v>
    <v>Stock</v>
    <v>46066.917704953128</v>
    <v>251</v>
    <v>108.23</v>
    <v>11791320564</v>
    <v>THE J. M. SMUCKER COMPANY</v>
    <v>THE J. M. SMUCKER COMPANY</v>
    <v>109.98</v>
    <v>0</v>
    <v>109.91</v>
    <v>110.515</v>
    <v>110.46</v>
    <v>106694300</v>
    <v>SJM</v>
    <v>THE J. M. SMUCKER COMPANY (XNYS:SJM)</v>
    <v>2109938</v>
    <v>1574905</v>
    <v>1921</v>
  </rv>
  <rv s="2">
    <v>252</v>
  </rv>
  <rv s="0">
    <v>https://www.bing.com/financeapi/forcetrigger?t=a237gh&amp;q=XNYS%3aSNA&amp;form=skydnc</v>
    <v>Learn more on Bing</v>
  </rv>
  <rv s="1">
    <v>0</v>
    <v>SNAP-ON INCORPORATED (XNYS:SNA)</v>
    <v>2</v>
    <v>3</v>
    <v>Finance</v>
    <v>4</v>
    <v>en-US</v>
    <v>a237gh</v>
    <v>268435456</v>
    <v>1</v>
    <v>Powered by Refinitiv</v>
    <v>390.13</v>
    <v>289.81</v>
    <v>0.77380000000000004</v>
    <v>6.06</v>
    <v>1.6008000000000001E-2</v>
    <v>3.49</v>
    <v>9.0740000000000005E-3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386.8</v>
    <v>Machinery, Equipment &amp; Components</v>
    <v>Stock</v>
    <v>46066.948899918752</v>
    <v>254</v>
    <v>377.69</v>
    <v>19966305083</v>
    <v>SNAP-ON INCORPORATED</v>
    <v>SNAP-ON INCORPORATED</v>
    <v>381</v>
    <v>19.729700000000001</v>
    <v>378.55</v>
    <v>384.61</v>
    <v>388.1</v>
    <v>51913120</v>
    <v>SNA</v>
    <v>SNAP-ON INCORPORATED (XNYS:SNA)</v>
    <v>288757</v>
    <v>374943</v>
    <v>1930</v>
  </rv>
  <rv s="2">
    <v>255</v>
  </rv>
  <rv s="0">
    <v>https://www.bing.com/financeapi/forcetrigger?t=a23a5r&amp;q=XNYS%3aSO&amp;form=skydnc</v>
    <v>Learn more on Bing</v>
  </rv>
  <rv s="1">
    <v>0</v>
    <v>THE SOUTHERN COMPANY (XNYS:SO)</v>
    <v>2</v>
    <v>3</v>
    <v>Finance</v>
    <v>5</v>
    <v>en-US</v>
    <v>a23a5r</v>
    <v>268435456</v>
    <v>1</v>
    <v>Powered by Refinitiv</v>
    <v>100.83499999999999</v>
    <v>83.09</v>
    <v>0.43159999999999998</v>
    <v>2.3849999999999998</v>
    <v>2.5767000000000002E-2</v>
    <v>-0.35</v>
    <v>-3.686E-3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94.98</v>
    <v>Electrical Utilities &amp; IPPs</v>
    <v>Stock</v>
    <v>46066.969430046091</v>
    <v>257</v>
    <v>92.37</v>
    <v>104544414225</v>
    <v>THE SOUTHERN COMPANY</v>
    <v>THE SOUTHERN COMPANY</v>
    <v>92.44</v>
    <v>22.982199999999999</v>
    <v>92.56</v>
    <v>94.944999999999993</v>
    <v>94.6</v>
    <v>1101105000</v>
    <v>SO</v>
    <v>THE SOUTHERN COMPANY (XNYS:SO)</v>
    <v>9114325</v>
    <v>5993490</v>
    <v>1945</v>
  </rv>
  <rv s="2">
    <v>258</v>
  </rv>
  <rv s="0">
    <v>https://www.bing.com/financeapi/forcetrigger?t=a23d6h&amp;q=XNYS%3aSPG&amp;form=skydnc</v>
    <v>Learn more on Bing</v>
  </rv>
  <rv s="1">
    <v>0</v>
    <v>SIMON PROPERTY GROUP, INC. (XNYS:SPG)</v>
    <v>2</v>
    <v>3</v>
    <v>Finance</v>
    <v>5</v>
    <v>en-US</v>
    <v>a23d6h</v>
    <v>268435456</v>
    <v>1</v>
    <v>Powered by Refinitiv</v>
    <v>201.4</v>
    <v>136.34</v>
    <v>1.3841000000000001</v>
    <v>5.41</v>
    <v>2.8260999999999998E-2</v>
    <v>-0.13</v>
    <v>-6.6049999999999995E-4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198.09</v>
    <v>Residential &amp; Commercial REIT</v>
    <v>Stock</v>
    <v>46066.932999120312</v>
    <v>260</v>
    <v>191.1901</v>
    <v>67529642908</v>
    <v>SIMON PROPERTY GROUP, INC.</v>
    <v>SIMON PROPERTY GROUP, INC.</v>
    <v>194</v>
    <v>13.506500000000001</v>
    <v>191.43</v>
    <v>196.84</v>
    <v>196.7</v>
    <v>343068700</v>
    <v>SPG</v>
    <v>SIMON PROPERTY GROUP, INC. (XNYS:SPG)</v>
    <v>1873469</v>
    <v>1772224</v>
    <v>2025</v>
  </rv>
  <rv s="2">
    <v>261</v>
  </rv>
  <rv s="0">
    <v>https://www.bing.com/financeapi/forcetrigger?t=a23d9c&amp;q=XNYS%3aSPGI&amp;form=skydnc</v>
    <v>Learn more on Bing</v>
  </rv>
  <rv s="1">
    <v>0</v>
    <v>S&amp;P GLOBAL INC. (XNYS:SPGI)</v>
    <v>2</v>
    <v>3</v>
    <v>Finance</v>
    <v>4</v>
    <v>en-US</v>
    <v>a23d9c</v>
    <v>268435456</v>
    <v>1</v>
    <v>Powered by Refinitiv</v>
    <v>579.04999999999995</v>
    <v>381.60500000000002</v>
    <v>1.2479</v>
    <v>12.34</v>
    <v>3.1067000000000001E-2</v>
    <v>0.60929999999999995</v>
    <v>1.488E-3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410.4</v>
    <v>Professional &amp; Commercial Services</v>
    <v>Stock</v>
    <v>46066.93299974531</v>
    <v>263</v>
    <v>399.15</v>
    <v>122370552000</v>
    <v>S&amp;P GLOBAL INC.</v>
    <v>S&amp;P GLOBAL INC.</v>
    <v>399.15</v>
    <v>27.093499999999999</v>
    <v>397.2</v>
    <v>409.54</v>
    <v>410.14929999999998</v>
    <v>298800000</v>
    <v>SPGI</v>
    <v>S&amp;P GLOBAL INC. (XNYS:SPGI)</v>
    <v>4739123</v>
    <v>2906773</v>
    <v>1925</v>
  </rv>
  <rv s="2">
    <v>264</v>
  </rv>
  <rv s="0">
    <v>https://www.bing.com/financeapi/forcetrigger?t=a23www&amp;q=XNYS%3aT&amp;form=skydnc</v>
    <v>Learn more on Bing</v>
  </rv>
  <rv s="1">
    <v>0</v>
    <v>AT&amp;T INC. (XNYS:T)</v>
    <v>2</v>
    <v>3</v>
    <v>Finance</v>
    <v>4</v>
    <v>en-US</v>
    <v>a23www</v>
    <v>268435456</v>
    <v>1</v>
    <v>Powered by Refinitiv</v>
    <v>29.79</v>
    <v>22.95</v>
    <v>0.35499999999999998</v>
    <v>-0.11</v>
    <v>-3.8190000000000003E-3</v>
    <v>7.0000000000000007E-2</v>
    <v>2.4399999999999999E-3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28.84</v>
    <v>Telecommunications Services</v>
    <v>Stock</v>
    <v>46066.93299974531</v>
    <v>266</v>
    <v>28.41</v>
    <v>200846554130</v>
    <v>AT&amp;T INC.</v>
    <v>AT&amp;T INC.</v>
    <v>28.68</v>
    <v>9.4390000000000001</v>
    <v>28.8</v>
    <v>28.69</v>
    <v>28.76</v>
    <v>7000577000</v>
    <v>T</v>
    <v>AT&amp;T INC. (XNYS:T)</v>
    <v>42687511</v>
    <v>50640395</v>
    <v>1983</v>
  </rv>
  <rv s="2">
    <v>267</v>
  </rv>
  <rv s="0">
    <v>https://www.bing.com/financeapi/forcetrigger?t=a246z2&amp;q=XNYS%3aTGT&amp;form=skydnc</v>
    <v>Learn more on Bing</v>
  </rv>
  <rv s="1">
    <v>0</v>
    <v>TARGET CORPORATION (XNYS:TGT)</v>
    <v>2</v>
    <v>3</v>
    <v>Finance</v>
    <v>5</v>
    <v>en-US</v>
    <v>a246z2</v>
    <v>268435456</v>
    <v>1</v>
    <v>Powered by Refinitiv</v>
    <v>131.69999999999999</v>
    <v>83.44</v>
    <v>1.1066</v>
    <v>3.04</v>
    <v>2.6977000000000001E-2</v>
    <v>-0.16</v>
    <v>-1.382E-3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116.15</v>
    <v>Diversified Retail</v>
    <v>Stock</v>
    <v>46066.988369895313</v>
    <v>269</v>
    <v>112.62</v>
    <v>52403284672</v>
    <v>TARGET CORPORATION</v>
    <v>TARGET CORPORATION</v>
    <v>113.41</v>
    <v>13.6738</v>
    <v>112.69</v>
    <v>115.73</v>
    <v>115.6</v>
    <v>452806400</v>
    <v>TGT</v>
    <v>TARGET CORPORATION (XNYS:TGT)</v>
    <v>6597145</v>
    <v>6547749</v>
    <v>1902</v>
  </rv>
  <rv s="2">
    <v>270</v>
  </rv>
  <rv s="0">
    <v>http://it.wikipedia.org/wiki/T._Rowe_Price</v>
    <v>Wikipedia</v>
  </rv>
  <rv s="5">
    <v>172</v>
    <v>272</v>
  </rv>
  <rv s="6">
    <v>15</v>
    <v>https://www.bing.com/th?id=AMMS_4c600be848f66590834841f27e6f786d&amp;qlt=95</v>
    <v>273</v>
    <v>0</v>
    <v>https://www.bing.com/images/search?form=xlimg&amp;q=t.+rowe+price</v>
    <v>Image of T. ROWE PRICE GROUP, INC.</v>
  </rv>
  <rv s="0">
    <v>https://www.bing.com/financeapi/forcetrigger?t=a24i3m&amp;q=XNAS%3aTROW&amp;form=skydnc</v>
    <v>Learn more on Bing</v>
  </rv>
  <rv s="7">
    <v>11</v>
    <v>T. ROWE PRICE GROUP, INC. (XNAS:TROW)</v>
    <v>13</v>
    <v>14</v>
    <v>Finance</v>
    <v>5</v>
    <v>en-US</v>
    <v>a24i3m</v>
    <v>268435456</v>
    <v>1</v>
    <v>Powered by Refinitiv</v>
    <v>118.22</v>
    <v>77.849999999999994</v>
    <v>1.5613999999999999</v>
    <v>0.6</v>
    <v>6.4409999999999997E-3</v>
    <v>0.24</v>
    <v>2.5600000000000002E-3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94.06</v>
    <v>274</v>
    <v>Investment Banking &amp; Investment Services</v>
    <v>Stock</v>
    <v>46066.979606053123</v>
    <v>275</v>
    <v>92.1785</v>
    <v>20495936000</v>
    <v>T. ROWE PRICE GROUP, INC.</v>
    <v>T. ROWE PRICE GROUP, INC.</v>
    <v>93.16</v>
    <v>10.076000000000001</v>
    <v>93.16</v>
    <v>93.76</v>
    <v>94</v>
    <v>218600000</v>
    <v>TROW</v>
    <v>T. ROWE PRICE GROUP, INC. (XNAS:TROW)</v>
    <v>2668504</v>
    <v>2227577</v>
    <v>2000</v>
  </rv>
  <rv s="2">
    <v>276</v>
  </rv>
  <rv s="0">
    <v>https://www.bing.com/financeapi/forcetrigger?t=a24jvh&amp;q=XNAS%3aTSCO&amp;form=skydnc</v>
    <v>Learn more on Bing</v>
  </rv>
  <rv s="1">
    <v>0</v>
    <v>TRACTOR SUPPLY COMPANY (XNAS:TSCO)</v>
    <v>2</v>
    <v>3</v>
    <v>Finance</v>
    <v>5</v>
    <v>en-US</v>
    <v>a24jvh</v>
    <v>268435456</v>
    <v>1</v>
    <v>Powered by Refinitiv</v>
    <v>63.989899999999999</v>
    <v>46.8504</v>
    <v>0.70509999999999995</v>
    <v>0.62</v>
    <v>1.1394999999999999E-2</v>
    <v>-0.62</v>
    <v>-1.1267000000000001E-2</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55.58</v>
    <v>Specialty Retailers</v>
    <v>Stock</v>
    <v>46066.904540682815</v>
    <v>278</v>
    <v>54.024099999999997</v>
    <v>29078050108</v>
    <v>TRACTOR SUPPLY COMPANY</v>
    <v>TRACTOR SUPPLY COMPANY</v>
    <v>54.36</v>
    <v>26.413399999999999</v>
    <v>54.41</v>
    <v>55.03</v>
    <v>54.41</v>
    <v>528403600</v>
    <v>TSCO</v>
    <v>TRACTOR SUPPLY COMPANY (XNAS:TSCO)</v>
    <v>4380070</v>
    <v>8083209</v>
    <v>1982</v>
  </rv>
  <rv s="2">
    <v>279</v>
  </rv>
  <rv s="0">
    <v>https://www.bing.com/financeapi/forcetrigger?t=a24kjc&amp;q=XNYS%3aTSM&amp;form=skydnc</v>
    <v>Learn more on Bing</v>
  </rv>
  <rv s="1">
    <v>0</v>
    <v>Taiwan Semiconductor Manufacturing Co., Ltd. (XNYS:TSM)</v>
    <v>2</v>
    <v>3</v>
    <v>Finance</v>
    <v>4</v>
    <v>en-US</v>
    <v>a24kjc</v>
    <v>268435456</v>
    <v>1</v>
    <v>Powered by Refinitiv</v>
    <v>380</v>
    <v>134.25</v>
    <v>1.2908999999999999</v>
    <v>-1.74</v>
    <v>-4.7270000000000003E-3</v>
    <v>0.22</v>
    <v>6.0050000000000001E-4</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371.10989999999998</v>
    <v>Semiconductors &amp; Semiconductor Equipment</v>
    <v>Stock</v>
    <v>46066.881944444445</v>
    <v>281</v>
    <v>360.77</v>
    <v>1900127971800</v>
    <v>Taiwan Semiconductor Manufacturing Co., Ltd.</v>
    <v>Taiwan Semiconductor Manufacturing Co., Ltd.</v>
    <v>369.15</v>
    <v>34.817999999999998</v>
    <v>368.1</v>
    <v>366.36</v>
    <v>366.58</v>
    <v>5186505000</v>
    <v>TSM</v>
    <v>Taiwan Semiconductor Manufacturing Co., Ltd. (XNYS:TSM)</v>
    <v>10468150</v>
    <v>15279547</v>
    <v>1987</v>
  </rv>
  <rv s="2">
    <v>282</v>
  </rv>
  <rv s="0">
    <v>https://www.bing.com/financeapi/forcetrigger?t=a24km7&amp;q=XNYS%3aTSN&amp;form=skydnc</v>
    <v>Learn more on Bing</v>
  </rv>
  <rv s="1">
    <v>0</v>
    <v>TYSON FOODS, INCORPORATED (XNYS:TSN)</v>
    <v>2</v>
    <v>3</v>
    <v>Finance</v>
    <v>5</v>
    <v>en-US</v>
    <v>a24km7</v>
    <v>268435456</v>
    <v>1</v>
    <v>Powered by Refinitiv</v>
    <v>66.41</v>
    <v>50.56</v>
    <v>0.46779999999999999</v>
    <v>0.61</v>
    <v>9.6349999999999995E-3</v>
    <v>0.01</v>
    <v>1.5640000000000001E-4</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64.125</v>
    <v>Food &amp; Tobacco</v>
    <v>Stock</v>
    <v>46066.888890532035</v>
    <v>284</v>
    <v>63.16</v>
    <v>22504889680</v>
    <v>TYSON FOODS, INCORPORATED</v>
    <v>TYSON FOODS, INCORPORATED</v>
    <v>63.42</v>
    <v>111.01949999999999</v>
    <v>63.31</v>
    <v>63.92</v>
    <v>63.95</v>
    <v>352079000</v>
    <v>TSN</v>
    <v>TYSON FOODS, INCORPORATED (XNYS:TSN)</v>
    <v>2122945</v>
    <v>3064785</v>
    <v>1986</v>
  </rv>
  <rv s="2">
    <v>285</v>
  </rv>
  <rv s="0">
    <v>https://www.bing.com/financeapi/forcetrigger?t=a24p1h&amp;q=XNAS%3aTXN&amp;form=skydnc</v>
    <v>Learn more on Bing</v>
  </rv>
  <rv s="1">
    <v>0</v>
    <v>TEXAS INSTRUMENTS INCORPORATED (XNAS:TXN)</v>
    <v>2</v>
    <v>3</v>
    <v>Finance</v>
    <v>5</v>
    <v>en-US</v>
    <v>a24p1h</v>
    <v>268435456</v>
    <v>1</v>
    <v>Powered by Refinitiv</v>
    <v>231.32</v>
    <v>139.94999999999999</v>
    <v>0.98</v>
    <v>3.16</v>
    <v>1.417E-2</v>
    <v>0.2</v>
    <v>8.8429999999999997E-4</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226.88499999999999</v>
    <v>Semiconductors &amp; Semiconductor Equipment</v>
    <v>Stock</v>
    <v>46066.975759409375</v>
    <v>287</v>
    <v>221.54</v>
    <v>205251688928</v>
    <v>TEXAS INSTRUMENTS INCORPORATED</v>
    <v>TEXAS INSTRUMENTS INCORPORATED</v>
    <v>221.66499999999999</v>
    <v>40.692500000000003</v>
    <v>223</v>
    <v>226.16</v>
    <v>226.36</v>
    <v>907550800</v>
    <v>TXN</v>
    <v>TEXAS INSTRUMENTS INCORPORATED (XNAS:TXN)</v>
    <v>5011904</v>
    <v>9288153</v>
    <v>1938</v>
  </rv>
  <rv s="2">
    <v>288</v>
  </rv>
  <rv s="0">
    <v>https://www.bing.com/financeapi/forcetrigger?t=afn5yc&amp;q=XFRA%3aUNH&amp;form=skydnc</v>
    <v>Learn more on Bing</v>
  </rv>
  <rv s="9">
    <v>18</v>
    <v>UNITEDHEALTH GROUP INCORPORATED (XFRA:UNH)</v>
    <v>2</v>
    <v>19</v>
    <v>Finance</v>
    <v>20</v>
    <v>en-US</v>
    <v>afn5yc</v>
    <v>268435456</v>
    <v>1</v>
    <v>Powered by Refinitiv</v>
    <v>589.70000000000005</v>
    <v>168.42</v>
    <v>0.40860000000000002</v>
    <v>6.7</v>
    <v>2.7975E-2</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246.2</v>
    <v>Healthcare Providers &amp; Services</v>
    <v>Stock</v>
    <v>46066.878472222219</v>
    <v>290</v>
    <v>239.25</v>
    <v>302486700000</v>
    <v>UNITEDHEALTH GROUP INCORPORATED</v>
    <v>UNITEDHEALTH GROUP INCORPORATED</v>
    <v>239.5</v>
    <v>20.89</v>
    <v>239.5</v>
    <v>246.2</v>
    <v>905838600</v>
    <v>UNH</v>
    <v>UNITEDHEALTH GROUP INCORPORATED (XFRA:UNH)</v>
    <v>624</v>
    <v>10337400</v>
    <v>2015</v>
  </rv>
  <rv s="2">
    <v>291</v>
  </rv>
  <rv s="0">
    <v>https://www.bing.com/financeapi/forcetrigger?t=a24xww&amp;q=XNYS%3aUNP&amp;form=skydnc</v>
    <v>Learn more on Bing</v>
  </rv>
  <rv s="1">
    <v>0</v>
    <v>UNION PACIFIC CORPORATION (XNYS:UNP)</v>
    <v>2</v>
    <v>3</v>
    <v>Finance</v>
    <v>5</v>
    <v>en-US</v>
    <v>a24xww</v>
    <v>268435456</v>
    <v>1</v>
    <v>Powered by Refinitiv</v>
    <v>265.37</v>
    <v>204.66</v>
    <v>0.95709999999999995</v>
    <v>-1.1299999999999999</v>
    <v>-4.3169999999999997E-3</v>
    <v>-1.27</v>
    <v>-4.8720000000000005E-3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263.04000000000002</v>
    <v>Freight &amp; Logistics Services</v>
    <v>Stock</v>
    <v>46066.934536666406</v>
    <v>293</v>
    <v>258.16000000000003</v>
    <v>154661560560</v>
    <v>UNION PACIFIC CORPORATION</v>
    <v>UNION PACIFIC CORPORATION</v>
    <v>260.85000000000002</v>
    <v>21.8445</v>
    <v>261.77</v>
    <v>260.64</v>
    <v>259.41000000000003</v>
    <v>593391500</v>
    <v>UNP</v>
    <v>UNION PACIFIC CORPORATION (XNYS:UNP)</v>
    <v>3976725</v>
    <v>4011909</v>
    <v>1969</v>
  </rv>
  <rv s="2">
    <v>294</v>
  </rv>
  <rv s="0">
    <v>https://www.bing.com/financeapi/forcetrigger?t=a24ynm&amp;q=XNYS%3aUPS&amp;form=skydnc</v>
    <v>Learn more on Bing</v>
  </rv>
  <rv s="1">
    <v>0</v>
    <v>UNITED PARCEL SERVICE, INC. (XNYS:UPS)</v>
    <v>2</v>
    <v>3</v>
    <v>Finance</v>
    <v>5</v>
    <v>en-US</v>
    <v>a24ynm</v>
    <v>268435456</v>
    <v>1</v>
    <v>Powered by Refinitiv</v>
    <v>123.7</v>
    <v>82</v>
    <v>1.0524</v>
    <v>1.1499999999999999</v>
    <v>9.7400000000000004E-3</v>
    <v>0.06</v>
    <v>5.0319999999999998E-4</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120</v>
    <v>Freight &amp; Logistics Services</v>
    <v>Stock</v>
    <v>46066.988135381253</v>
    <v>296</v>
    <v>117.06</v>
    <v>101144531232</v>
    <v>UNITED PARCEL SERVICE, INC.</v>
    <v>UNITED PARCEL SERVICE, INC.</v>
    <v>118.17</v>
    <v>17.997399999999999</v>
    <v>118.07</v>
    <v>119.22</v>
    <v>119.3</v>
    <v>848385600</v>
    <v>UPS</v>
    <v>UNITED PARCEL SERVICE, INC. (XNYS:UPS)</v>
    <v>4973461</v>
    <v>6791345</v>
    <v>1999</v>
  </rv>
  <rv s="2">
    <v>297</v>
  </rv>
  <rv s="0">
    <v>https://www.bing.com/financeapi/forcetrigger?t=a256cw&amp;q=XNYS%3aV&amp;form=skydnc</v>
    <v>Learn more on Bing</v>
  </rv>
  <rv s="1">
    <v>0</v>
    <v>VISA INC. (XNYS:V)</v>
    <v>2</v>
    <v>3</v>
    <v>Finance</v>
    <v>4</v>
    <v>en-US</v>
    <v>a256cw</v>
    <v>268435456</v>
    <v>1</v>
    <v>Powered by Refinitiv</v>
    <v>375.51</v>
    <v>299</v>
    <v>0.78310000000000002</v>
    <v>-10.1</v>
    <v>-3.1156000000000003E-2</v>
    <v>0.33</v>
    <v>1.0510000000000001E-3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326.47500000000002</v>
    <v>Professional &amp; Commercial Services</v>
    <v>Stock</v>
    <v>46066.932999941404</v>
    <v>299</v>
    <v>312.82</v>
    <v>598639306720</v>
    <v>VISA INC.</v>
    <v>VISA INC.</v>
    <v>323.83</v>
    <v>30.419499999999999</v>
    <v>324.18</v>
    <v>314.08</v>
    <v>314.41000000000003</v>
    <v>1906009000</v>
    <v>V</v>
    <v>VISA INC. (XNYS:V)</v>
    <v>11653917</v>
    <v>8747826</v>
    <v>2007</v>
  </rv>
  <rv s="2">
    <v>300</v>
  </rv>
  <rv s="0">
    <v>https://www.bing.com/financeapi/forcetrigger?t=aythxm&amp;q=XNYS%3aVICI&amp;form=skydnc</v>
    <v>Learn more on Bing</v>
  </rv>
  <rv s="1">
    <v>0</v>
    <v>VICI PROPERTIES INC. (XNYS:VICI)</v>
    <v>2</v>
    <v>3</v>
    <v>Finance</v>
    <v>4</v>
    <v>en-US</v>
    <v>aythxm</v>
    <v>268435456</v>
    <v>1</v>
    <v>Powered by Refinitiv</v>
    <v>34.03</v>
    <v>27.48</v>
    <v>0.69110000000000005</v>
    <v>0.24</v>
    <v>8.258999999999999E-3</v>
    <v>0.02</v>
    <v>6.826E-4</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27</v>
    <v>New York Stock Exchange</v>
    <v>XNYS</v>
    <v>XNYS</v>
    <v>535 Madison Avenue, 28Th Floor, NEW YORK, NY, 10022 US</v>
    <v>29.41</v>
    <v>Residential &amp; Commercial REIT</v>
    <v>Stock</v>
    <v>46066.881944444445</v>
    <v>302</v>
    <v>29.08</v>
    <v>31316162300</v>
    <v>VICI PROPERTIES INC.</v>
    <v>VICI PROPERTIES INC.</v>
    <v>29.184999999999999</v>
    <v>11.057600000000001</v>
    <v>29.06</v>
    <v>29.3</v>
    <v>29.32</v>
    <v>1068811000</v>
    <v>VICI</v>
    <v>VICI PROPERTIES INC. (XNYS:VICI)</v>
    <v>7497836</v>
    <v>10055785</v>
    <v>2017</v>
  </rv>
  <rv s="2">
    <v>303</v>
  </rv>
  <rv s="0">
    <v>https://www.bing.com/financeapi/forcetrigger?t=a25obh&amp;q=XNYS%3aVZ&amp;form=skydnc</v>
    <v>Learn more on Bing</v>
  </rv>
  <rv s="1">
    <v>0</v>
    <v>VERIZON COMMUNICATIONS INC. (XNYS:VZ)</v>
    <v>2</v>
    <v>3</v>
    <v>Finance</v>
    <v>4</v>
    <v>en-US</v>
    <v>a25obh</v>
    <v>268435456</v>
    <v>1</v>
    <v>Powered by Refinitiv</v>
    <v>50.24</v>
    <v>38.39</v>
    <v>0.29149999999999998</v>
    <v>-0.45</v>
    <v>-9.0980000000000002E-3</v>
    <v>1E-4</v>
    <v>2.04E-6</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49.43</v>
    <v>Telecommunications Services</v>
    <v>Stock</v>
    <v>46066.912749548435</v>
    <v>305</v>
    <v>48.625500000000002</v>
    <v>206675170000</v>
    <v>VERIZON COMMUNICATIONS INC.</v>
    <v>VERIZON COMMUNICATIONS INC.</v>
    <v>49.16</v>
    <v>12.182</v>
    <v>49.46</v>
    <v>49.01</v>
    <v>49.010100000000001</v>
    <v>4217000000</v>
    <v>VZ</v>
    <v>VERIZON COMMUNICATIONS INC. (XNYS:VZ)</v>
    <v>31998466</v>
    <v>38646320</v>
    <v>1983</v>
  </rv>
  <rv s="2">
    <v>306</v>
  </rv>
  <rv s="0">
    <v>https://www.bing.com/financeapi/forcetrigger?t=a25ya2&amp;q=XNYS%3aWMT&amp;form=skydnc</v>
    <v>Learn more on Bing</v>
  </rv>
  <rv s="1">
    <v>0</v>
    <v>WALMART INC. (XNAS:WMT)</v>
    <v>2</v>
    <v>3</v>
    <v>Finance</v>
    <v>4</v>
    <v>en-US</v>
    <v>a25ya2</v>
    <v>268435456</v>
    <v>1</v>
    <v>Powered by Refinitiv</v>
    <v>134.65</v>
    <v>79.81</v>
    <v>0.64290000000000003</v>
    <v>0.25</v>
    <v>1.8709999999999998E-3</v>
    <v>0.16</v>
    <v>1.1949999999999999E-3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134.65</v>
    <v>Food &amp; Drug Retailing</v>
    <v>Stock</v>
    <v>46066.912709721873</v>
    <v>308</v>
    <v>131.75</v>
    <v>1067125659629</v>
    <v>WALMART INC.</v>
    <v>WALMART INC.</v>
    <v>132.69999999999999</v>
    <v>46.874000000000002</v>
    <v>133.63999999999999</v>
    <v>133.88999999999999</v>
    <v>134.05000000000001</v>
    <v>7970167000</v>
    <v>WMT</v>
    <v>WALMART INC. (XNAS:WMT)</v>
    <v>24131179</v>
    <v>43365538</v>
    <v>1969</v>
  </rv>
  <rv s="2">
    <v>309</v>
  </rv>
  <rv s="0">
    <v>https://www.bing.com/financeapi/forcetrigger?t=a269ec&amp;q=XNYS%3aXOM&amp;form=skydnc</v>
    <v>Learn more on Bing</v>
  </rv>
  <rv s="1">
    <v>0</v>
    <v>EXXON MOBIL CORPORATION (XNYS:XOM)</v>
    <v>2</v>
    <v>3</v>
    <v>Finance</v>
    <v>5</v>
    <v>en-US</v>
    <v>a269ec</v>
    <v>268435456</v>
    <v>1</v>
    <v>Powered by Refinitiv</v>
    <v>156.93</v>
    <v>97.8</v>
    <v>0.34970000000000001</v>
    <v>-1.56</v>
    <v>-1.0404999999999999E-2</v>
    <v>0.45</v>
    <v>3.0309999999999998E-3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151.66</v>
    <v>Oil &amp; Gas</v>
    <v>Stock</v>
    <v>46066.969696874999</v>
    <v>311</v>
    <v>147.97999999999999</v>
    <v>620038230000</v>
    <v>EXXON MOBIL CORPORATION</v>
    <v>EXXON MOBIL CORPORATION</v>
    <v>150.55000000000001</v>
    <v>22.3949</v>
    <v>149.93</v>
    <v>148.37</v>
    <v>148.9</v>
    <v>4179000000</v>
    <v>XOM</v>
    <v>EXXON MOBIL CORPORATION (XNYS:XOM)</v>
    <v>20166031</v>
    <v>21498578</v>
    <v>1882</v>
  </rv>
  <rv s="2">
    <v>312</v>
  </rv>
  <rv s="0">
    <v>https://www.bing.com/financeapi/forcetrigger?t=a26hyc&amp;q=XNYS%3aZTS&amp;form=skydnc</v>
    <v>Learn more on Bing</v>
  </rv>
  <rv s="1">
    <v>0</v>
    <v>ZOETIS INC. (XNYS:ZTS)</v>
    <v>2</v>
    <v>3</v>
    <v>Finance</v>
    <v>5</v>
    <v>en-US</v>
    <v>a26hyc</v>
    <v>268435456</v>
    <v>1</v>
    <v>Powered by Refinitiv</v>
    <v>177</v>
    <v>115.25</v>
    <v>0.95189999999999997</v>
    <v>0.98</v>
    <v>7.8000000000000005E-3</v>
    <v>-0.15</v>
    <v>-1.1840000000000002E-3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130.65</v>
    <v>Pharmaceuticals</v>
    <v>Stock</v>
    <v>46066.934536678127</v>
    <v>314</v>
    <v>125.65</v>
    <v>53449809374</v>
    <v>ZOETIS INC.</v>
    <v>ZOETIS INC.</v>
    <v>126.66500000000001</v>
    <v>20.863600000000002</v>
    <v>125.64</v>
    <v>126.62</v>
    <v>126.5</v>
    <v>422127700</v>
    <v>ZTS</v>
    <v>ZOETIS INC. (XNYS:ZTS)</v>
    <v>4499702</v>
    <v>4855540</v>
    <v>2012</v>
  </rv>
  <rv s="2">
    <v>315</v>
  </rv>
  <rv s="0">
    <v>https://www.bing.com/financeapi/forcetrigger?t=a2qdbh&amp;q=OTCM%3aNSRGY&amp;form=skydnc</v>
    <v>Learn more on Bing</v>
  </rv>
  <rv s="1">
    <v>0</v>
    <v>Nestle Ltd. (OTCM:NSRGY)</v>
    <v>2</v>
    <v>21</v>
    <v>Finance</v>
    <v>22</v>
    <v>en-US</v>
    <v>a2qdbh</v>
    <v>268435456</v>
    <v>1</v>
    <v>Powered by Refinitiv</v>
    <v>109.31</v>
    <v>86.98</v>
    <v>0.95950000000000002</v>
    <v>1.31</v>
    <v>1.2793000000000001E-2</v>
    <v>0</v>
    <v>0</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277000</v>
    <v>OTC Markets</v>
    <v>OTCM</v>
    <v>OTCM</v>
    <v>Ave Nesele 55, Ch-1800, VEVEY, VAUD, 1800 CH</v>
    <v>103.9499</v>
    <v>Food &amp; Tobacco</v>
    <v>Stock</v>
    <v>46066.87500070547</v>
    <v>317</v>
    <v>102.88</v>
    <v>260692293600</v>
    <v>Nestle Ltd.</v>
    <v>Nestle Ltd.</v>
    <v>103.6</v>
    <v>20.339099999999998</v>
    <v>102.4</v>
    <v>103.71</v>
    <v>103.71</v>
    <v>2576520000</v>
    <v>NSRGY</v>
    <v>Nestle Ltd. (OTCM:NSRGY)</v>
    <v>297522</v>
    <v>3581320</v>
    <v>1905</v>
  </rv>
  <rv s="2">
    <v>318</v>
  </rv>
</rvData>
</file>

<file path=xl/richData/rdrichvaluestructure.xml><?xml version="1.0" encoding="utf-8"?>
<rvStructures xmlns="http://schemas.microsoft.com/office/spreadsheetml/2017/richdata" count="1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23">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4">
      <v>at close</v>
      <v>from previous close</v>
      <v>from previous close</v>
      <v>Source: Nasdaq Last Sale</v>
      <v>GMT</v>
      <v>Real-Time Nasdaq Last Sale</v>
      <v>from close</v>
      <v>from close</v>
    </spb>
    <spb s="3">
      <v>1</v>
      <v>2</v>
      <v>2</v>
      <v>1</v>
      <v>3</v>
      <v>1</v>
      <v>1</v>
      <v>1</v>
      <v>4</v>
      <v>4</v>
      <v>5</v>
      <v>10</v>
      <v>1</v>
      <v>1</v>
      <v>1</v>
      <v>4</v>
      <v>7</v>
      <v>8</v>
      <v>9</v>
      <v>4</v>
      <v>1</v>
      <v>1</v>
      <v>5</v>
    </spb>
    <spb s="0">
      <v>1</v>
      <v>Name</v>
      <v>LearnMoreOnLink</v>
    </spb>
    <spb s="5">
      <v>1</v>
      <v>2</v>
      <v>1</v>
      <v>3</v>
      <v>1</v>
      <v>1</v>
      <v>1</v>
      <v>4</v>
      <v>4</v>
      <v>5</v>
      <v>6</v>
      <v>1</v>
      <v>1</v>
      <v>1</v>
      <v>4</v>
      <v>7</v>
      <v>8</v>
      <v>9</v>
      <v>4</v>
      <v>1</v>
      <v>1</v>
      <v>5</v>
    </spb>
    <spb s="3">
      <v>1</v>
      <v>2</v>
      <v>2</v>
      <v>1</v>
      <v>3</v>
      <v>1</v>
      <v>1</v>
      <v>1</v>
      <v>4</v>
      <v>4</v>
      <v>5</v>
      <v>11</v>
      <v>1</v>
      <v>1</v>
      <v>1</v>
      <v>4</v>
      <v>7</v>
      <v>8</v>
      <v>9</v>
      <v>4</v>
      <v>1</v>
      <v>1</v>
      <v>5</v>
    </spb>
    <spb s="3">
      <v>1</v>
      <v>2</v>
      <v>2</v>
      <v>1</v>
      <v>3</v>
      <v>1</v>
      <v>1</v>
      <v>1</v>
      <v>4</v>
      <v>4</v>
      <v>5</v>
      <v>12</v>
      <v>1</v>
      <v>1</v>
      <v>1</v>
      <v>4</v>
      <v>7</v>
      <v>8</v>
      <v>9</v>
      <v>4</v>
      <v>1</v>
      <v>1</v>
      <v>5</v>
    </spb>
    <spb s="0">
      <v>2</v>
      <v>Name</v>
      <v>LearnMoreOnLink</v>
    </spb>
    <spb s="6">
      <v>0</v>
      <v>0</v>
    </spb>
    <spb s="7">
      <v>12</v>
      <v>1</v>
      <v>1</v>
      <v>1</v>
      <v>1</v>
    </spb>
    <spb s="8">
      <v>1</v>
      <v>2</v>
      <v>2</v>
      <v>1</v>
      <v>3</v>
      <v>1</v>
      <v>13</v>
      <v>1</v>
      <v>1</v>
      <v>4</v>
      <v>4</v>
      <v>5</v>
      <v>6</v>
      <v>1</v>
      <v>1</v>
      <v>1</v>
      <v>4</v>
      <v>7</v>
      <v>8</v>
      <v>9</v>
      <v>4</v>
      <v>1</v>
      <v>1</v>
      <v>5</v>
    </spb>
    <spb s="9">
      <v>Powered by Refinitiv</v>
    </spb>
    <spb s="0">
      <v>3</v>
      <v>Name</v>
      <v>LearnMoreOnLink</v>
    </spb>
    <spb s="10">
      <v>1</v>
      <v>2</v>
      <v>1</v>
      <v>3</v>
      <v>1</v>
      <v>13</v>
      <v>1</v>
      <v>1</v>
      <v>4</v>
      <v>4</v>
      <v>5</v>
      <v>6</v>
      <v>1</v>
      <v>1</v>
      <v>1</v>
      <v>4</v>
      <v>7</v>
      <v>8</v>
      <v>9</v>
      <v>4</v>
      <v>1</v>
      <v>1</v>
      <v>5</v>
    </spb>
    <spb s="0">
      <v>4</v>
      <v>Name</v>
      <v>LearnMoreOnLink</v>
    </spb>
    <spb s="11">
      <v>14</v>
      <v>2</v>
      <v>2</v>
      <v>14</v>
      <v>3</v>
      <v>14</v>
      <v>14</v>
      <v>14</v>
      <v>4</v>
      <v>4</v>
      <v>5</v>
      <v>6</v>
      <v>14</v>
      <v>14</v>
      <v>14</v>
      <v>4</v>
      <v>7</v>
      <v>8</v>
      <v>9</v>
      <v>4</v>
    </spb>
    <spb s="12">
      <v>Delayed 15 minutes</v>
      <v>from previous close</v>
      <v>from previous close</v>
      <v>GMT</v>
    </spb>
    <spb s="3">
      <v>1</v>
      <v>2</v>
      <v>2</v>
      <v>1</v>
      <v>3</v>
      <v>1</v>
      <v>1</v>
      <v>1</v>
      <v>4</v>
      <v>4</v>
      <v>5</v>
      <v>15</v>
      <v>1</v>
      <v>1</v>
      <v>1</v>
      <v>4</v>
      <v>7</v>
      <v>8</v>
      <v>9</v>
      <v>4</v>
      <v>1</v>
      <v>1</v>
      <v>5</v>
    </spb>
    <spb s="13">
      <v>at close</v>
      <v>from previous close</v>
      <v>from previous close</v>
      <v>GMT</v>
      <v>Delayed 15 minutes</v>
      <v>from close</v>
      <v>from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_([$€-x-euro2] * #,##0_);_([$€-x-euro2] * (#,##0);_([$€-x-euro2] * "-"_);_(@_)</rpv>
    </rSty>
    <rSty dxfid="1">
      <rpv i="0">_([$$-en-CA]* #,##0_);_([$$-en-CA]* (#,##0);_([$$-en-CA]* "-"_);_(@_)</rpv>
    </rSty>
    <rSty dxfid="1">
      <rpv i="0">_([$£-en-GB]* #,##0_);_([$£-en-GB]* (#,##0);_([$£-en-GB]* "-"_);_(@_)</rpv>
    </rSty>
    <rSty>
      <rpv i="2">1</rpv>
    </rSty>
    <rSty dxfid="1">
      <rpv i="0">_([$€-x-euro2] * #,##0.00_);_([$€-x-euro2] * (#,##0.00);_([$€-x-euro2] * "-"??_);_(@_)</rpv>
    </rSty>
    <rSty dxfid="1">
      <rpv i="0" xml:space="preserve">_ [$CHF-fr-CH] * #,##0_ ;_ [$CHF-fr-CH] * -#,##0_ ;_ [$CHF-fr-CH] * "-"_ ;_ @_ </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102" totalsRowShown="0" headerRowDxfId="9">
  <autoFilter ref="A1:N102" xr:uid="{E0CA35FE-2F53-A347-8AD6-B5C0C701EF5E}"/>
  <sortState xmlns:xlrd2="http://schemas.microsoft.com/office/spreadsheetml/2017/richdata2" ref="A2:N101">
    <sortCondition ref="B1:B10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102"/>
  <sheetViews>
    <sheetView tabSelected="1" workbookViewId="0">
      <pane ySplit="1" topLeftCell="A2" activePane="bottomLeft" state="frozen"/>
      <selection pane="bottomLeft" activeCell="C1" sqref="C1:C1048576"/>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255.78</v>
      </c>
      <c r="I2" s="2" cm="1">
        <f t="array" aca="1" ref="I2" ca="1">_FV(table1[[#This Row],[DataField]],"52 week low",TRUE)</f>
        <v>169.21010000000001</v>
      </c>
      <c r="J2" s="2" cm="1">
        <f t="array" aca="1" ref="J2" ca="1">_FV(table1[[#This Row],[DataField]],"52 week high",TRUE)</f>
        <v>288.62</v>
      </c>
      <c r="K2" s="4" cm="1">
        <f t="array" aca="1" ref="K2" ca="1">_FV(table1[[#This Row],[DataField]],"P/E",TRUE)</f>
        <v>33.252099999999999</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3760656606000</v>
      </c>
    </row>
    <row r="3" spans="1:14" x14ac:dyDescent="0.2">
      <c r="A3" t="e" vm="2">
        <v>#VALUE!</v>
      </c>
      <c r="B3" t="str" cm="1">
        <f t="array" aca="1" ref="B3" ca="1">_FV(table1[[#This Row],[DataField]],"Ticker symbol",TRUE)</f>
        <v>ABBV</v>
      </c>
      <c r="H3" s="2" cm="1">
        <f t="array" aca="1" ref="H3" ca="1">_FV(table1[[#This Row],[DataField]],"Price")</f>
        <v>231.6</v>
      </c>
      <c r="I3" s="2" cm="1">
        <f t="array" aca="1" ref="I3" ca="1">_FV(table1[[#This Row],[DataField]],"52 week low",TRUE)</f>
        <v>164.39</v>
      </c>
      <c r="J3" s="2" cm="1">
        <f t="array" aca="1" ref="J3" ca="1">_FV(table1[[#This Row],[DataField]],"52 week high",TRUE)</f>
        <v>244.81</v>
      </c>
      <c r="K3" s="4" cm="1">
        <f t="array" aca="1" ref="K3" ca="1">_FV(table1[[#This Row],[DataField]],"P/E",TRUE)</f>
        <v>96.259200000000007</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409326366000</v>
      </c>
    </row>
    <row r="4" spans="1:14" x14ac:dyDescent="0.2">
      <c r="A4" t="e" vm="3">
        <v>#VALUE!</v>
      </c>
      <c r="B4" t="str" cm="1">
        <f t="array" aca="1" ref="B4" ca="1">_FV(table1[[#This Row],[DataField]],"Ticker symbol",TRUE)</f>
        <v>ADM</v>
      </c>
      <c r="C4" t="b">
        <v>1</v>
      </c>
      <c r="D4" t="s">
        <v>5</v>
      </c>
      <c r="E4" t="b">
        <v>1</v>
      </c>
      <c r="H4" s="2" cm="1">
        <f t="array" aca="1" ref="H4" ca="1">_FV(table1[[#This Row],[DataField]],"Price")</f>
        <v>69.504999999999995</v>
      </c>
      <c r="I4" s="2" cm="1">
        <f t="array" aca="1" ref="I4" ca="1">_FV(table1[[#This Row],[DataField]],"52 week low",TRUE)</f>
        <v>40.98</v>
      </c>
      <c r="J4" s="2" cm="1">
        <f t="array" aca="1" ref="J4" ca="1">_FV(table1[[#This Row],[DataField]],"52 week high",TRUE)</f>
        <v>70.09</v>
      </c>
      <c r="K4" s="4" cm="1">
        <f t="array" aca="1" ref="K4" ca="1">_FV(table1[[#This Row],[DataField]],"P/E",TRUE)</f>
        <v>31.186299999999999</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33401996998</v>
      </c>
    </row>
    <row r="5" spans="1:14" x14ac:dyDescent="0.2">
      <c r="A5" t="e" vm="4">
        <v>#VALUE!</v>
      </c>
      <c r="B5" t="str" cm="1">
        <f t="array" aca="1" ref="B5" ca="1">_FV(table1[[#This Row],[DataField]],"Ticker symbol",TRUE)</f>
        <v>ADP</v>
      </c>
      <c r="H5" s="2" cm="1">
        <f t="array" aca="1" ref="H5" ca="1">_FV(table1[[#This Row],[DataField]],"Price")</f>
        <v>212.11</v>
      </c>
      <c r="I5" s="2" cm="1">
        <f t="array" aca="1" ref="I5" ca="1">_FV(table1[[#This Row],[DataField]],"52 week low",TRUE)</f>
        <v>208.62</v>
      </c>
      <c r="J5" s="2" cm="1">
        <f t="array" aca="1" ref="J5" ca="1">_FV(table1[[#This Row],[DataField]],"52 week high",TRUE)</f>
        <v>329.92950000000002</v>
      </c>
      <c r="K5" s="4" cm="1">
        <f t="array" aca="1" ref="K5" ca="1">_FV(table1[[#This Row],[DataField]],"P/E",TRUE)</f>
        <v>20.169499999999999</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85404882473</v>
      </c>
    </row>
    <row r="6" spans="1:14" x14ac:dyDescent="0.2">
      <c r="A6" t="e" vm="5">
        <v>#VALUE!</v>
      </c>
      <c r="B6" t="str" cm="1">
        <f t="array" aca="1" ref="B6" ca="1">_FV(table1[[#This Row],[DataField]],"Ticker symbol",TRUE)</f>
        <v>AMD</v>
      </c>
      <c r="G6" t="s">
        <v>25</v>
      </c>
      <c r="H6" s="2" cm="1">
        <f t="array" aca="1" ref="H6" ca="1">_FV(table1[[#This Row],[DataField]],"Price")</f>
        <v>207.32</v>
      </c>
      <c r="I6" s="2" cm="1">
        <f t="array" aca="1" ref="I6" ca="1">_FV(table1[[#This Row],[DataField]],"52 week low",TRUE)</f>
        <v>76.48</v>
      </c>
      <c r="J6" s="2" cm="1">
        <f t="array" aca="1" ref="J6" ca="1">_FV(table1[[#This Row],[DataField]],"52 week high",TRUE)</f>
        <v>267.07990000000001</v>
      </c>
      <c r="K6" s="4" cm="1">
        <f t="array" aca="1" ref="K6" ca="1">_FV(table1[[#This Row],[DataField]],"P/E",TRUE)</f>
        <v>79.073300000000003</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338016808520</v>
      </c>
    </row>
    <row r="7" spans="1:14" x14ac:dyDescent="0.2">
      <c r="A7" t="e" vm="6">
        <v>#VALUE!</v>
      </c>
      <c r="B7" t="str" cm="1">
        <f t="array" aca="1" ref="B7" ca="1">_FV(table1[[#This Row],[DataField]],"Ticker symbol",TRUE)</f>
        <v>AMT</v>
      </c>
      <c r="H7" s="2" cm="1">
        <f t="array" aca="1" ref="H7" ca="1">_FV(table1[[#This Row],[DataField]],"Price")</f>
        <v>192.1</v>
      </c>
      <c r="I7" s="2" cm="1">
        <f t="array" aca="1" ref="I7" ca="1">_FV(table1[[#This Row],[DataField]],"52 week low",TRUE)</f>
        <v>166.88</v>
      </c>
      <c r="J7" s="2" cm="1">
        <f t="array" aca="1" ref="J7" ca="1">_FV(table1[[#This Row],[DataField]],"52 week high",TRUE)</f>
        <v>234.33</v>
      </c>
      <c r="K7" s="4" cm="1">
        <f t="array" aca="1" ref="K7" ca="1">_FV(table1[[#This Row],[DataField]],"P/E",TRUE)</f>
        <v>30.016999999999999</v>
      </c>
      <c r="L7" s="2" t="str">
        <f ca="1">IF(table1[[#This Row],[Price]] &lt; (table1[[#This Row],[52Low]] * 0.25) + table1[[#This Row],[52Low]],  "TRUE", "FALSE")</f>
        <v>TRUE</v>
      </c>
      <c r="M7" s="2" t="str">
        <f ca="1">IF(table1[[#This Row],[Price]] &lt; (table1[[#This Row],[52Low]] * 0.1) + table1[[#This Row],[52Low]],  "TRUE", "FALSE")</f>
        <v>FALSE</v>
      </c>
      <c r="N7" s="6" cm="1">
        <f t="array" aca="1" ref="N7" ca="1">_FV(table1[[#This Row],[DataField]],"Market cap",TRUE)</f>
        <v>89930961860</v>
      </c>
    </row>
    <row r="8" spans="1:14" x14ac:dyDescent="0.2">
      <c r="A8" t="e" vm="7">
        <v>#VALUE!</v>
      </c>
      <c r="B8" t="str" cm="1">
        <f t="array" aca="1" ref="B8" ca="1">_FV(table1[[#This Row],[DataField]],"Ticker symbol",TRUE)</f>
        <v>AMZN</v>
      </c>
      <c r="C8" t="b">
        <v>1</v>
      </c>
      <c r="D8" t="s">
        <v>7</v>
      </c>
      <c r="E8" t="b">
        <v>1</v>
      </c>
      <c r="G8" t="s">
        <v>24</v>
      </c>
      <c r="H8" s="2" cm="1">
        <f t="array" aca="1" ref="H8" ca="1">_FV(table1[[#This Row],[DataField]],"Price")</f>
        <v>198.79</v>
      </c>
      <c r="I8" s="2" cm="1">
        <f t="array" aca="1" ref="I8" ca="1">_FV(table1[[#This Row],[DataField]],"52 week low",TRUE)</f>
        <v>161.38</v>
      </c>
      <c r="J8" s="2" cm="1">
        <f t="array" aca="1" ref="J8" ca="1">_FV(table1[[#This Row],[DataField]],"52 week high",TRUE)</f>
        <v>258.60000000000002</v>
      </c>
      <c r="K8" s="4" cm="1">
        <f t="array" aca="1" ref="K8" ca="1">_FV(table1[[#This Row],[DataField]],"P/E",TRUE)</f>
        <v>27.829499999999999</v>
      </c>
      <c r="L8" s="2" t="str">
        <f ca="1">IF(table1[[#This Row],[Price]] &lt; (table1[[#This Row],[52Low]] * 0.25) + table1[[#This Row],[52Low]],  "TRUE", "FALSE")</f>
        <v>TRUE</v>
      </c>
      <c r="M8" s="2" t="str">
        <f ca="1">IF(table1[[#This Row],[Price]] &lt; (table1[[#This Row],[52Low]] * 0.1) + table1[[#This Row],[52Low]],  "TRUE", "FALSE")</f>
        <v>FALSE</v>
      </c>
      <c r="N8" s="6" cm="1">
        <f t="array" aca="1" ref="N8" ca="1">_FV(table1[[#This Row],[DataField]],"Market cap",TRUE)</f>
        <v>2133994746800</v>
      </c>
    </row>
    <row r="9" spans="1:14" x14ac:dyDescent="0.2">
      <c r="A9" t="e" vm="8">
        <v>#VALUE!</v>
      </c>
      <c r="B9" t="str" cm="1">
        <f t="array" aca="1" ref="B9" ca="1">_FV(table1[[#This Row],[DataField]],"Ticker symbol",TRUE)</f>
        <v>AOS</v>
      </c>
      <c r="H9" s="2" cm="1">
        <f t="array" aca="1" ref="H9" ca="1">_FV(table1[[#This Row],[DataField]],"Price")</f>
        <v>80.459999999999994</v>
      </c>
      <c r="I9" s="2" cm="1">
        <f t="array" aca="1" ref="I9" ca="1">_FV(table1[[#This Row],[DataField]],"52 week low",TRUE)</f>
        <v>58.83</v>
      </c>
      <c r="J9" s="2" cm="1">
        <f t="array" aca="1" ref="J9" ca="1">_FV(table1[[#This Row],[DataField]],"52 week high",TRUE)</f>
        <v>81.864999999999995</v>
      </c>
      <c r="K9" s="4" cm="1">
        <f t="array" aca="1" ref="K9" ca="1">_FV(table1[[#This Row],[DataField]],"P/E",TRUE)</f>
        <v>20.6952</v>
      </c>
      <c r="L9" s="2" t="str">
        <f ca="1">IF(table1[[#This Row],[Price]] &lt; (table1[[#This Row],[52Low]] * 0.25) + table1[[#This Row],[52Low]],  "TRUE", "FALSE")</f>
        <v>FALSE</v>
      </c>
      <c r="M9" s="2" t="str">
        <f ca="1">IF(table1[[#This Row],[Price]] &lt; (table1[[#This Row],[52Low]] * 0.1) + table1[[#This Row],[52Low]],  "TRUE", "FALSE")</f>
        <v>FALSE</v>
      </c>
      <c r="N9" s="6" cm="1">
        <f t="array" aca="1" ref="N9" ca="1">_FV(table1[[#This Row],[DataField]],"Market cap",TRUE)</f>
        <v>11126805354</v>
      </c>
    </row>
    <row r="10" spans="1:14" x14ac:dyDescent="0.2">
      <c r="A10" t="e" vm="9">
        <v>#VALUE!</v>
      </c>
      <c r="B10" t="str" cm="1">
        <f t="array" aca="1" ref="B10" ca="1">_FV(table1[[#This Row],[DataField]],"Ticker symbol",TRUE)</f>
        <v>ASML</v>
      </c>
      <c r="G10" t="s">
        <v>25</v>
      </c>
      <c r="H10" s="2" cm="1">
        <f t="array" aca="1" ref="H10" ca="1">_FV(table1[[#This Row],[DataField]],"Price")</f>
        <v>1406.61</v>
      </c>
      <c r="I10" s="2" cm="1">
        <f t="array" aca="1" ref="I10" ca="1">_FV(table1[[#This Row],[DataField]],"52 week low",TRUE)</f>
        <v>578.51</v>
      </c>
      <c r="J10" s="2" cm="1">
        <f t="array" aca="1" ref="J10" ca="1">_FV(table1[[#This Row],[DataField]],"52 week high",TRUE)</f>
        <v>1493.4749999999999</v>
      </c>
      <c r="K10" s="4" cm="1">
        <f t="array" aca="1" ref="K10" ca="1">_FV(table1[[#This Row],[DataField]],"P/E",TRUE)</f>
        <v>48.465600000000002</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557236482551</v>
      </c>
    </row>
    <row r="11" spans="1:14" x14ac:dyDescent="0.2">
      <c r="A11" t="e" vm="10">
        <v>#VALUE!</v>
      </c>
      <c r="B11" t="str" cm="1">
        <f t="array" aca="1" ref="B11" ca="1">_FV(table1[[#This Row],[DataField]],"Ticker symbol",TRUE)</f>
        <v>AVGO</v>
      </c>
      <c r="H11" s="2" cm="1">
        <f t="array" aca="1" ref="H11" ca="1">_FV(table1[[#This Row],[DataField]],"Price")</f>
        <v>325.17</v>
      </c>
      <c r="I11" s="2" cm="1">
        <f t="array" aca="1" ref="I11" ca="1">_FV(table1[[#This Row],[DataField]],"52 week low",TRUE)</f>
        <v>138.1</v>
      </c>
      <c r="J11" s="2" cm="1">
        <f t="array" aca="1" ref="J11" ca="1">_FV(table1[[#This Row],[DataField]],"52 week high",TRUE)</f>
        <v>414.61</v>
      </c>
      <c r="K11" s="4" cm="1">
        <f t="array" aca="1" ref="K11" ca="1">_FV(table1[[#This Row],[DataField]],"P/E",TRUE)</f>
        <v>69.427700000000002</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1541720066580</v>
      </c>
    </row>
    <row r="12" spans="1:14" x14ac:dyDescent="0.2">
      <c r="A12" t="e" vm="11">
        <v>#VALUE!</v>
      </c>
      <c r="B12" t="str" cm="1">
        <f t="array" aca="1" ref="B12" ca="1">_FV(table1[[#This Row],[DataField]],"Ticker symbol",TRUE)</f>
        <v>AWK</v>
      </c>
      <c r="H12" s="2" cm="1">
        <f t="array" aca="1" ref="H12" ca="1">_FV(table1[[#This Row],[DataField]],"Price")</f>
        <v>133.4</v>
      </c>
      <c r="I12" s="2" cm="1">
        <f t="array" aca="1" ref="I12" ca="1">_FV(table1[[#This Row],[DataField]],"52 week low",TRUE)</f>
        <v>121.27500000000001</v>
      </c>
      <c r="J12" s="2" cm="1">
        <f t="array" aca="1" ref="J12" ca="1">_FV(table1[[#This Row],[DataField]],"52 week high",TRUE)</f>
        <v>155.5</v>
      </c>
      <c r="K12" s="4" cm="1">
        <f t="array" aca="1" ref="K12" ca="1">_FV(table1[[#This Row],[DataField]],"P/E",TRUE)</f>
        <v>22.510899999999999</v>
      </c>
      <c r="L12" s="2" t="str">
        <f ca="1">IF(table1[[#This Row],[Price]] &lt; (table1[[#This Row],[52Low]] * 0.25) + table1[[#This Row],[52Low]],  "TRUE", "FALSE")</f>
        <v>TRUE</v>
      </c>
      <c r="M12" s="2" t="str">
        <f ca="1">IF(table1[[#This Row],[Price]] &lt; (table1[[#This Row],[52Low]] * 0.1) + table1[[#This Row],[52Low]],  "TRUE", "FALSE")</f>
        <v>TRUE</v>
      </c>
      <c r="N12" s="6" cm="1">
        <f t="array" aca="1" ref="N12" ca="1">_FV(table1[[#This Row],[DataField]],"Market cap",TRUE)</f>
        <v>26036638480</v>
      </c>
    </row>
    <row r="13" spans="1:14" ht="17" customHeight="1" x14ac:dyDescent="0.2">
      <c r="A13" t="e" vm="12">
        <v>#VALUE!</v>
      </c>
      <c r="B13" t="str" cm="1">
        <f t="array" aca="1" ref="B13" ca="1">_FV(table1[[#This Row],[DataField]],"Ticker symbol",TRUE)</f>
        <v>BBY</v>
      </c>
      <c r="H13" s="2" cm="1">
        <f t="array" aca="1" ref="H13" ca="1">_FV(table1[[#This Row],[DataField]],"Price")</f>
        <v>65.78</v>
      </c>
      <c r="I13" s="2" cm="1">
        <f t="array" aca="1" ref="I13" ca="1">_FV(table1[[#This Row],[DataField]],"52 week low",TRUE)</f>
        <v>54.99</v>
      </c>
      <c r="J13" s="2" cm="1">
        <f t="array" aca="1" ref="J13" ca="1">_FV(table1[[#This Row],[DataField]],"52 week high",TRUE)</f>
        <v>91.68</v>
      </c>
      <c r="K13" s="4" cm="1">
        <f t="array" aca="1" ref="K13" ca="1">_FV(table1[[#This Row],[DataField]],"P/E",TRUE)</f>
        <v>21.405799999999999</v>
      </c>
      <c r="L13" s="2" t="str">
        <f ca="1">IF(table1[[#This Row],[Price]] &lt; (table1[[#This Row],[52Low]] * 0.25) + table1[[#This Row],[52Low]],  "TRUE", "FALSE")</f>
        <v>TRUE</v>
      </c>
      <c r="M13" s="2" t="str">
        <f ca="1">IF(table1[[#This Row],[Price]] &lt; (table1[[#This Row],[52Low]] * 0.1) + table1[[#This Row],[52Low]],  "TRUE", "FALSE")</f>
        <v>FALSE</v>
      </c>
      <c r="N13" s="6" cm="1">
        <f t="array" aca="1" ref="N13" ca="1">_FV(table1[[#This Row],[DataField]],"Market cap",TRUE)</f>
        <v>13783218878</v>
      </c>
    </row>
    <row r="14" spans="1:14" x14ac:dyDescent="0.2">
      <c r="A14" t="e" vm="13">
        <v>#VALUE!</v>
      </c>
      <c r="B14" t="str" cm="1">
        <f t="array" aca="1" ref="B14" ca="1">_FV(table1[[#This Row],[DataField]],"Ticker symbol",TRUE)</f>
        <v>BF.A</v>
      </c>
      <c r="H14" s="2" cm="1">
        <f t="array" aca="1" ref="H14" ca="1">_FV(table1[[#This Row],[DataField]],"Price")</f>
        <v>30.22</v>
      </c>
      <c r="I14" s="2" cm="1">
        <f t="array" aca="1" ref="I14" ca="1">_FV(table1[[#This Row],[DataField]],"52 week low",TRUE)</f>
        <v>25.53</v>
      </c>
      <c r="J14" s="2" cm="1">
        <f t="array" aca="1" ref="J14" ca="1">_FV(table1[[#This Row],[DataField]],"52 week high",TRUE)</f>
        <v>38.21</v>
      </c>
      <c r="K14" s="4" t="e" cm="1" vm="14">
        <f t="array" ref="K14">_FV(table1[[#This Row],[DataField]],"P/E",TRUE)</f>
        <v>#VALUE!</v>
      </c>
      <c r="L14" s="2" t="str">
        <f ca="1">IF(table1[[#This Row],[Price]] &lt; (table1[[#This Row],[52Low]] * 0.25) + table1[[#This Row],[52Low]],  "TRUE", "FALSE")</f>
        <v>TRUE</v>
      </c>
      <c r="M14" s="2" t="str">
        <f ca="1">IF(table1[[#This Row],[Price]] &lt; (table1[[#This Row],[52Low]] * 0.1) + table1[[#This Row],[52Low]],  "TRUE", "FALSE")</f>
        <v>FALSE</v>
      </c>
      <c r="N14" s="6" cm="1">
        <f t="array" aca="1" ref="N14" ca="1">_FV(table1[[#This Row],[DataField]],"Market cap",TRUE)</f>
        <v>13998188068</v>
      </c>
    </row>
    <row r="15" spans="1:14" x14ac:dyDescent="0.2">
      <c r="A15" t="e" vm="15">
        <v>#VALUE!</v>
      </c>
      <c r="B15" t="str" cm="1">
        <f t="array" aca="1" ref="B15" ca="1">_FV(table1[[#This Row],[DataField]],"Ticker symbol",TRUE)</f>
        <v>BLK</v>
      </c>
      <c r="C15" t="b">
        <v>1</v>
      </c>
      <c r="D15" t="s">
        <v>8</v>
      </c>
      <c r="E15" t="b">
        <v>1</v>
      </c>
      <c r="H15" s="2" cm="1">
        <f t="array" aca="1" ref="H15" ca="1">_FV(table1[[#This Row],[DataField]],"Price")</f>
        <v>1070.72</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30.459700000000002</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166123171648</v>
      </c>
    </row>
    <row r="16" spans="1:14" x14ac:dyDescent="0.2">
      <c r="A16" t="e" vm="16">
        <v>#VALUE!</v>
      </c>
      <c r="B16" t="str" cm="1">
        <f t="array" aca="1" ref="B16" ca="1">_FV(table1[[#This Row],[DataField]],"Ticker symbol",TRUE)</f>
        <v>BMY</v>
      </c>
      <c r="C16" t="b">
        <v>1</v>
      </c>
      <c r="D16" t="s">
        <v>9</v>
      </c>
      <c r="E16" t="b">
        <v>1</v>
      </c>
      <c r="H16" s="2" cm="1">
        <f t="array" aca="1" ref="H16" ca="1">_FV(table1[[#This Row],[DataField]],"Price")</f>
        <v>60.74</v>
      </c>
      <c r="I16" s="2" cm="1">
        <f t="array" aca="1" ref="I16" ca="1">_FV(table1[[#This Row],[DataField]],"52 week low",TRUE)</f>
        <v>42.52</v>
      </c>
      <c r="J16" s="2" cm="1">
        <f t="array" aca="1" ref="J16" ca="1">_FV(table1[[#This Row],[DataField]],"52 week high",TRUE)</f>
        <v>63.33</v>
      </c>
      <c r="K16" s="4" cm="1">
        <f t="array" aca="1" ref="K16" ca="1">_FV(table1[[#This Row],[DataField]],"P/E",TRUE)</f>
        <v>17.335100000000001</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123695430760</v>
      </c>
    </row>
    <row r="17" spans="1:14" x14ac:dyDescent="0.2">
      <c r="A17" t="e" vm="17">
        <v>#VALUE!</v>
      </c>
      <c r="B17" t="str" cm="1">
        <f t="array" aca="1" ref="B17" ca="1">_FV(table1[[#This Row],[DataField]],"Ticker symbol",TRUE)</f>
        <v>CAT</v>
      </c>
      <c r="H17" s="2" cm="1">
        <f t="array" aca="1" ref="H17" ca="1">_FV(table1[[#This Row],[DataField]],"Price")</f>
        <v>774.66</v>
      </c>
      <c r="I17" s="2" cm="1">
        <f t="array" aca="1" ref="I17" ca="1">_FV(table1[[#This Row],[DataField]],"52 week low",TRUE)</f>
        <v>267.3</v>
      </c>
      <c r="J17" s="2" cm="1">
        <f t="array" aca="1" ref="J17" ca="1">_FV(table1[[#This Row],[DataField]],"52 week high",TRUE)</f>
        <v>789.81</v>
      </c>
      <c r="K17" s="4" cm="1">
        <f t="array" aca="1" ref="K17" ca="1">_FV(table1[[#This Row],[DataField]],"P/E",TRUE)</f>
        <v>40.277700000000003</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362525076936</v>
      </c>
    </row>
    <row r="18" spans="1:14" x14ac:dyDescent="0.2">
      <c r="A18" t="e" vm="18">
        <v>#VALUE!</v>
      </c>
      <c r="B18" t="str" cm="1">
        <f t="array" aca="1" ref="B18" ca="1">_FV(table1[[#This Row],[DataField]],"Ticker symbol",TRUE)</f>
        <v>CCI</v>
      </c>
      <c r="H18" s="2" cm="1">
        <f t="array" aca="1" ref="H18" ca="1">_FV(table1[[#This Row],[DataField]],"Price")</f>
        <v>90.39</v>
      </c>
      <c r="I18" s="2" cm="1">
        <f t="array" aca="1" ref="I18" ca="1">_FV(table1[[#This Row],[DataField]],"52 week low",TRUE)</f>
        <v>77.010000000000005</v>
      </c>
      <c r="J18" s="2" cm="1">
        <f t="array" aca="1" ref="J18" ca="1">_FV(table1[[#This Row],[DataField]],"52 week high",TRUE)</f>
        <v>115.76</v>
      </c>
      <c r="K18" s="4" cm="1">
        <f t="array" aca="1" ref="K18" ca="1">_FV(table1[[#This Row],[DataField]],"P/E",TRUE)</f>
        <v>34.7896</v>
      </c>
      <c r="L18" s="2" t="str">
        <f ca="1">IF(table1[[#This Row],[Price]] &lt; (table1[[#This Row],[52Low]] * 0.25) + table1[[#This Row],[52Low]],  "TRUE", "FALSE")</f>
        <v>TRUE</v>
      </c>
      <c r="M18" s="2" t="str">
        <f ca="1">IF(table1[[#This Row],[Price]] &lt; (table1[[#This Row],[52Low]] * 0.1) + table1[[#This Row],[52Low]],  "TRUE", "FALSE")</f>
        <v>FALSE</v>
      </c>
      <c r="N18" s="6" cm="1">
        <f t="array" aca="1" ref="N18" ca="1">_FV(table1[[#This Row],[DataField]],"Market cap",TRUE)</f>
        <v>39319650000</v>
      </c>
    </row>
    <row r="19" spans="1:14" x14ac:dyDescent="0.2">
      <c r="A19" t="e" vm="19">
        <v>#VALUE!</v>
      </c>
      <c r="B19" t="str" cm="1">
        <f t="array" aca="1" ref="B19" ca="1">_FV(table1[[#This Row],[DataField]],"Ticker symbol",TRUE)</f>
        <v>CL</v>
      </c>
      <c r="H19" s="2" cm="1">
        <f t="array" aca="1" ref="H19" ca="1">_FV(table1[[#This Row],[DataField]],"Price")</f>
        <v>96.67</v>
      </c>
      <c r="I19" s="2" cm="1">
        <f t="array" aca="1" ref="I19" ca="1">_FV(table1[[#This Row],[DataField]],"52 week low",TRUE)</f>
        <v>74.545000000000002</v>
      </c>
      <c r="J19" s="2" cm="1">
        <f t="array" aca="1" ref="J19" ca="1">_FV(table1[[#This Row],[DataField]],"52 week high",TRUE)</f>
        <v>100.18</v>
      </c>
      <c r="K19" s="4" cm="1">
        <f t="array" aca="1" ref="K19" ca="1">_FV(table1[[#This Row],[DataField]],"P/E",TRUE)</f>
        <v>36.686599999999999</v>
      </c>
      <c r="L19" s="2" t="str">
        <f ca="1">IF(table1[[#This Row],[Price]] &lt; (table1[[#This Row],[52Low]] * 0.25) + table1[[#This Row],[52Low]],  "TRUE", "FALSE")</f>
        <v>FALSE</v>
      </c>
      <c r="M19" s="2" t="str">
        <f ca="1">IF(table1[[#This Row],[Price]] &lt; (table1[[#This Row],[52Low]] * 0.1) + table1[[#This Row],[52Low]],  "TRUE", "FALSE")</f>
        <v>FALSE</v>
      </c>
      <c r="N19" s="6" cm="1">
        <f t="array" aca="1" ref="N19" ca="1">_FV(table1[[#This Row],[DataField]],"Market cap",TRUE)</f>
        <v>77922293883</v>
      </c>
    </row>
    <row r="20" spans="1:14" x14ac:dyDescent="0.2">
      <c r="A20" t="e" vm="20">
        <v>#VALUE!</v>
      </c>
      <c r="B20" t="str" cm="1">
        <f t="array" aca="1" ref="B20" ca="1">_FV(table1[[#This Row],[DataField]],"Ticker symbol",TRUE)</f>
        <v>CLX</v>
      </c>
      <c r="C20" t="b">
        <v>1</v>
      </c>
      <c r="D20" t="s">
        <v>5</v>
      </c>
      <c r="E20" t="b">
        <v>1</v>
      </c>
      <c r="H20" s="2" cm="1">
        <f t="array" aca="1" ref="H20" ca="1">_FV(table1[[#This Row],[DataField]],"Price")</f>
        <v>125.91500000000001</v>
      </c>
      <c r="I20" s="2" cm="1">
        <f t="array" aca="1" ref="I20" ca="1">_FV(table1[[#This Row],[DataField]],"52 week low",TRUE)</f>
        <v>96.6601</v>
      </c>
      <c r="J20" s="2" cm="1">
        <f t="array" aca="1" ref="J20" ca="1">_FV(table1[[#This Row],[DataField]],"52 week high",TRUE)</f>
        <v>159.04</v>
      </c>
      <c r="K20" s="4" cm="1">
        <f t="array" aca="1" ref="K20" ca="1">_FV(table1[[#This Row],[DataField]],"P/E",TRUE)</f>
        <v>20.365200000000002</v>
      </c>
      <c r="L20" s="2" t="str">
        <f ca="1">IF(table1[[#This Row],[Price]] &lt; (table1[[#This Row],[52Low]] * 0.25) + table1[[#This Row],[52Low]],  "TRUE", "FALSE")</f>
        <v>FALSE</v>
      </c>
      <c r="M20" s="2" t="str">
        <f ca="1">IF(table1[[#This Row],[Price]] &lt; (table1[[#This Row],[52Low]] * 0.1) + table1[[#This Row],[52Low]],  "TRUE", "FALSE")</f>
        <v>FALSE</v>
      </c>
      <c r="N20" s="6" cm="1">
        <f t="array" aca="1" ref="N20" ca="1">_FV(table1[[#This Row],[DataField]],"Market cap",TRUE)</f>
        <v>15224621888</v>
      </c>
    </row>
    <row r="21" spans="1:14" x14ac:dyDescent="0.2">
      <c r="A21" t="e" vm="21">
        <v>#VALUE!</v>
      </c>
      <c r="B21" t="str" cm="1">
        <f t="array" aca="1" ref="B21" ca="1">_FV(table1[[#This Row],[DataField]],"Ticker symbol",TRUE)</f>
        <v>CMCSA</v>
      </c>
      <c r="C21" t="b">
        <v>1</v>
      </c>
      <c r="D21" t="s">
        <v>10</v>
      </c>
      <c r="E21" t="b">
        <v>1</v>
      </c>
      <c r="H21" s="2" cm="1">
        <f t="array" aca="1" ref="H21" ca="1">_FV(table1[[#This Row],[DataField]],"Price")</f>
        <v>31.57</v>
      </c>
      <c r="I21" s="2" cm="1">
        <f t="array" aca="1" ref="I21" ca="1">_FV(table1[[#This Row],[DataField]],"52 week low",TRUE)</f>
        <v>24.1234</v>
      </c>
      <c r="J21" s="2" cm="1">
        <f t="array" aca="1" ref="J21" ca="1">_FV(table1[[#This Row],[DataField]],"52 week high",TRUE)</f>
        <v>35.5762</v>
      </c>
      <c r="K21" s="4" cm="1">
        <f t="array" aca="1" ref="K21" ca="1">_FV(table1[[#This Row],[DataField]],"P/E",TRUE)</f>
        <v>5.9192999999999998</v>
      </c>
      <c r="L21" s="2" t="str">
        <f ca="1">IF(table1[[#This Row],[Price]] &lt; (table1[[#This Row],[52Low]] * 0.25) + table1[[#This Row],[52Low]],  "TRUE", "FALSE")</f>
        <v>FALSE</v>
      </c>
      <c r="M21" s="2" t="str">
        <f ca="1">IF(table1[[#This Row],[Price]] &lt; (table1[[#This Row],[52Low]] * 0.1) + table1[[#This Row],[52Low]],  "TRUE", "FALSE")</f>
        <v>FALSE</v>
      </c>
      <c r="N21" s="6" cm="1">
        <f t="array" aca="1" ref="N21" ca="1">_FV(table1[[#This Row],[DataField]],"Market cap",TRUE)</f>
        <v>113583998220</v>
      </c>
    </row>
    <row r="22" spans="1:14" x14ac:dyDescent="0.2">
      <c r="A22" t="e" vm="22">
        <v>#VALUE!</v>
      </c>
      <c r="B22" t="str" cm="1">
        <f t="array" aca="1" ref="B22" ca="1">_FV(table1[[#This Row],[DataField]],"Ticker symbol",TRUE)</f>
        <v>CNI</v>
      </c>
      <c r="H22" s="2" cm="1">
        <f t="array" aca="1" ref="H22" ca="1">_FV(table1[[#This Row],[DataField]],"Price")</f>
        <v>107.53</v>
      </c>
      <c r="I22" s="2" cm="1">
        <f t="array" aca="1" ref="I22" ca="1">_FV(table1[[#This Row],[DataField]],"52 week low",TRUE)</f>
        <v>90.74</v>
      </c>
      <c r="J22" s="2" cm="1">
        <f t="array" aca="1" ref="J22" ca="1">_FV(table1[[#This Row],[DataField]],"52 week high",TRUE)</f>
        <v>108.745</v>
      </c>
      <c r="K22" s="4" cm="1">
        <f t="array" aca="1" ref="K22" ca="1">_FV(table1[[#This Row],[DataField]],"P/E",TRUE)</f>
        <v>19.4587</v>
      </c>
      <c r="L22" s="2" t="str">
        <f ca="1">IF(table1[[#This Row],[Price]] &lt; (table1[[#This Row],[52Low]] * 0.25) + table1[[#This Row],[52Low]],  "TRUE", "FALSE")</f>
        <v>TRUE</v>
      </c>
      <c r="M22" s="2" t="str">
        <f ca="1">IF(table1[[#This Row],[Price]] &lt; (table1[[#This Row],[52Low]] * 0.1) + table1[[#This Row],[52Low]],  "TRUE", "FALSE")</f>
        <v>FALSE</v>
      </c>
      <c r="N22" s="6" cm="1">
        <f t="array" aca="1" ref="N22" ca="1">_FV(table1[[#This Row],[DataField]],"Market cap",TRUE)</f>
        <v>59319389450</v>
      </c>
    </row>
    <row r="23" spans="1:14" x14ac:dyDescent="0.2">
      <c r="A23" t="e" vm="23">
        <v>#VALUE!</v>
      </c>
      <c r="B23" t="str" cm="1">
        <f t="array" aca="1" ref="B23" ca="1">_FV(table1[[#This Row],[DataField]],"Ticker symbol",TRUE)</f>
        <v>COST</v>
      </c>
      <c r="H23" s="2" cm="1">
        <f t="array" aca="1" ref="H23" ca="1">_FV(table1[[#This Row],[DataField]],"Price")</f>
        <v>1018.48</v>
      </c>
      <c r="I23" s="2" cm="1">
        <f t="array" aca="1" ref="I23" ca="1">_FV(table1[[#This Row],[DataField]],"52 week low",TRUE)</f>
        <v>844.06</v>
      </c>
      <c r="J23" s="2" cm="1">
        <f t="array" aca="1" ref="J23" ca="1">_FV(table1[[#This Row],[DataField]],"52 week high",TRUE)</f>
        <v>1078.2349999999999</v>
      </c>
      <c r="K23" s="4" cm="1">
        <f t="array" aca="1" ref="K23" ca="1">_FV(table1[[#This Row],[DataField]],"P/E",TRUE)</f>
        <v>53.506100000000004</v>
      </c>
      <c r="L23" s="2" t="str">
        <f ca="1">IF(table1[[#This Row],[Price]] &lt; (table1[[#This Row],[52Low]] * 0.25) + table1[[#This Row],[52Low]],  "TRUE", "FALSE")</f>
        <v>TRUE</v>
      </c>
      <c r="M23" s="2" t="str">
        <f ca="1">IF(table1[[#This Row],[Price]] &lt; (table1[[#This Row],[52Low]] * 0.1) + table1[[#This Row],[52Low]],  "TRUE", "FALSE")</f>
        <v>FALSE</v>
      </c>
      <c r="N23" s="6" cm="1">
        <f t="array" aca="1" ref="N23" ca="1">_FV(table1[[#This Row],[DataField]],"Market cap",TRUE)</f>
        <v>452072106512</v>
      </c>
    </row>
    <row r="24" spans="1:14" x14ac:dyDescent="0.2">
      <c r="A24" t="e" vm="24">
        <v>#VALUE!</v>
      </c>
      <c r="B24" t="str" cm="1">
        <f t="array" aca="1" ref="B24" ca="1">_FV(table1[[#This Row],[DataField]],"Ticker symbol",TRUE)</f>
        <v>CPB</v>
      </c>
      <c r="H24" s="2" cm="1">
        <f t="array" aca="1" ref="H24" ca="1">_FV(table1[[#This Row],[DataField]],"Price")</f>
        <v>29.49</v>
      </c>
      <c r="I24" s="2" cm="1">
        <f t="array" aca="1" ref="I24" ca="1">_FV(table1[[#This Row],[DataField]],"52 week low",TRUE)</f>
        <v>25.62</v>
      </c>
      <c r="J24" s="2" cm="1">
        <f t="array" aca="1" ref="J24" ca="1">_FV(table1[[#This Row],[DataField]],"52 week high",TRUE)</f>
        <v>43.85</v>
      </c>
      <c r="K24" s="4" cm="1">
        <f t="array" aca="1" ref="K24" ca="1">_FV(table1[[#This Row],[DataField]],"P/E",TRUE)</f>
        <v>15.0265</v>
      </c>
      <c r="L24" s="2" t="str">
        <f ca="1">IF(table1[[#This Row],[Price]] &lt; (table1[[#This Row],[52Low]] * 0.25) + table1[[#This Row],[52Low]],  "TRUE", "FALSE")</f>
        <v>TRUE</v>
      </c>
      <c r="M24" s="2" t="str">
        <f ca="1">IF(table1[[#This Row],[Price]] &lt; (table1[[#This Row],[52Low]] * 0.1) + table1[[#This Row],[52Low]],  "TRUE", "FALSE")</f>
        <v>FALSE</v>
      </c>
      <c r="N24" s="6" cm="1">
        <f t="array" aca="1" ref="N24" ca="1">_FV(table1[[#This Row],[DataField]],"Market cap",TRUE)</f>
        <v>8791977558</v>
      </c>
    </row>
    <row r="25" spans="1:14" x14ac:dyDescent="0.2">
      <c r="A25" t="e" vm="25">
        <v>#VALUE!</v>
      </c>
      <c r="B25" t="str" cm="1">
        <f t="array" aca="1" ref="B25" ca="1">_FV(table1[[#This Row],[DataField]],"Ticker symbol",TRUE)</f>
        <v>CVS</v>
      </c>
      <c r="C25" t="b">
        <v>1</v>
      </c>
      <c r="D25" t="s">
        <v>9</v>
      </c>
      <c r="E25" t="b">
        <v>1</v>
      </c>
      <c r="H25" s="2" cm="1">
        <f t="array" aca="1" ref="H25" ca="1">_FV(table1[[#This Row],[DataField]],"Price")</f>
        <v>78.47</v>
      </c>
      <c r="I25" s="2" cm="1">
        <f t="array" aca="1" ref="I25" ca="1">_FV(table1[[#This Row],[DataField]],"52 week low",TRUE)</f>
        <v>58.35</v>
      </c>
      <c r="J25" s="2" cm="1">
        <f t="array" aca="1" ref="J25" ca="1">_FV(table1[[#This Row],[DataField]],"52 week high",TRUE)</f>
        <v>85.15</v>
      </c>
      <c r="K25" s="4" cm="1">
        <f t="array" aca="1" ref="K25" ca="1">_FV(table1[[#This Row],[DataField]],"P/E",TRUE)</f>
        <v>56.988</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99830397170</v>
      </c>
    </row>
    <row r="26" spans="1:14" x14ac:dyDescent="0.2">
      <c r="A26" t="e" vm="26">
        <v>#VALUE!</v>
      </c>
      <c r="B26" t="str" cm="1">
        <f t="array" aca="1" ref="B26" ca="1">_FV(table1[[#This Row],[DataField]],"Ticker symbol",TRUE)</f>
        <v>CVX</v>
      </c>
      <c r="C26" t="b">
        <v>1</v>
      </c>
      <c r="D26" t="s">
        <v>11</v>
      </c>
      <c r="E26" t="b">
        <v>1</v>
      </c>
      <c r="H26" s="2" cm="1">
        <f t="array" aca="1" ref="H26" ca="1">_FV(table1[[#This Row],[DataField]],"Price")</f>
        <v>183.7</v>
      </c>
      <c r="I26" s="2" cm="1">
        <f t="array" aca="1" ref="I26" ca="1">_FV(table1[[#This Row],[DataField]],"52 week low",TRUE)</f>
        <v>132.04</v>
      </c>
      <c r="J26" s="2" cm="1">
        <f t="array" aca="1" ref="J26" ca="1">_FV(table1[[#This Row],[DataField]],"52 week high",TRUE)</f>
        <v>186.52</v>
      </c>
      <c r="K26" s="4" cm="1">
        <f t="array" aca="1" ref="K26" ca="1">_FV(table1[[#This Row],[DataField]],"P/E",TRUE)</f>
        <v>27.436900000000001</v>
      </c>
      <c r="L26" s="2" t="str">
        <f ca="1">IF(table1[[#This Row],[Price]] &lt; (table1[[#This Row],[52Low]] * 0.25) + table1[[#This Row],[52Low]],  "TRUE", "FALSE")</f>
        <v>FALSE</v>
      </c>
      <c r="M26" s="2" t="str">
        <f ca="1">IF(table1[[#This Row],[Price]] &lt; (table1[[#This Row],[52Low]] * 0.1) + table1[[#This Row],[52Low]],  "TRUE", "FALSE")</f>
        <v>FALSE</v>
      </c>
      <c r="N26" s="6" cm="1">
        <f t="array" aca="1" ref="N26" ca="1">_FV(table1[[#This Row],[DataField]],"Market cap",TRUE)</f>
        <v>363726000000</v>
      </c>
    </row>
    <row r="27" spans="1:14" x14ac:dyDescent="0.2">
      <c r="A27" t="e" vm="27">
        <v>#VALUE!</v>
      </c>
      <c r="B27" t="str" cm="1">
        <f t="array" aca="1" ref="B27" ca="1">_FV(table1[[#This Row],[DataField]],"Ticker symbol",TRUE)</f>
        <v>D</v>
      </c>
      <c r="H27" s="2" cm="1">
        <f t="array" aca="1" ref="H27" ca="1">_FV(table1[[#This Row],[DataField]],"Price")</f>
        <v>66.510000000000005</v>
      </c>
      <c r="I27" s="2" cm="1">
        <f t="array" aca="1" ref="I27" ca="1">_FV(table1[[#This Row],[DataField]],"52 week low",TRUE)</f>
        <v>48.07</v>
      </c>
      <c r="J27" s="2" cm="1">
        <f t="array" aca="1" ref="J27" ca="1">_FV(table1[[#This Row],[DataField]],"52 week high",TRUE)</f>
        <v>66.790000000000006</v>
      </c>
      <c r="K27" s="4" cm="1">
        <f t="array" aca="1" ref="K27" ca="1">_FV(table1[[#This Row],[DataField]],"P/E",TRUE)</f>
        <v>24.444500000000001</v>
      </c>
      <c r="L27" s="2" t="str">
        <f ca="1">IF(table1[[#This Row],[Price]] &lt; (table1[[#This Row],[52Low]] * 0.25) + table1[[#This Row],[52Low]],  "TRUE", "FALSE")</f>
        <v>FALSE</v>
      </c>
      <c r="M27" s="2" t="str">
        <f ca="1">IF(table1[[#This Row],[Price]] &lt; (table1[[#This Row],[52Low]] * 0.1) + table1[[#This Row],[52Low]],  "TRUE", "FALSE")</f>
        <v>FALSE</v>
      </c>
      <c r="N27" s="6" cm="1">
        <f t="array" aca="1" ref="N27" ca="1">_FV(table1[[#This Row],[DataField]],"Market cap",TRUE)</f>
        <v>56793773583</v>
      </c>
    </row>
    <row r="28" spans="1:14" x14ac:dyDescent="0.2">
      <c r="A28" t="e" vm="28">
        <v>#VALUE!</v>
      </c>
      <c r="B28" t="str" cm="1">
        <f t="array" aca="1" ref="B28" ca="1">_FV(table1[[#This Row],[DataField]],"Ticker symbol",TRUE)</f>
        <v>DE</v>
      </c>
      <c r="H28" s="2" cm="1">
        <f t="array" aca="1" ref="H28" ca="1">_FV(table1[[#This Row],[DataField]],"Price")</f>
        <v>602.91999999999996</v>
      </c>
      <c r="I28" s="2" cm="1">
        <f t="array" aca="1" ref="I28" ca="1">_FV(table1[[#This Row],[DataField]],"52 week low",TRUE)</f>
        <v>404.42</v>
      </c>
      <c r="J28" s="2" cm="1">
        <f t="array" aca="1" ref="J28" ca="1">_FV(table1[[#This Row],[DataField]],"52 week high",TRUE)</f>
        <v>626.25</v>
      </c>
      <c r="K28" s="4" cm="1">
        <f t="array" aca="1" ref="K28" ca="1">_FV(table1[[#This Row],[DataField]],"P/E",TRUE)</f>
        <v>32.319000000000003</v>
      </c>
      <c r="L28" s="2" t="str">
        <f ca="1">IF(table1[[#This Row],[Price]] &lt; (table1[[#This Row],[52Low]] * 0.25) + table1[[#This Row],[52Low]],  "TRUE", "FALSE")</f>
        <v>FALSE</v>
      </c>
      <c r="M28" s="2" t="str">
        <f ca="1">IF(table1[[#This Row],[Price]] &lt; (table1[[#This Row],[52Low]] * 0.1) + table1[[#This Row],[52Low]],  "TRUE", "FALSE")</f>
        <v>FALSE</v>
      </c>
      <c r="N28" s="6" cm="1">
        <f t="array" aca="1" ref="N28" ca="1">_FV(table1[[#This Row],[DataField]],"Market cap",TRUE)</f>
        <v>163436237540</v>
      </c>
    </row>
    <row r="29" spans="1:14" x14ac:dyDescent="0.2">
      <c r="A29" t="e" vm="29">
        <v>#VALUE!</v>
      </c>
      <c r="B29" t="str" cm="1">
        <f t="array" aca="1" ref="B29" ca="1">_FV(table1[[#This Row],[DataField]],"Ticker symbol",TRUE)</f>
        <v>DEO</v>
      </c>
      <c r="H29" s="2" cm="1">
        <f t="array" aca="1" ref="H29" ca="1">_FV(table1[[#This Row],[DataField]],"Price")</f>
        <v>99.17</v>
      </c>
      <c r="I29" s="2" cm="1">
        <f t="array" aca="1" ref="I29" ca="1">_FV(table1[[#This Row],[DataField]],"52 week low",TRUE)</f>
        <v>84.52</v>
      </c>
      <c r="J29" s="2" cm="1">
        <f t="array" aca="1" ref="J29" ca="1">_FV(table1[[#This Row],[DataField]],"52 week high",TRUE)</f>
        <v>116.69</v>
      </c>
      <c r="K29" s="4" cm="1">
        <f t="array" aca="1" ref="K29" ca="1">_FV(table1[[#This Row],[DataField]],"P/E",TRUE)</f>
        <v>23.6737</v>
      </c>
      <c r="L29" s="2" t="str">
        <f ca="1">IF(table1[[#This Row],[Price]] &lt; (table1[[#This Row],[52Low]] * 0.25) + table1[[#This Row],[52Low]],  "TRUE", "FALSE")</f>
        <v>TRUE</v>
      </c>
      <c r="M29" s="2" t="str">
        <f ca="1">IF(table1[[#This Row],[Price]] &lt; (table1[[#This Row],[52Low]] * 0.1) + table1[[#This Row],[52Low]],  "TRUE", "FALSE")</f>
        <v>FALSE</v>
      </c>
      <c r="N29" s="6" cm="1">
        <f t="array" aca="1" ref="N29" ca="1">_FV(table1[[#This Row],[DataField]],"Market cap",TRUE)</f>
        <v>56111823857</v>
      </c>
    </row>
    <row r="30" spans="1:14" x14ac:dyDescent="0.2">
      <c r="A30" t="e" vm="30">
        <v>#VALUE!</v>
      </c>
      <c r="B30" t="str" cm="1">
        <f t="array" aca="1" ref="B30" ca="1">_FV(table1[[#This Row],[DataField]],"Ticker symbol",TRUE)</f>
        <v>DLR</v>
      </c>
      <c r="H30" s="2" cm="1">
        <f t="array" aca="1" ref="H30" ca="1">_FV(table1[[#This Row],[DataField]],"Price")</f>
        <v>180.97</v>
      </c>
      <c r="I30" s="2" cm="1">
        <f t="array" aca="1" ref="I30" ca="1">_FV(table1[[#This Row],[DataField]],"52 week low",TRUE)</f>
        <v>129.94999999999999</v>
      </c>
      <c r="J30" s="2" cm="1">
        <f t="array" aca="1" ref="J30" ca="1">_FV(table1[[#This Row],[DataField]],"52 week high",TRUE)</f>
        <v>184.79</v>
      </c>
      <c r="K30" s="4" cm="1">
        <f t="array" aca="1" ref="K30" ca="1">_FV(table1[[#This Row],[DataField]],"P/E",TRUE)</f>
        <v>50.365900000000003</v>
      </c>
      <c r="L30" s="2" t="str">
        <f ca="1">IF(table1[[#This Row],[Price]] &lt; (table1[[#This Row],[52Low]] * 0.25) + table1[[#This Row],[52Low]],  "TRUE", "FALSE")</f>
        <v>FALSE</v>
      </c>
      <c r="M30" s="2" t="str">
        <f ca="1">IF(table1[[#This Row],[Price]] &lt; (table1[[#This Row],[52Low]] * 0.1) + table1[[#This Row],[52Low]],  "TRUE", "FALSE")</f>
        <v>FALSE</v>
      </c>
      <c r="N30" s="6" cm="1">
        <f t="array" aca="1" ref="N30" ca="1">_FV(table1[[#This Row],[DataField]],"Market cap",TRUE)</f>
        <v>62173510290</v>
      </c>
    </row>
    <row r="31" spans="1:14" x14ac:dyDescent="0.2">
      <c r="A31" t="e" vm="31">
        <v>#VALUE!</v>
      </c>
      <c r="B31" t="str" cm="1">
        <f t="array" aca="1" ref="B31" ca="1">_FV(table1[[#This Row],[DataField]],"Ticker symbol",TRUE)</f>
        <v>DOW</v>
      </c>
      <c r="H31" s="2" cm="1">
        <f t="array" aca="1" ref="H31" ca="1">_FV(table1[[#This Row],[DataField]],"Price")</f>
        <v>32.49</v>
      </c>
      <c r="I31" s="2" cm="1">
        <f t="array" aca="1" ref="I31" ca="1">_FV(table1[[#This Row],[DataField]],"52 week low",TRUE)</f>
        <v>20.401900000000001</v>
      </c>
      <c r="J31" s="2" cm="1">
        <f t="array" aca="1" ref="J31" ca="1">_FV(table1[[#This Row],[DataField]],"52 week high",TRUE)</f>
        <v>40.090000000000003</v>
      </c>
      <c r="K31" s="4" t="e" cm="1" vm="14">
        <f t="array" ref="K31">_FV(table1[[#This Row],[DataField]],"P/E",TRUE)</f>
        <v>#VALUE!</v>
      </c>
      <c r="L31" s="2" t="str">
        <f ca="1">IF(table1[[#This Row],[Price]] &lt; (table1[[#This Row],[52Low]] * 0.25) + table1[[#This Row],[52Low]],  "TRUE", "FALSE")</f>
        <v>FALSE</v>
      </c>
      <c r="M31" s="2" t="str">
        <f ca="1">IF(table1[[#This Row],[Price]] &lt; (table1[[#This Row],[52Low]] * 0.1) + table1[[#This Row],[52Low]],  "TRUE", "FALSE")</f>
        <v>FALSE</v>
      </c>
      <c r="N31" s="6" cm="1">
        <f t="array" aca="1" ref="N31" ca="1">_FV(table1[[#This Row],[DataField]],"Market cap",TRUE)</f>
        <v>23312682909</v>
      </c>
    </row>
    <row r="32" spans="1:14" x14ac:dyDescent="0.2">
      <c r="A32" t="e" vm="32">
        <v>#VALUE!</v>
      </c>
      <c r="B32" t="str" cm="1">
        <f t="array" aca="1" ref="B32" ca="1">_FV(table1[[#This Row],[DataField]],"Ticker symbol",TRUE)</f>
        <v>DUK</v>
      </c>
      <c r="H32" s="2" cm="1">
        <f t="array" aca="1" ref="H32" ca="1">_FV(table1[[#This Row],[DataField]],"Price")</f>
        <v>128.19999999999999</v>
      </c>
      <c r="I32" s="2" cm="1">
        <f t="array" aca="1" ref="I32" ca="1">_FV(table1[[#This Row],[DataField]],"52 week low",TRUE)</f>
        <v>110.51</v>
      </c>
      <c r="J32" s="2" cm="1">
        <f t="array" aca="1" ref="J32" ca="1">_FV(table1[[#This Row],[DataField]],"52 week high",TRUE)</f>
        <v>130.03</v>
      </c>
      <c r="K32" s="4" cm="1">
        <f t="array" aca="1" ref="K32" ca="1">_FV(table1[[#This Row],[DataField]],"P/E",TRUE)</f>
        <v>19.787299999999998</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99739599999</v>
      </c>
    </row>
    <row r="33" spans="1:14" x14ac:dyDescent="0.2">
      <c r="A33" t="e" vm="33">
        <v>#VALUE!</v>
      </c>
      <c r="B33" t="str" cm="1">
        <f t="array" aca="1" ref="B33" ca="1">_FV(table1[[#This Row],[DataField]],"Ticker symbol",TRUE)</f>
        <v>ED</v>
      </c>
      <c r="H33" s="2" cm="1">
        <f t="array" aca="1" ref="H33" ca="1">_FV(table1[[#This Row],[DataField]],"Price")</f>
        <v>113.64</v>
      </c>
      <c r="I33" s="2" cm="1">
        <f t="array" aca="1" ref="I33" ca="1">_FV(table1[[#This Row],[DataField]],"52 week low",TRUE)</f>
        <v>94.49</v>
      </c>
      <c r="J33" s="2" cm="1">
        <f t="array" aca="1" ref="J33" ca="1">_FV(table1[[#This Row],[DataField]],"52 week high",TRUE)</f>
        <v>114.87</v>
      </c>
      <c r="K33" s="4" cm="1">
        <f t="array" aca="1" ref="K33" ca="1">_FV(table1[[#This Row],[DataField]],"P/E",TRUE)</f>
        <v>19.515499999999999</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41016721584</v>
      </c>
    </row>
    <row r="34" spans="1:14" x14ac:dyDescent="0.2">
      <c r="A34" t="e" vm="34">
        <v>#VALUE!</v>
      </c>
      <c r="B34" t="str" cm="1">
        <f t="array" aca="1" ref="B34" ca="1">_FV(table1[[#This Row],[DataField]],"Ticker symbol",TRUE)</f>
        <v>EMN</v>
      </c>
      <c r="C34" t="b">
        <v>1</v>
      </c>
      <c r="D34" t="s">
        <v>13</v>
      </c>
      <c r="E34" t="b">
        <v>0</v>
      </c>
      <c r="H34" s="2" cm="1">
        <f t="array" aca="1" ref="H34" ca="1">_FV(table1[[#This Row],[DataField]],"Price")</f>
        <v>80.08</v>
      </c>
      <c r="I34" s="2" cm="1">
        <f t="array" aca="1" ref="I34" ca="1">_FV(table1[[#This Row],[DataField]],"52 week low",TRUE)</f>
        <v>56.11</v>
      </c>
      <c r="J34" s="2" cm="1">
        <f t="array" aca="1" ref="J34" ca="1">_FV(table1[[#This Row],[DataField]],"52 week high",TRUE)</f>
        <v>103.82</v>
      </c>
      <c r="K34" s="4" cm="1">
        <f t="array" aca="1" ref="K34" ca="1">_FV(table1[[#This Row],[DataField]],"P/E",TRUE)</f>
        <v>19.522200000000002</v>
      </c>
      <c r="L34" s="2" t="str">
        <f ca="1">IF(table1[[#This Row],[Price]] &lt; (table1[[#This Row],[52Low]] * 0.25) + table1[[#This Row],[52Low]],  "TRUE", "FALSE")</f>
        <v>FALSE</v>
      </c>
      <c r="M34" s="2" t="str">
        <f ca="1">IF(table1[[#This Row],[Price]] &lt; (table1[[#This Row],[52Low]] * 0.1) + table1[[#This Row],[52Low]],  "TRUE", "FALSE")</f>
        <v>FALSE</v>
      </c>
      <c r="N34" s="6" cm="1">
        <f t="array" aca="1" ref="N34" ca="1">_FV(table1[[#This Row],[DataField]],"Market cap",TRUE)</f>
        <v>9137128000</v>
      </c>
    </row>
    <row r="35" spans="1:14" x14ac:dyDescent="0.2">
      <c r="A35" t="e" vm="35">
        <v>#VALUE!</v>
      </c>
      <c r="B35" t="str" cm="1">
        <f t="array" aca="1" ref="B35" ca="1">_FV(table1[[#This Row],[DataField]],"Ticker symbol",TRUE)</f>
        <v>EOG</v>
      </c>
      <c r="H35" s="2" cm="1">
        <f t="array" aca="1" ref="H35" ca="1">_FV(table1[[#This Row],[DataField]],"Price")</f>
        <v>120.73</v>
      </c>
      <c r="I35" s="2" cm="1">
        <f t="array" aca="1" ref="I35" ca="1">_FV(table1[[#This Row],[DataField]],"52 week low",TRUE)</f>
        <v>101.5936</v>
      </c>
      <c r="J35" s="2" cm="1">
        <f t="array" aca="1" ref="J35" ca="1">_FV(table1[[#This Row],[DataField]],"52 week high",TRUE)</f>
        <v>135.87</v>
      </c>
      <c r="K35" s="4" cm="1">
        <f t="array" aca="1" ref="K35" ca="1">_FV(table1[[#This Row],[DataField]],"P/E",TRUE)</f>
        <v>11.7159</v>
      </c>
      <c r="L35" s="2" t="str">
        <f ca="1">IF(table1[[#This Row],[Price]] &lt; (table1[[#This Row],[52Low]] * 0.25) + table1[[#This Row],[52Low]],  "TRUE", "FALSE")</f>
        <v>TRUE</v>
      </c>
      <c r="M35" s="2" t="str">
        <f ca="1">IF(table1[[#This Row],[Price]] &lt; (table1[[#This Row],[52Low]] * 0.1) + table1[[#This Row],[52Low]],  "TRUE", "FALSE")</f>
        <v>FALSE</v>
      </c>
      <c r="N35" s="6" cm="1">
        <f t="array" aca="1" ref="N35" ca="1">_FV(table1[[#This Row],[DataField]],"Market cap",TRUE)</f>
        <v>65507904832</v>
      </c>
    </row>
    <row r="36" spans="1:14" x14ac:dyDescent="0.2">
      <c r="A36" t="e" vm="36">
        <v>#VALUE!</v>
      </c>
      <c r="B36" t="str" cm="1">
        <f t="array" aca="1" ref="B36" ca="1">_FV(table1[[#This Row],[DataField]],"Ticker symbol",TRUE)</f>
        <v>EQIX</v>
      </c>
      <c r="H36" s="2" cm="1">
        <f t="array" aca="1" ref="H36" ca="1">_FV(table1[[#This Row],[DataField]],"Price")</f>
        <v>956.19</v>
      </c>
      <c r="I36" s="2" cm="1">
        <f t="array" aca="1" ref="I36" ca="1">_FV(table1[[#This Row],[DataField]],"52 week low",TRUE)</f>
        <v>701.41</v>
      </c>
      <c r="J36" s="2" cm="1">
        <f t="array" aca="1" ref="J36" ca="1">_FV(table1[[#This Row],[DataField]],"52 week high",TRUE)</f>
        <v>992.9</v>
      </c>
      <c r="K36" s="4" cm="1">
        <f t="array" aca="1" ref="K36" ca="1">_FV(table1[[#This Row],[DataField]],"P/E",TRUE)</f>
        <v>69.610600000000005</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93950381516</v>
      </c>
    </row>
    <row r="37" spans="1:14" x14ac:dyDescent="0.2">
      <c r="A37" t="e" vm="37">
        <v>#VALUE!</v>
      </c>
      <c r="B37" t="str" cm="1">
        <f t="array" aca="1" ref="B37" ca="1">_FV(table1[[#This Row],[DataField]],"Ticker symbol",TRUE)</f>
        <v>FAST</v>
      </c>
      <c r="H37" s="2" cm="1">
        <f t="array" aca="1" ref="H37" ca="1">_FV(table1[[#This Row],[DataField]],"Price")</f>
        <v>46.41</v>
      </c>
      <c r="I37" s="2" cm="1">
        <f t="array" aca="1" ref="I37" ca="1">_FV(table1[[#This Row],[DataField]],"52 week low",TRUE)</f>
        <v>35.305</v>
      </c>
      <c r="J37" s="2" cm="1">
        <f t="array" aca="1" ref="J37" ca="1">_FV(table1[[#This Row],[DataField]],"52 week high",TRUE)</f>
        <v>50.63</v>
      </c>
      <c r="K37" s="4" cm="1">
        <f t="array" aca="1" ref="K37" ca="1">_FV(table1[[#This Row],[DataField]],"P/E",TRUE)</f>
        <v>41.6233</v>
      </c>
      <c r="L37" s="2" t="str">
        <f ca="1">IF(table1[[#This Row],[Price]] &lt; (table1[[#This Row],[52Low]] * 0.25) + table1[[#This Row],[52Low]],  "TRUE", "FALSE")</f>
        <v>FALSE</v>
      </c>
      <c r="M37" s="2" t="str">
        <f ca="1">IF(table1[[#This Row],[Price]] &lt; (table1[[#This Row],[52Low]] * 0.1) + table1[[#This Row],[52Low]],  "TRUE", "FALSE")</f>
        <v>FALSE</v>
      </c>
      <c r="N37" s="6" cm="1">
        <f t="array" aca="1" ref="N37" ca="1">_FV(table1[[#This Row],[DataField]],"Market cap",TRUE)</f>
        <v>53286987389</v>
      </c>
    </row>
    <row r="38" spans="1:14" x14ac:dyDescent="0.2">
      <c r="A38" t="e" vm="38">
        <v>#VALUE!</v>
      </c>
      <c r="B38" t="str" cm="1">
        <f t="array" aca="1" ref="B38" ca="1">_FV(table1[[#This Row],[DataField]],"Ticker symbol",TRUE)</f>
        <v>FDX</v>
      </c>
      <c r="H38" s="2" cm="1">
        <f t="array" aca="1" ref="H38" ca="1">_FV(table1[[#This Row],[DataField]],"Price")</f>
        <v>374.66500000000002</v>
      </c>
      <c r="I38" s="2" cm="1">
        <f t="array" aca="1" ref="I38" ca="1">_FV(table1[[#This Row],[DataField]],"52 week low",TRUE)</f>
        <v>194.29499999999999</v>
      </c>
      <c r="J38" s="2" cm="1">
        <f t="array" aca="1" ref="J38" ca="1">_FV(table1[[#This Row],[DataField]],"52 week high",TRUE)</f>
        <v>380.86</v>
      </c>
      <c r="K38" s="4" cm="1">
        <f t="array" aca="1" ref="K38" ca="1">_FV(table1[[#This Row],[DataField]],"P/E",TRUE)</f>
        <v>20.395299999999999</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88092283862</v>
      </c>
    </row>
    <row r="39" spans="1:14" x14ac:dyDescent="0.2">
      <c r="A39" t="e" vm="39">
        <v>#VALUE!</v>
      </c>
      <c r="B39" t="str" cm="1">
        <f t="array" aca="1" ref="B39" ca="1">_FV(table1[[#This Row],[DataField]],"Ticker symbol",TRUE)</f>
        <v>FLO</v>
      </c>
      <c r="H39" s="2" cm="1">
        <f t="array" aca="1" ref="H39" ca="1">_FV(table1[[#This Row],[DataField]],"Price")</f>
        <v>10.36</v>
      </c>
      <c r="I39" s="2" cm="1">
        <f t="array" aca="1" ref="I39" ca="1">_FV(table1[[#This Row],[DataField]],"52 week low",TRUE)</f>
        <v>9.84</v>
      </c>
      <c r="J39" s="2" cm="1">
        <f t="array" aca="1" ref="J39" ca="1">_FV(table1[[#This Row],[DataField]],"52 week high",TRUE)</f>
        <v>20.23</v>
      </c>
      <c r="K39" s="4" cm="1">
        <f t="array" aca="1" ref="K39" ca="1">_FV(table1[[#This Row],[DataField]],"P/E",TRUE)</f>
        <v>12.4015</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2187806152</v>
      </c>
    </row>
    <row r="40" spans="1:14" x14ac:dyDescent="0.2">
      <c r="A40" t="e" vm="40">
        <v>#VALUE!</v>
      </c>
      <c r="B40" t="str" cm="1">
        <f t="array" aca="1" ref="B40" ca="1">_FV(table1[[#This Row],[DataField]],"Ticker symbol",TRUE)</f>
        <v>GD</v>
      </c>
      <c r="C40" t="b">
        <v>1</v>
      </c>
      <c r="D40" t="s">
        <v>12</v>
      </c>
      <c r="E40" t="b">
        <v>1</v>
      </c>
      <c r="H40" s="2" cm="1">
        <f t="array" aca="1" ref="H40" ca="1">_FV(table1[[#This Row],[DataField]],"Price")</f>
        <v>347.64</v>
      </c>
      <c r="I40" s="2" cm="1">
        <f t="array" aca="1" ref="I40" ca="1">_FV(table1[[#This Row],[DataField]],"52 week low",TRUE)</f>
        <v>239.2</v>
      </c>
      <c r="J40" s="2" cm="1">
        <f t="array" aca="1" ref="J40" ca="1">_FV(table1[[#This Row],[DataField]],"52 week high",TRUE)</f>
        <v>369.7</v>
      </c>
      <c r="K40" s="4" cm="1">
        <f t="array" aca="1" ref="K40" ca="1">_FV(table1[[#This Row],[DataField]],"P/E",TRUE)</f>
        <v>22.049600000000002</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93998310072</v>
      </c>
    </row>
    <row r="41" spans="1:14" x14ac:dyDescent="0.2">
      <c r="A41" t="e" vm="41">
        <v>#VALUE!</v>
      </c>
      <c r="B41" t="str" cm="1">
        <f t="array" aca="1" ref="B41" ca="1">_FV(table1[[#This Row],[DataField]],"Ticker symbol",TRUE)</f>
        <v>GIS</v>
      </c>
      <c r="H41" s="2" cm="1">
        <f t="array" aca="1" ref="H41" ca="1">_FV(table1[[#This Row],[DataField]],"Price")</f>
        <v>48.34</v>
      </c>
      <c r="I41" s="2" cm="1">
        <f t="array" aca="1" ref="I41" ca="1">_FV(table1[[#This Row],[DataField]],"52 week low",TRUE)</f>
        <v>42.784999999999997</v>
      </c>
      <c r="J41" s="2" cm="1">
        <f t="array" aca="1" ref="J41" ca="1">_FV(table1[[#This Row],[DataField]],"52 week high",TRUE)</f>
        <v>67.349999999999994</v>
      </c>
      <c r="K41" s="4" cm="1">
        <f t="array" aca="1" ref="K41" ca="1">_FV(table1[[#This Row],[DataField]],"P/E",TRUE)</f>
        <v>10.422499999999999</v>
      </c>
      <c r="L41" s="2" t="str">
        <f ca="1">IF(table1[[#This Row],[Price]] &lt; (table1[[#This Row],[52Low]] * 0.25) + table1[[#This Row],[52Low]],  "TRUE", "FALSE")</f>
        <v>TRUE</v>
      </c>
      <c r="M41" s="2" t="str">
        <f ca="1">IF(table1[[#This Row],[Price]] &lt; (table1[[#This Row],[52Low]] * 0.1) + table1[[#This Row],[52Low]],  "TRUE", "FALSE")</f>
        <v>FALSE</v>
      </c>
      <c r="N41" s="6" cm="1">
        <f t="array" aca="1" ref="N41" ca="1">_FV(table1[[#This Row],[DataField]],"Market cap",TRUE)</f>
        <v>25793358714</v>
      </c>
    </row>
    <row r="42" spans="1:14" x14ac:dyDescent="0.2">
      <c r="A42" t="e" vm="42">
        <v>#VALUE!</v>
      </c>
      <c r="B42" t="str" cm="1">
        <f t="array" aca="1" ref="B42" ca="1">_FV(table1[[#This Row],[DataField]],"Ticker symbol",TRUE)</f>
        <v>GOOGL</v>
      </c>
      <c r="G42" t="s">
        <v>24</v>
      </c>
      <c r="H42" s="2" cm="1">
        <f t="array" aca="1" ref="H42" ca="1">_FV(table1[[#This Row],[DataField]],"Price")</f>
        <v>305.72000000000003</v>
      </c>
      <c r="I42" s="2" cm="1">
        <f t="array" aca="1" ref="I42" ca="1">_FV(table1[[#This Row],[DataField]],"52 week low",TRUE)</f>
        <v>140.53</v>
      </c>
      <c r="J42" s="2" cm="1">
        <f t="array" aca="1" ref="J42" ca="1">_FV(table1[[#This Row],[DataField]],"52 week high",TRUE)</f>
        <v>349</v>
      </c>
      <c r="K42" s="4" cm="1">
        <f t="array" aca="1" ref="K42" ca="1">_FV(table1[[#This Row],[DataField]],"P/E",TRUE)</f>
        <v>28.584599999999998</v>
      </c>
      <c r="L42" s="2" t="str">
        <f ca="1">IF(table1[[#This Row],[Price]] &lt; (table1[[#This Row],[52Low]] * 0.25) + table1[[#This Row],[52Low]],  "TRUE", "FALSE")</f>
        <v>FALSE</v>
      </c>
      <c r="M42" s="2" t="str">
        <f ca="1">IF(table1[[#This Row],[Price]] &lt; (table1[[#This Row],[52Low]] * 0.1) + table1[[#This Row],[52Low]],  "TRUE", "FALSE")</f>
        <v>FALSE</v>
      </c>
      <c r="N42" s="6" cm="1">
        <f t="array" aca="1" ref="N42" ca="1">_FV(table1[[#This Row],[DataField]],"Market cap",TRUE)</f>
        <v>3698294840000</v>
      </c>
    </row>
    <row r="43" spans="1:14" x14ac:dyDescent="0.2">
      <c r="A43" t="e" vm="43">
        <v>#VALUE!</v>
      </c>
      <c r="B43" t="str" cm="1">
        <f t="array" aca="1" ref="B43" ca="1">_FV(table1[[#This Row],[DataField]],"Ticker symbol",TRUE)</f>
        <v>HD</v>
      </c>
      <c r="C43" t="b">
        <v>1</v>
      </c>
      <c r="D43" t="s">
        <v>7</v>
      </c>
      <c r="E43" t="b">
        <v>1</v>
      </c>
      <c r="H43" s="2" cm="1">
        <f t="array" aca="1" ref="H43" ca="1">_FV(table1[[#This Row],[DataField]],"Price")</f>
        <v>391</v>
      </c>
      <c r="I43" s="2" cm="1">
        <f t="array" aca="1" ref="I43" ca="1">_FV(table1[[#This Row],[DataField]],"52 week low",TRUE)</f>
        <v>326.31</v>
      </c>
      <c r="J43" s="2" cm="1">
        <f t="array" aca="1" ref="J43" ca="1">_FV(table1[[#This Row],[DataField]],"52 week high",TRUE)</f>
        <v>426.75</v>
      </c>
      <c r="K43" s="4" cm="1">
        <f t="array" aca="1" ref="K43" ca="1">_FV(table1[[#This Row],[DataField]],"P/E",TRUE)</f>
        <v>26.616</v>
      </c>
      <c r="L43" s="2" t="str">
        <f ca="1">IF(table1[[#This Row],[Price]] &lt; (table1[[#This Row],[52Low]] * 0.25) + table1[[#This Row],[52Low]],  "TRUE", "FALSE")</f>
        <v>TRUE</v>
      </c>
      <c r="M43" s="2" t="str">
        <f ca="1">IF(table1[[#This Row],[Price]] &lt; (table1[[#This Row],[52Low]] * 0.1) + table1[[#This Row],[52Low]],  "TRUE", "FALSE")</f>
        <v>FALSE</v>
      </c>
      <c r="N43" s="6" cm="1">
        <f t="array" aca="1" ref="N43" ca="1">_FV(table1[[#This Row],[DataField]],"Market cap",TRUE)</f>
        <v>389244996500</v>
      </c>
    </row>
    <row r="44" spans="1:14" x14ac:dyDescent="0.2">
      <c r="A44" t="e" vm="44">
        <v>#VALUE!</v>
      </c>
      <c r="B44" t="str" cm="1">
        <f t="array" aca="1" ref="B44" ca="1">_FV(table1[[#This Row],[DataField]],"Ticker symbol",TRUE)</f>
        <v>HRL</v>
      </c>
      <c r="H44" s="2" cm="1">
        <f t="array" aca="1" ref="H44" ca="1">_FV(table1[[#This Row],[DataField]],"Price")</f>
        <v>23.78</v>
      </c>
      <c r="I44" s="2" cm="1">
        <f t="array" aca="1" ref="I44" ca="1">_FV(table1[[#This Row],[DataField]],"52 week low",TRUE)</f>
        <v>21.03</v>
      </c>
      <c r="J44" s="2" cm="1">
        <f t="array" aca="1" ref="J44" ca="1">_FV(table1[[#This Row],[DataField]],"52 week high",TRUE)</f>
        <v>32.07</v>
      </c>
      <c r="K44" s="4" cm="1">
        <f t="array" aca="1" ref="K44" ca="1">_FV(table1[[#This Row],[DataField]],"P/E",TRUE)</f>
        <v>26.9788</v>
      </c>
      <c r="L44" s="2" t="str">
        <f ca="1">IF(table1[[#This Row],[Price]] &lt; (table1[[#This Row],[52Low]] * 0.25) + table1[[#This Row],[52Low]],  "TRUE", "FALSE")</f>
        <v>TRUE</v>
      </c>
      <c r="M44" s="2" t="str">
        <f ca="1">IF(table1[[#This Row],[Price]] &lt; (table1[[#This Row],[52Low]] * 0.1) + table1[[#This Row],[52Low]],  "TRUE", "FALSE")</f>
        <v>FALSE</v>
      </c>
      <c r="N44" s="6" cm="1">
        <f t="array" aca="1" ref="N44" ca="1">_FV(table1[[#This Row],[DataField]],"Market cap",TRUE)</f>
        <v>13081542082</v>
      </c>
    </row>
    <row r="45" spans="1:14" x14ac:dyDescent="0.2">
      <c r="A45" t="e" vm="45">
        <v>#VALUE!</v>
      </c>
      <c r="B45" t="str" cm="1">
        <f t="array" aca="1" ref="B45" ca="1">_FV(table1[[#This Row],[DataField]],"Ticker symbol",TRUE)</f>
        <v>HSY</v>
      </c>
      <c r="C45" t="b">
        <v>1</v>
      </c>
      <c r="D45" t="s">
        <v>5</v>
      </c>
      <c r="E45" t="b">
        <v>1</v>
      </c>
      <c r="H45" s="2" cm="1">
        <f t="array" aca="1" ref="H45" ca="1">_FV(table1[[#This Row],[DataField]],"Price")</f>
        <v>222.57</v>
      </c>
      <c r="I45" s="2" cm="1">
        <f t="array" aca="1" ref="I45" ca="1">_FV(table1[[#This Row],[DataField]],"52 week low",TRUE)</f>
        <v>150.04</v>
      </c>
      <c r="J45" s="2" cm="1">
        <f t="array" aca="1" ref="J45" ca="1">_FV(table1[[#This Row],[DataField]],"52 week high",TRUE)</f>
        <v>234.87</v>
      </c>
      <c r="K45" s="4" cm="1">
        <f t="array" aca="1" ref="K45" ca="1">_FV(table1[[#This Row],[DataField]],"P/E",TRUE)</f>
        <v>52.133600000000001</v>
      </c>
      <c r="L45" s="2" t="str">
        <f ca="1">IF(table1[[#This Row],[Price]] &lt; (table1[[#This Row],[52Low]] * 0.25) + table1[[#This Row],[52Low]],  "TRUE", "FALSE")</f>
        <v>FALSE</v>
      </c>
      <c r="M45" s="2" t="str">
        <f ca="1">IF(table1[[#This Row],[Price]] &lt; (table1[[#This Row],[52Low]] * 0.1) + table1[[#This Row],[52Low]],  "TRUE", "FALSE")</f>
        <v>FALSE</v>
      </c>
      <c r="N45" s="6" cm="1">
        <f t="array" aca="1" ref="N45" ca="1">_FV(table1[[#This Row],[DataField]],"Market cap",TRUE)</f>
        <v>45133879707</v>
      </c>
    </row>
    <row r="46" spans="1:14" x14ac:dyDescent="0.2">
      <c r="A46" t="e" vm="46">
        <v>#VALUE!</v>
      </c>
      <c r="B46" t="str" cm="1">
        <f t="array" aca="1" ref="B46" ca="1">_FV(table1[[#This Row],[DataField]],"Ticker symbol",TRUE)</f>
        <v>INTC</v>
      </c>
      <c r="H46" s="2" cm="1">
        <f t="array" aca="1" ref="H46" ca="1">_FV(table1[[#This Row],[DataField]],"Price")</f>
        <v>46.79</v>
      </c>
      <c r="I46" s="2" cm="1">
        <f t="array" aca="1" ref="I46" ca="1">_FV(table1[[#This Row],[DataField]],"52 week low",TRUE)</f>
        <v>17.664999999999999</v>
      </c>
      <c r="J46" s="2" cm="1">
        <f t="array" aca="1" ref="J46" ca="1">_FV(table1[[#This Row],[DataField]],"52 week high",TRUE)</f>
        <v>54.6</v>
      </c>
      <c r="K46" s="4" cm="1">
        <f t="array" aca="1" ref="K46" ca="1">_FV(table1[[#This Row],[DataField]],"P/E",TRUE)</f>
        <v>0</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233716050000</v>
      </c>
    </row>
    <row r="47" spans="1:14" x14ac:dyDescent="0.2">
      <c r="A47" t="e" vm="47">
        <v>#VALUE!</v>
      </c>
      <c r="B47" t="str" cm="1">
        <f t="array" aca="1" ref="B47" ca="1">_FV(table1[[#This Row],[DataField]],"Ticker symbol",TRUE)</f>
        <v>INTU</v>
      </c>
      <c r="H47" s="2" cm="1">
        <f t="array" aca="1" ref="H47" ca="1">_FV(table1[[#This Row],[DataField]],"Price")</f>
        <v>399.4</v>
      </c>
      <c r="I47" s="2" cm="1">
        <f t="array" aca="1" ref="I47" ca="1">_FV(table1[[#This Row],[DataField]],"52 week low",TRUE)</f>
        <v>389.32</v>
      </c>
      <c r="J47" s="2" cm="1">
        <f t="array" aca="1" ref="J47" ca="1">_FV(table1[[#This Row],[DataField]],"52 week high",TRUE)</f>
        <v>813.7</v>
      </c>
      <c r="K47" s="4" cm="1">
        <f t="array" aca="1" ref="K47" ca="1">_FV(table1[[#This Row],[DataField]],"P/E",TRUE)</f>
        <v>27.3278</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111142675540</v>
      </c>
    </row>
    <row r="48" spans="1:14" x14ac:dyDescent="0.2">
      <c r="A48" t="e" vm="48">
        <v>#VALUE!</v>
      </c>
      <c r="B48" t="str" cm="1">
        <f t="array" aca="1" ref="B48" ca="1">_FV(table1[[#This Row],[DataField]],"Ticker symbol",TRUE)</f>
        <v>IRM</v>
      </c>
      <c r="H48" s="2" cm="1">
        <f t="array" aca="1" ref="H48" ca="1">_FV(table1[[#This Row],[DataField]],"Price")</f>
        <v>109.82</v>
      </c>
      <c r="I48" s="2" cm="1">
        <f t="array" aca="1" ref="I48" ca="1">_FV(table1[[#This Row],[DataField]],"52 week low",TRUE)</f>
        <v>72.33</v>
      </c>
      <c r="J48" s="2" cm="1">
        <f t="array" aca="1" ref="J48" ca="1">_FV(table1[[#This Row],[DataField]],"52 week high",TRUE)</f>
        <v>110.91</v>
      </c>
      <c r="K48" s="4" cm="1">
        <f t="array" aca="1" ref="K48" ca="1">_FV(table1[[#This Row],[DataField]],"P/E",TRUE)</f>
        <v>219.18029999999999</v>
      </c>
      <c r="L48" s="2" t="str">
        <f ca="1">IF(table1[[#This Row],[Price]] &lt; (table1[[#This Row],[52Low]] * 0.25) + table1[[#This Row],[52Low]],  "TRUE", "FALSE")</f>
        <v>FALSE</v>
      </c>
      <c r="M48" s="2" t="str">
        <f ca="1">IF(table1[[#This Row],[Price]] &lt; (table1[[#This Row],[52Low]] * 0.1) + table1[[#This Row],[52Low]],  "TRUE", "FALSE")</f>
        <v>FALSE</v>
      </c>
      <c r="N48" s="6" cm="1">
        <f t="array" aca="1" ref="N48" ca="1">_FV(table1[[#This Row],[DataField]],"Market cap",TRUE)</f>
        <v>32488621663</v>
      </c>
    </row>
    <row r="49" spans="1:14" x14ac:dyDescent="0.2">
      <c r="A49" t="e" vm="49">
        <v>#VALUE!</v>
      </c>
      <c r="B49" t="str" cm="1">
        <f t="array" aca="1" ref="B49" ca="1">_FV(table1[[#This Row],[DataField]],"Ticker symbol",TRUE)</f>
        <v>ITW</v>
      </c>
      <c r="H49" s="2" cm="1">
        <f t="array" aca="1" ref="H49" ca="1">_FV(table1[[#This Row],[DataField]],"Price")</f>
        <v>299.60000000000002</v>
      </c>
      <c r="I49" s="2" cm="1">
        <f t="array" aca="1" ref="I49" ca="1">_FV(table1[[#This Row],[DataField]],"52 week low",TRUE)</f>
        <v>214.66</v>
      </c>
      <c r="J49" s="2" cm="1">
        <f t="array" aca="1" ref="J49" ca="1">_FV(table1[[#This Row],[DataField]],"52 week high",TRUE)</f>
        <v>303.15499999999997</v>
      </c>
      <c r="K49" s="4" cm="1">
        <f t="array" aca="1" ref="K49" ca="1">_FV(table1[[#This Row],[DataField]],"P/E",TRUE)</f>
        <v>28.4529</v>
      </c>
      <c r="L49" s="2" t="str">
        <f ca="1">IF(table1[[#This Row],[Price]] &lt; (table1[[#This Row],[52Low]] * 0.25) + table1[[#This Row],[52Low]],  "TRUE", "FALSE")</f>
        <v>FALSE</v>
      </c>
      <c r="M49" s="7" t="str">
        <f ca="1">IF(table1[[#This Row],[Price]] &lt; (table1[[#This Row],[52Low]] * 0.1) + table1[[#This Row],[52Low]],  "TRUE", "FALSE")</f>
        <v>FALSE</v>
      </c>
      <c r="N49" s="6" cm="1">
        <f t="array" aca="1" ref="N49" ca="1">_FV(table1[[#This Row],[DataField]],"Market cap",TRUE)</f>
        <v>86913960000</v>
      </c>
    </row>
    <row r="50" spans="1:14" x14ac:dyDescent="0.2">
      <c r="A50" t="e" vm="50">
        <v>#VALUE!</v>
      </c>
      <c r="B50" t="str" cm="1">
        <f t="array" aca="1" ref="B50" ca="1">_FV(table1[[#This Row],[DataField]],"Ticker symbol",TRUE)</f>
        <v>JNJ</v>
      </c>
      <c r="C50" t="b">
        <v>1</v>
      </c>
      <c r="D50" t="s">
        <v>9</v>
      </c>
      <c r="E50" t="b">
        <v>1</v>
      </c>
      <c r="H50" s="2" cm="1">
        <f t="array" aca="1" ref="H50" ca="1">_FV(table1[[#This Row],[DataField]],"Price")</f>
        <v>243.45</v>
      </c>
      <c r="I50" s="2" cm="1">
        <f t="array" aca="1" ref="I50" ca="1">_FV(table1[[#This Row],[DataField]],"52 week low",TRUE)</f>
        <v>141.5</v>
      </c>
      <c r="J50" s="2" cm="1">
        <f t="array" aca="1" ref="J50" ca="1">_FV(table1[[#This Row],[DataField]],"52 week high",TRUE)</f>
        <v>246.34989999999999</v>
      </c>
      <c r="K50" s="4" cm="1">
        <f t="array" aca="1" ref="K50" ca="1">_FV(table1[[#This Row],[DataField]],"P/E",TRUE)</f>
        <v>22.146899999999999</v>
      </c>
      <c r="L50" s="2" t="str">
        <f ca="1">IF(table1[[#This Row],[Price]] &lt; (table1[[#This Row],[52Low]] * 0.25) + table1[[#This Row],[52Low]],  "TRUE", "FALSE")</f>
        <v>FALSE</v>
      </c>
      <c r="M50" s="2" t="str">
        <f ca="1">IF(table1[[#This Row],[Price]] &lt; (table1[[#This Row],[52Low]] * 0.1) + table1[[#This Row],[52Low]],  "TRUE", "FALSE")</f>
        <v>FALSE</v>
      </c>
      <c r="N50" s="6" cm="1">
        <f t="array" aca="1" ref="N50" ca="1">_FV(table1[[#This Row],[DataField]],"Market cap",TRUE)</f>
        <v>586689911550</v>
      </c>
    </row>
    <row r="51" spans="1:14" x14ac:dyDescent="0.2">
      <c r="A51" t="e" vm="51">
        <v>#VALUE!</v>
      </c>
      <c r="B51" t="str" cm="1">
        <f t="array" aca="1" ref="B51" ca="1">_FV(table1[[#This Row],[DataField]],"Ticker symbol",TRUE)</f>
        <v>KMB</v>
      </c>
      <c r="C51" t="b">
        <v>0</v>
      </c>
      <c r="D51" t="s">
        <v>5</v>
      </c>
      <c r="E51" t="b">
        <v>1</v>
      </c>
      <c r="H51" s="2" cm="1">
        <f t="array" aca="1" ref="H51" ca="1">_FV(table1[[#This Row],[DataField]],"Price")</f>
        <v>109.41</v>
      </c>
      <c r="I51" s="2" cm="1">
        <f t="array" aca="1" ref="I51" ca="1">_FV(table1[[#This Row],[DataField]],"52 week low",TRUE)</f>
        <v>96.26</v>
      </c>
      <c r="J51" s="2" cm="1">
        <f t="array" aca="1" ref="J51" ca="1">_FV(table1[[#This Row],[DataField]],"52 week high",TRUE)</f>
        <v>150.44999999999999</v>
      </c>
      <c r="K51" s="4" cm="1">
        <f t="array" aca="1" ref="K51" ca="1">_FV(table1[[#This Row],[DataField]],"P/E",TRUE)</f>
        <v>22.158999999999999</v>
      </c>
      <c r="L51" s="2" t="str">
        <f ca="1">IF(table1[[#This Row],[Price]] &lt; (table1[[#This Row],[52Low]] * 0.25) + table1[[#This Row],[52Low]],  "TRUE", "FALSE")</f>
        <v>TRUE</v>
      </c>
      <c r="M51" s="2" t="str">
        <f ca="1">IF(table1[[#This Row],[Price]] &lt; (table1[[#This Row],[52Low]] * 0.1) + table1[[#This Row],[52Low]],  "TRUE", "FALSE")</f>
        <v>FALSE</v>
      </c>
      <c r="N51" s="6" cm="1">
        <f t="array" aca="1" ref="N51" ca="1">_FV(table1[[#This Row],[DataField]],"Market cap",TRUE)</f>
        <v>36315629784</v>
      </c>
    </row>
    <row r="52" spans="1:14" x14ac:dyDescent="0.2">
      <c r="A52" t="e" vm="52">
        <v>#VALUE!</v>
      </c>
      <c r="B52" t="str" cm="1">
        <f t="array" aca="1" ref="B52" ca="1">_FV(table1[[#This Row],[DataField]],"Ticker symbol",TRUE)</f>
        <v>KO</v>
      </c>
      <c r="H52" s="2" cm="1">
        <f t="array" aca="1" ref="H52" ca="1">_FV(table1[[#This Row],[DataField]],"Price")</f>
        <v>78.67</v>
      </c>
      <c r="I52" s="2" cm="1">
        <f t="array" aca="1" ref="I52" ca="1">_FV(table1[[#This Row],[DataField]],"52 week low",TRUE)</f>
        <v>65.353800000000007</v>
      </c>
      <c r="J52" s="2" cm="1">
        <f t="array" aca="1" ref="J52" ca="1">_FV(table1[[#This Row],[DataField]],"52 week high",TRUE)</f>
        <v>80.41</v>
      </c>
      <c r="K52" s="4" cm="1">
        <f t="array" aca="1" ref="K52" ca="1">_FV(table1[[#This Row],[DataField]],"P/E",TRUE)</f>
        <v>25.995799999999999</v>
      </c>
      <c r="L52" s="2" t="str">
        <f ca="1">IF(table1[[#This Row],[Price]] &lt; (table1[[#This Row],[52Low]] * 0.25) + table1[[#This Row],[52Low]],  "TRUE", "FALSE")</f>
        <v>TRUE</v>
      </c>
      <c r="M52" s="2" t="str">
        <f ca="1">IF(table1[[#This Row],[Price]] &lt; (table1[[#This Row],[52Low]] * 0.1) + table1[[#This Row],[52Low]],  "TRUE", "FALSE")</f>
        <v>FALSE</v>
      </c>
      <c r="N52" s="6" cm="1">
        <f t="array" aca="1" ref="N52" ca="1">_FV(table1[[#This Row],[DataField]],"Market cap",TRUE)</f>
        <v>338407580030</v>
      </c>
    </row>
    <row r="53" spans="1:14" x14ac:dyDescent="0.2">
      <c r="A53" t="e" vm="53">
        <v>#VALUE!</v>
      </c>
      <c r="B53" t="str" cm="1">
        <f t="array" aca="1" ref="B53" ca="1">_FV(table1[[#This Row],[DataField]],"Ticker symbol",TRUE)</f>
        <v>LLY</v>
      </c>
      <c r="H53" s="2" cm="1">
        <f t="array" aca="1" ref="H53" ca="1">_FV(table1[[#This Row],[DataField]],"Price")</f>
        <v>1040.45</v>
      </c>
      <c r="I53" s="2" cm="1">
        <f t="array" aca="1" ref="I53" ca="1">_FV(table1[[#This Row],[DataField]],"52 week low",TRUE)</f>
        <v>623.78</v>
      </c>
      <c r="J53" s="2" cm="1">
        <f t="array" aca="1" ref="J53" ca="1">_FV(table1[[#This Row],[DataField]],"52 week high",TRUE)</f>
        <v>1133.95</v>
      </c>
      <c r="K53" s="4" cm="1">
        <f t="array" aca="1" ref="K53" ca="1">_FV(table1[[#This Row],[DataField]],"P/E",TRUE)</f>
        <v>45.154299999999999</v>
      </c>
      <c r="L53" s="2" t="str">
        <f ca="1">IF(table1[[#This Row],[Price]] &lt; (table1[[#This Row],[52Low]] * 0.25) + table1[[#This Row],[52Low]],  "TRUE", "FALSE")</f>
        <v>FALSE</v>
      </c>
      <c r="M53" s="2" t="str">
        <f ca="1">IF(table1[[#This Row],[Price]] &lt; (table1[[#This Row],[52Low]] * 0.1) + table1[[#This Row],[52Low]],  "TRUE", "FALSE")</f>
        <v>FALSE</v>
      </c>
      <c r="N53" s="6" cm="1">
        <f t="array" aca="1" ref="N53" ca="1">_FV(table1[[#This Row],[DataField]],"Market cap",TRUE)</f>
        <v>981516206830</v>
      </c>
    </row>
    <row r="54" spans="1:14" x14ac:dyDescent="0.2">
      <c r="A54" t="e" vm="54">
        <v>#VALUE!</v>
      </c>
      <c r="B54" t="str" cm="1">
        <f t="array" aca="1" ref="B54" ca="1">_FV(table1[[#This Row],[DataField]],"Ticker symbol",TRUE)</f>
        <v>LMT</v>
      </c>
      <c r="C54" t="b">
        <v>1</v>
      </c>
      <c r="D54" t="s">
        <v>12</v>
      </c>
      <c r="E54" t="b">
        <v>1</v>
      </c>
      <c r="H54" s="2" cm="1">
        <f t="array" aca="1" ref="H54" ca="1">_FV(table1[[#This Row],[DataField]],"Price")</f>
        <v>652.25</v>
      </c>
      <c r="I54" s="2" cm="1">
        <f t="array" aca="1" ref="I54" ca="1">_FV(table1[[#This Row],[DataField]],"52 week low",TRUE)</f>
        <v>410.11</v>
      </c>
      <c r="J54" s="2" cm="1">
        <f t="array" aca="1" ref="J54" ca="1">_FV(table1[[#This Row],[DataField]],"52 week high",TRUE)</f>
        <v>656.34</v>
      </c>
      <c r="K54" s="4" cm="1">
        <f t="array" aca="1" ref="K54" ca="1">_FV(table1[[#This Row],[DataField]],"P/E",TRUE)</f>
        <v>29.667100000000001</v>
      </c>
      <c r="L54" s="2" t="str">
        <f ca="1">IF(table1[[#This Row],[Price]] &lt; (table1[[#This Row],[52Low]] * 0.25) + table1[[#This Row],[52Low]],  "TRUE", "FALSE")</f>
        <v>FALSE</v>
      </c>
      <c r="M54" s="2" t="str">
        <f ca="1">IF(table1[[#This Row],[Price]] &lt; (table1[[#This Row],[52Low]] * 0.1) + table1[[#This Row],[52Low]],  "TRUE", "FALSE")</f>
        <v>FALSE</v>
      </c>
      <c r="N54" s="6" cm="1">
        <f t="array" aca="1" ref="N54" ca="1">_FV(table1[[#This Row],[DataField]],"Market cap",TRUE)</f>
        <v>150069810450</v>
      </c>
    </row>
    <row r="55" spans="1:14" x14ac:dyDescent="0.2">
      <c r="A55" t="e" vm="55">
        <v>#VALUE!</v>
      </c>
      <c r="B55" t="str" cm="1">
        <f t="array" aca="1" ref="B55" ca="1">_FV(table1[[#This Row],[DataField]],"Ticker symbol",TRUE)</f>
        <v>LOW</v>
      </c>
      <c r="C55" t="b">
        <v>1</v>
      </c>
      <c r="D55" t="s">
        <v>7</v>
      </c>
      <c r="E55" t="b">
        <v>1</v>
      </c>
      <c r="H55" s="2" cm="1">
        <f t="array" aca="1" ref="H55" ca="1">_FV(table1[[#This Row],[DataField]],"Price")</f>
        <v>287.42</v>
      </c>
      <c r="I55" s="2" cm="1">
        <f t="array" aca="1" ref="I55" ca="1">_FV(table1[[#This Row],[DataField]],"52 week low",TRUE)</f>
        <v>206.38499999999999</v>
      </c>
      <c r="J55" s="2" cm="1">
        <f t="array" aca="1" ref="J55" ca="1">_FV(table1[[#This Row],[DataField]],"52 week high",TRUE)</f>
        <v>293.06</v>
      </c>
      <c r="K55" s="4" cm="1">
        <f t="array" aca="1" ref="K55" ca="1">_FV(table1[[#This Row],[DataField]],"P/E",TRUE)</f>
        <v>23.684699999999999</v>
      </c>
      <c r="L55" s="2" t="str">
        <f ca="1">IF(table1[[#This Row],[Price]] &lt; (table1[[#This Row],[52Low]] * 0.25) + table1[[#This Row],[52Low]],  "TRUE", "FALSE")</f>
        <v>FALSE</v>
      </c>
      <c r="M55" s="2" t="str">
        <f ca="1">IF(table1[[#This Row],[Price]] &lt; (table1[[#This Row],[52Low]] * 0.1) + table1[[#This Row],[52Low]],  "TRUE", "FALSE")</f>
        <v>FALSE</v>
      </c>
      <c r="N55" s="6" cm="1">
        <f t="array" aca="1" ref="N55" ca="1">_FV(table1[[#This Row],[DataField]],"Market cap",TRUE)</f>
        <v>161228680130</v>
      </c>
    </row>
    <row r="56" spans="1:14" x14ac:dyDescent="0.2">
      <c r="A56" t="e" vm="56">
        <v>#VALUE!</v>
      </c>
      <c r="B56" t="str" cm="1">
        <f t="array" aca="1" ref="B56" ca="1">_FV(table1[[#This Row],[DataField]],"Ticker symbol",TRUE)</f>
        <v>LRCX</v>
      </c>
      <c r="C56" t="b">
        <v>0</v>
      </c>
      <c r="D56" t="s">
        <v>6</v>
      </c>
      <c r="E56" t="b">
        <v>1</v>
      </c>
      <c r="G56" t="s">
        <v>25</v>
      </c>
      <c r="H56" s="2" cm="1">
        <f t="array" aca="1" ref="H56" ca="1">_FV(table1[[#This Row],[DataField]],"Price")</f>
        <v>235.53</v>
      </c>
      <c r="I56" s="2" cm="1">
        <f t="array" aca="1" ref="I56" ca="1">_FV(table1[[#This Row],[DataField]],"52 week low",TRUE)</f>
        <v>56.32</v>
      </c>
      <c r="J56" s="2" cm="1">
        <f t="array" aca="1" ref="J56" ca="1">_FV(table1[[#This Row],[DataField]],"52 week high",TRUE)</f>
        <v>251.87</v>
      </c>
      <c r="K56" s="4" cm="1">
        <f t="array" aca="1" ref="K56" ca="1">_FV(table1[[#This Row],[DataField]],"P/E",TRUE)</f>
        <v>47.402700000000003</v>
      </c>
      <c r="L56" s="2" t="str">
        <f ca="1">IF(table1[[#This Row],[Price]] &lt; (table1[[#This Row],[52Low]] * 0.25) + table1[[#This Row],[52Low]],  "TRUE", "FALSE")</f>
        <v>FALSE</v>
      </c>
      <c r="M56" s="2" t="str">
        <f ca="1">IF(table1[[#This Row],[Price]] &lt; (table1[[#This Row],[52Low]] * 0.1) + table1[[#This Row],[52Low]],  "TRUE", "FALSE")</f>
        <v>FALSE</v>
      </c>
      <c r="N56" s="6" cm="1">
        <f t="array" aca="1" ref="N56" ca="1">_FV(table1[[#This Row],[DataField]],"Market cap",TRUE)</f>
        <v>294123033630</v>
      </c>
    </row>
    <row r="57" spans="1:14" x14ac:dyDescent="0.2">
      <c r="A57" t="e" vm="57">
        <v>#VALUE!</v>
      </c>
      <c r="B57" t="str" cm="1">
        <f t="array" aca="1" ref="B57" ca="1">_FV(table1[[#This Row],[DataField]],"Ticker symbol",TRUE)</f>
        <v>LYB</v>
      </c>
      <c r="C57" t="b">
        <v>1</v>
      </c>
      <c r="D57" t="s">
        <v>13</v>
      </c>
      <c r="E57" t="b">
        <v>1</v>
      </c>
      <c r="H57" s="2" cm="1">
        <f t="array" aca="1" ref="H57" ca="1">_FV(table1[[#This Row],[DataField]],"Price")</f>
        <v>57.61</v>
      </c>
      <c r="I57" s="2" cm="1">
        <f t="array" aca="1" ref="I57" ca="1">_FV(table1[[#This Row],[DataField]],"52 week low",TRUE)</f>
        <v>41.58</v>
      </c>
      <c r="J57" s="2" cm="1">
        <f t="array" aca="1" ref="J57" ca="1">_FV(table1[[#This Row],[DataField]],"52 week high",TRUE)</f>
        <v>78.516000000000005</v>
      </c>
      <c r="K57" s="4" cm="1">
        <f t="array" aca="1" ref="K57" ca="1">_FV(table1[[#This Row],[DataField]],"P/E",TRUE)</f>
        <v>0</v>
      </c>
      <c r="L57" s="2" t="str">
        <f ca="1">IF(table1[[#This Row],[Price]] &lt; (table1[[#This Row],[52Low]] * 0.25) + table1[[#This Row],[52Low]],  "TRUE", "FALSE")</f>
        <v>FALSE</v>
      </c>
      <c r="M57" s="2" t="str">
        <f ca="1">IF(table1[[#This Row],[Price]] &lt; (table1[[#This Row],[52Low]] * 0.1) + table1[[#This Row],[52Low]],  "TRUE", "FALSE")</f>
        <v>FALSE</v>
      </c>
      <c r="N57" s="6" cm="1">
        <f t="array" aca="1" ref="N57" ca="1">_FV(table1[[#This Row],[DataField]],"Market cap",TRUE)</f>
        <v>18550420000</v>
      </c>
    </row>
    <row r="58" spans="1:14" x14ac:dyDescent="0.2">
      <c r="A58" t="e" vm="58">
        <v>#VALUE!</v>
      </c>
      <c r="B58" t="str" cm="1">
        <f t="array" aca="1" ref="B58" ca="1">_FV(table1[[#This Row],[DataField]],"Ticker symbol",TRUE)</f>
        <v>MAN</v>
      </c>
      <c r="H58" s="2" cm="1">
        <f t="array" aca="1" ref="H58" ca="1">_FV(table1[[#This Row],[DataField]],"Price")</f>
        <v>28.66</v>
      </c>
      <c r="I58" s="2" cm="1">
        <f t="array" aca="1" ref="I58" ca="1">_FV(table1[[#This Row],[DataField]],"52 week low",TRUE)</f>
        <v>26.14</v>
      </c>
      <c r="J58" s="2" cm="1">
        <f t="array" aca="1" ref="J58" ca="1">_FV(table1[[#This Row],[DataField]],"52 week high",TRUE)</f>
        <v>63.344999999999999</v>
      </c>
      <c r="K58" s="4" t="e" cm="1" vm="14">
        <f t="array" ref="K58">_FV(table1[[#This Row],[DataField]],"P/E",TRUE)</f>
        <v>#VALUE!</v>
      </c>
      <c r="L58" s="2" t="str">
        <f ca="1">IF(table1[[#This Row],[Price]] &lt; (table1[[#This Row],[52Low]] * 0.25) + table1[[#This Row],[52Low]],  "TRUE", "FALSE")</f>
        <v>TRUE</v>
      </c>
      <c r="M58" s="2" t="str">
        <f ca="1">IF(table1[[#This Row],[Price]] &lt; (table1[[#This Row],[52Low]] * 0.1) + table1[[#This Row],[52Low]],  "TRUE", "FALSE")</f>
        <v>TRUE</v>
      </c>
      <c r="N58" s="6" cm="1">
        <f t="array" aca="1" ref="N58" ca="1">_FV(table1[[#This Row],[DataField]],"Market cap",TRUE)</f>
        <v>1326877178</v>
      </c>
    </row>
    <row r="59" spans="1:14" x14ac:dyDescent="0.2">
      <c r="A59" t="e" vm="59">
        <v>#VALUE!</v>
      </c>
      <c r="B59" t="str" cm="1">
        <f t="array" aca="1" ref="B59" ca="1">_FV(table1[[#This Row],[DataField]],"Ticker symbol",TRUE)</f>
        <v>MCD</v>
      </c>
      <c r="C59" t="b">
        <v>0</v>
      </c>
      <c r="D59" t="s">
        <v>7</v>
      </c>
      <c r="E59" t="b">
        <v>1</v>
      </c>
      <c r="H59" s="2" cm="1">
        <f t="array" aca="1" ref="H59" ca="1">_FV(table1[[#This Row],[DataField]],"Price")</f>
        <v>327.62</v>
      </c>
      <c r="I59" s="2" cm="1">
        <f t="array" aca="1" ref="I59" ca="1">_FV(table1[[#This Row],[DataField]],"52 week low",TRUE)</f>
        <v>283.47000000000003</v>
      </c>
      <c r="J59" s="2" cm="1">
        <f t="array" aca="1" ref="J59" ca="1">_FV(table1[[#This Row],[DataField]],"52 week high",TRUE)</f>
        <v>335.67</v>
      </c>
      <c r="K59" s="4" cm="1">
        <f t="array" aca="1" ref="K59" ca="1">_FV(table1[[#This Row],[DataField]],"P/E",TRUE)</f>
        <v>27.783200000000001</v>
      </c>
      <c r="L59" s="2" t="str">
        <f ca="1">IF(table1[[#This Row],[Price]] &lt; (table1[[#This Row],[52Low]] * 0.25) + table1[[#This Row],[52Low]],  "TRUE", "FALSE")</f>
        <v>TRUE</v>
      </c>
      <c r="M59" s="2" t="str">
        <f ca="1">IF(table1[[#This Row],[Price]] &lt; (table1[[#This Row],[52Low]] * 0.1) + table1[[#This Row],[52Low]],  "TRUE", "FALSE")</f>
        <v>FALSE</v>
      </c>
      <c r="N59" s="6" cm="1">
        <f t="array" aca="1" ref="N59" ca="1">_FV(table1[[#This Row],[DataField]],"Market cap",TRUE)</f>
        <v>233316024528</v>
      </c>
    </row>
    <row r="60" spans="1:14" x14ac:dyDescent="0.2">
      <c r="A60" t="e" vm="60">
        <v>#VALUE!</v>
      </c>
      <c r="B60" t="str" cm="1">
        <f t="array" aca="1" ref="B60" ca="1">_FV(table1[[#This Row],[DataField]],"Ticker symbol",TRUE)</f>
        <v>MCO</v>
      </c>
      <c r="H60" s="2" cm="1">
        <f t="array" aca="1" ref="H60" ca="1">_FV(table1[[#This Row],[DataField]],"Price")</f>
        <v>426.28</v>
      </c>
      <c r="I60" s="2" cm="1">
        <f t="array" aca="1" ref="I60" ca="1">_FV(table1[[#This Row],[DataField]],"52 week low",TRUE)</f>
        <v>378.71</v>
      </c>
      <c r="J60" s="2" cm="1">
        <f t="array" aca="1" ref="J60" ca="1">_FV(table1[[#This Row],[DataField]],"52 week high",TRUE)</f>
        <v>546.88</v>
      </c>
      <c r="K60" s="4" cm="1">
        <f t="array" aca="1" ref="K60" ca="1">_FV(table1[[#This Row],[DataField]],"P/E",TRUE)</f>
        <v>33.194699999999997</v>
      </c>
      <c r="L60" s="2" t="str">
        <f ca="1">IF(table1[[#This Row],[Price]] &lt; (table1[[#This Row],[52Low]] * 0.25) + table1[[#This Row],[52Low]],  "TRUE", "FALSE")</f>
        <v>TRUE</v>
      </c>
      <c r="M60" s="7" t="str">
        <f ca="1">IF(table1[[#This Row],[Price]] &lt; (table1[[#This Row],[52Low]] * 0.1) + table1[[#This Row],[52Low]],  "TRUE", "FALSE")</f>
        <v>FALSE</v>
      </c>
      <c r="N60" s="6" cm="1">
        <f t="array" aca="1" ref="N60" ca="1">_FV(table1[[#This Row],[DataField]],"Market cap",TRUE)</f>
        <v>76048352000</v>
      </c>
    </row>
    <row r="61" spans="1:14" x14ac:dyDescent="0.2">
      <c r="A61" t="e" vm="61">
        <v>#VALUE!</v>
      </c>
      <c r="B61" t="str" cm="1">
        <f t="array" aca="1" ref="B61" ca="1">_FV(table1[[#This Row],[DataField]],"Ticker symbol",TRUE)</f>
        <v>MDLZ</v>
      </c>
      <c r="H61" s="2" cm="1">
        <f t="array" aca="1" ref="H61" ca="1">_FV(table1[[#This Row],[DataField]],"Price")</f>
        <v>62.59</v>
      </c>
      <c r="I61" s="2" cm="1">
        <f t="array" aca="1" ref="I61" ca="1">_FV(table1[[#This Row],[DataField]],"52 week low",TRUE)</f>
        <v>51.200800000000001</v>
      </c>
      <c r="J61" s="2" cm="1">
        <f t="array" aca="1" ref="J61" ca="1">_FV(table1[[#This Row],[DataField]],"52 week high",TRUE)</f>
        <v>71.150000000000006</v>
      </c>
      <c r="K61" s="4" cm="1">
        <f t="array" aca="1" ref="K61" ca="1">_FV(table1[[#This Row],[DataField]],"P/E",TRUE)</f>
        <v>32.738500000000002</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80230741140</v>
      </c>
    </row>
    <row r="62" spans="1:14" x14ac:dyDescent="0.2">
      <c r="A62" t="e" vm="62">
        <v>#VALUE!</v>
      </c>
      <c r="B62" t="str" cm="1">
        <f t="array" aca="1" ref="B62" ca="1">_FV(table1[[#This Row],[DataField]],"Ticker symbol",TRUE)</f>
        <v>MDT</v>
      </c>
      <c r="C62" t="b">
        <v>1</v>
      </c>
      <c r="D62" t="s">
        <v>9</v>
      </c>
      <c r="E62" t="b">
        <v>1</v>
      </c>
      <c r="H62" s="2" cm="1">
        <f t="array" aca="1" ref="H62" ca="1">_FV(table1[[#This Row],[DataField]],"Price")</f>
        <v>99.41</v>
      </c>
      <c r="I62" s="2" cm="1">
        <f t="array" aca="1" ref="I62" ca="1">_FV(table1[[#This Row],[DataField]],"52 week low",TRUE)</f>
        <v>79.55</v>
      </c>
      <c r="J62" s="2" cm="1">
        <f t="array" aca="1" ref="J62" ca="1">_FV(table1[[#This Row],[DataField]],"52 week high",TRUE)</f>
        <v>106.33</v>
      </c>
      <c r="K62" s="4" cm="1">
        <f t="array" aca="1" ref="K62" ca="1">_FV(table1[[#This Row],[DataField]],"P/E",TRUE)</f>
        <v>27.276299999999999</v>
      </c>
      <c r="L62" s="2" t="str">
        <f ca="1">IF(table1[[#This Row],[Price]] &lt; (table1[[#This Row],[52Low]] * 0.25) + table1[[#This Row],[52Low]],  "TRUE", "FALSE")</f>
        <v>TRUE</v>
      </c>
      <c r="M62" s="2" t="str">
        <f ca="1">IF(table1[[#This Row],[Price]] &lt; (table1[[#This Row],[52Low]] * 0.1) + table1[[#This Row],[52Low]],  "TRUE", "FALSE")</f>
        <v>FALSE</v>
      </c>
      <c r="N62" s="6" cm="1">
        <f t="array" aca="1" ref="N62" ca="1">_FV(table1[[#This Row],[DataField]],"Market cap",TRUE)</f>
        <v>127445011740</v>
      </c>
    </row>
    <row r="63" spans="1:14" x14ac:dyDescent="0.2">
      <c r="A63" t="e" vm="63">
        <v>#VALUE!</v>
      </c>
      <c r="B63" t="str" cm="1">
        <f t="array" aca="1" ref="B63" ca="1">_FV(table1[[#This Row],[DataField]],"Ticker symbol",TRUE)</f>
        <v>META</v>
      </c>
      <c r="H63" s="2" cm="1">
        <f t="array" aca="1" ref="H63" ca="1">_FV(table1[[#This Row],[DataField]],"Price")</f>
        <v>639.77</v>
      </c>
      <c r="I63" s="2" cm="1">
        <f t="array" aca="1" ref="I63" ca="1">_FV(table1[[#This Row],[DataField]],"52 week low",TRUE)</f>
        <v>479.8</v>
      </c>
      <c r="J63" s="2" cm="1">
        <f t="array" aca="1" ref="J63" ca="1">_FV(table1[[#This Row],[DataField]],"52 week high",TRUE)</f>
        <v>796.25</v>
      </c>
      <c r="K63" s="4" cm="1">
        <f t="array" aca="1" ref="K63" ca="1">_FV(table1[[#This Row],[DataField]],"P/E",TRUE)</f>
        <v>22.230499999999999</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1618333402350</v>
      </c>
    </row>
    <row r="64" spans="1:14" x14ac:dyDescent="0.2">
      <c r="A64" t="e" vm="64">
        <v>#VALUE!</v>
      </c>
      <c r="B64" t="str" cm="1">
        <f t="array" aca="1" ref="B64" ca="1">_FV(table1[[#This Row],[DataField]],"Ticker symbol",TRUE)</f>
        <v>MKC.V</v>
      </c>
      <c r="C64" t="b">
        <v>1</v>
      </c>
      <c r="D64" t="s">
        <v>5</v>
      </c>
      <c r="E64" t="b">
        <v>1</v>
      </c>
      <c r="H64" s="2" cm="1">
        <f t="array" aca="1" ref="H64" ca="1">_FV(table1[[#This Row],[DataField]],"Price")</f>
        <v>71.900000000000006</v>
      </c>
      <c r="I64" s="2" cm="1">
        <f t="array" aca="1" ref="I64" ca="1">_FV(table1[[#This Row],[DataField]],"52 week low",TRUE)</f>
        <v>59.564999999999998</v>
      </c>
      <c r="J64" s="2" cm="1">
        <f t="array" aca="1" ref="J64" ca="1">_FV(table1[[#This Row],[DataField]],"52 week high",TRUE)</f>
        <v>85.5</v>
      </c>
      <c r="K64" s="4" t="e" cm="1" vm="14">
        <f t="array" ref="K64">_FV(table1[[#This Row],[DataField]],"P/E",TRUE)</f>
        <v>#VALUE!</v>
      </c>
      <c r="L64" s="2" t="str">
        <f ca="1">IF(table1[[#This Row],[Price]] &lt; (table1[[#This Row],[52Low]] * 0.25) + table1[[#This Row],[52Low]],  "TRUE", "FALSE")</f>
        <v>TRUE</v>
      </c>
      <c r="M64" s="2" t="str">
        <f ca="1">IF(table1[[#This Row],[Price]] &lt; (table1[[#This Row],[52Low]] * 0.1) + table1[[#This Row],[52Low]],  "TRUE", "FALSE")</f>
        <v>FALSE</v>
      </c>
      <c r="N64" s="6" cm="1">
        <f t="array" aca="1" ref="N64" ca="1">_FV(table1[[#This Row],[DataField]],"Market cap",TRUE)</f>
        <v>19300706580</v>
      </c>
    </row>
    <row r="65" spans="1:14" x14ac:dyDescent="0.2">
      <c r="A65" t="e" vm="65">
        <v>#VALUE!</v>
      </c>
      <c r="B65" t="str" cm="1">
        <f t="array" aca="1" ref="B65" ca="1">_FV(table1[[#This Row],[DataField]],"Ticker symbol",TRUE)</f>
        <v>MMM</v>
      </c>
      <c r="H65" s="2" cm="1">
        <f t="array" aca="1" ref="H65" ca="1">_FV(table1[[#This Row],[DataField]],"Price")</f>
        <v>171.8</v>
      </c>
      <c r="I65" s="2" cm="1">
        <f t="array" aca="1" ref="I65" ca="1">_FV(table1[[#This Row],[DataField]],"52 week low",TRUE)</f>
        <v>121.97709999999999</v>
      </c>
      <c r="J65" s="2" cm="1">
        <f t="array" aca="1" ref="J65" ca="1">_FV(table1[[#This Row],[DataField]],"52 week high",TRUE)</f>
        <v>177.41</v>
      </c>
      <c r="K65" s="4" cm="1">
        <f t="array" aca="1" ref="K65" ca="1">_FV(table1[[#This Row],[DataField]],"P/E",TRUE)</f>
        <v>28.992899999999999</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90487060000</v>
      </c>
    </row>
    <row r="66" spans="1:14" x14ac:dyDescent="0.2">
      <c r="A66" t="e" vm="66">
        <v>#VALUE!</v>
      </c>
      <c r="B66" t="str" cm="1">
        <f t="array" aca="1" ref="B66" ca="1">_FV(table1[[#This Row],[DataField]],"Ticker symbol",TRUE)</f>
        <v>MO</v>
      </c>
      <c r="H66" s="2" cm="1">
        <f t="array" aca="1" ref="H66" ca="1">_FV(table1[[#This Row],[DataField]],"Price")</f>
        <v>67.25</v>
      </c>
      <c r="I66" s="2" cm="1">
        <f t="array" aca="1" ref="I66" ca="1">_FV(table1[[#This Row],[DataField]],"52 week low",TRUE)</f>
        <v>52.4</v>
      </c>
      <c r="J66" s="2" cm="1">
        <f t="array" aca="1" ref="J66" ca="1">_FV(table1[[#This Row],[DataField]],"52 week high",TRUE)</f>
        <v>68.599999999999994</v>
      </c>
      <c r="K66" s="4" cm="1">
        <f t="array" aca="1" ref="K66" ca="1">_FV(table1[[#This Row],[DataField]],"P/E",TRUE)</f>
        <v>16.277699999999999</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112597885500</v>
      </c>
    </row>
    <row r="67" spans="1:14" x14ac:dyDescent="0.2">
      <c r="A67" t="e" vm="67">
        <v>#VALUE!</v>
      </c>
      <c r="B67" t="str" cm="1">
        <f t="array" aca="1" ref="B67" ca="1">_FV(table1[[#This Row],[DataField]],"Ticker symbol",TRUE)</f>
        <v>MRK</v>
      </c>
      <c r="H67" s="2" cm="1">
        <f t="array" aca="1" ref="H67" ca="1">_FV(table1[[#This Row],[DataField]],"Price")</f>
        <v>121.41</v>
      </c>
      <c r="I67" s="2" cm="1">
        <f t="array" aca="1" ref="I67" ca="1">_FV(table1[[#This Row],[DataField]],"52 week low",TRUE)</f>
        <v>73.31</v>
      </c>
      <c r="J67" s="2" cm="1">
        <f t="array" aca="1" ref="J67" ca="1">_FV(table1[[#This Row],[DataField]],"52 week high",TRUE)</f>
        <v>123.33</v>
      </c>
      <c r="K67" s="4" cm="1">
        <f t="array" aca="1" ref="K67" ca="1">_FV(table1[[#This Row],[DataField]],"P/E",TRUE)</f>
        <v>16.3901</v>
      </c>
      <c r="L67" s="2" t="str">
        <f ca="1">IF(table1[[#This Row],[Price]] &lt; (table1[[#This Row],[52Low]] * 0.25) + table1[[#This Row],[52Low]],  "TRUE", "FALSE")</f>
        <v>FALSE</v>
      </c>
      <c r="M67" s="2" t="str">
        <f ca="1">IF(table1[[#This Row],[Price]] &lt; (table1[[#This Row],[52Low]] * 0.1) + table1[[#This Row],[52Low]],  "TRUE", "FALSE")</f>
        <v>FALSE</v>
      </c>
      <c r="N67" s="6" cm="1">
        <f t="array" aca="1" ref="N67" ca="1">_FV(table1[[#This Row],[DataField]],"Market cap",TRUE)</f>
        <v>301342291020</v>
      </c>
    </row>
    <row r="68" spans="1:14" x14ac:dyDescent="0.2">
      <c r="A68" t="e" vm="68">
        <v>#VALUE!</v>
      </c>
      <c r="B68" t="str" cm="1">
        <f t="array" aca="1" ref="B68" ca="1">_FV(table1[[#This Row],[DataField]],"Ticker symbol",TRUE)</f>
        <v>MSFT</v>
      </c>
      <c r="C68" t="b">
        <v>1</v>
      </c>
      <c r="D68" t="s">
        <v>6</v>
      </c>
      <c r="E68" t="b">
        <v>1</v>
      </c>
      <c r="H68" s="2" cm="1">
        <f t="array" aca="1" ref="H68" ca="1">_FV(table1[[#This Row],[DataField]],"Price")</f>
        <v>401.32</v>
      </c>
      <c r="I68" s="2" cm="1">
        <f t="array" aca="1" ref="I68" ca="1">_FV(table1[[#This Row],[DataField]],"52 week low",TRUE)</f>
        <v>344.79</v>
      </c>
      <c r="J68" s="2" cm="1">
        <f t="array" aca="1" ref="J68" ca="1">_FV(table1[[#This Row],[DataField]],"52 week high",TRUE)</f>
        <v>555.45000000000005</v>
      </c>
      <c r="K68" s="4" cm="1">
        <f t="array" aca="1" ref="K68" ca="1">_FV(table1[[#This Row],[DataField]],"P/E",TRUE)</f>
        <v>25.142600000000002</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2980053430280</v>
      </c>
    </row>
    <row r="69" spans="1:14" x14ac:dyDescent="0.2">
      <c r="A69" t="e" vm="69">
        <v>#VALUE!</v>
      </c>
      <c r="B69" t="str" cm="1">
        <f t="array" aca="1" ref="B69" ca="1">_FV(table1[[#This Row],[DataField]],"Ticker symbol",TRUE)</f>
        <v>NKE</v>
      </c>
      <c r="C69" t="b">
        <v>1</v>
      </c>
      <c r="D69" t="s">
        <v>7</v>
      </c>
      <c r="E69" t="b">
        <v>1</v>
      </c>
      <c r="H69" s="2" cm="1">
        <f t="array" aca="1" ref="H69" ca="1">_FV(table1[[#This Row],[DataField]],"Price")</f>
        <v>63.13</v>
      </c>
      <c r="I69" cm="1">
        <f t="array" aca="1" ref="I69" ca="1">_FV(table1[[#This Row],[DataField]],"52 week low",TRUE)</f>
        <v>52.28</v>
      </c>
      <c r="J69" cm="1">
        <f t="array" aca="1" ref="J69" ca="1">_FV(table1[[#This Row],[DataField]],"52 week high",TRUE)</f>
        <v>82.44</v>
      </c>
      <c r="K69" s="4" cm="1">
        <f t="array" aca="1" ref="K69" ca="1">_FV(table1[[#This Row],[DataField]],"P/E",TRUE)</f>
        <v>35.827199999999998</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93456578790</v>
      </c>
    </row>
    <row r="70" spans="1:14" x14ac:dyDescent="0.2">
      <c r="A70" t="e" vm="70">
        <v>#VALUE!</v>
      </c>
      <c r="B70" t="str" cm="1">
        <f t="array" aca="1" ref="B70" ca="1">_FV(table1[[#This Row],[DataField]],"Ticker symbol",TRUE)</f>
        <v>NOC</v>
      </c>
      <c r="H70" s="2" cm="1">
        <f t="array" aca="1" ref="H70" ca="1">_FV(table1[[#This Row],[DataField]],"Price")</f>
        <v>702.37</v>
      </c>
      <c r="I70" s="2" cm="1">
        <f t="array" aca="1" ref="I70" ca="1">_FV(table1[[#This Row],[DataField]],"52 week low",TRUE)</f>
        <v>426.24</v>
      </c>
      <c r="J70" s="2" cm="1">
        <f t="array" aca="1" ref="J70" ca="1">_FV(table1[[#This Row],[DataField]],"52 week high",TRUE)</f>
        <v>715.61</v>
      </c>
      <c r="K70" s="4" cm="1">
        <f t="array" aca="1" ref="K70" ca="1">_FV(table1[[#This Row],[DataField]],"P/E",TRUE)</f>
        <v>23.9</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99681474192</v>
      </c>
    </row>
    <row r="71" spans="1:14" x14ac:dyDescent="0.2">
      <c r="A71" t="e" vm="71">
        <v>#VALUE!</v>
      </c>
      <c r="B71" t="str" cm="1">
        <f t="array" aca="1" ref="B71" ca="1">_FV(table1[[#This Row],[DataField]],"Ticker symbol",TRUE)</f>
        <v>NVDA</v>
      </c>
      <c r="G71" t="s">
        <v>25</v>
      </c>
      <c r="H71" s="2" cm="1">
        <f t="array" aca="1" ref="H71" ca="1">_FV(table1[[#This Row],[DataField]],"Price")</f>
        <v>182.81</v>
      </c>
      <c r="I71" s="2" cm="1">
        <f t="array" aca="1" ref="I71" ca="1">_FV(table1[[#This Row],[DataField]],"52 week low",TRUE)</f>
        <v>86.62</v>
      </c>
      <c r="J71" s="2" cm="1">
        <f t="array" aca="1" ref="J71" ca="1">_FV(table1[[#This Row],[DataField]],"52 week high",TRUE)</f>
        <v>212.18989999999999</v>
      </c>
      <c r="K71" s="4" cm="1">
        <f t="array" aca="1" ref="K71" ca="1">_FV(table1[[#This Row],[DataField]],"P/E",TRUE)</f>
        <v>46.301499999999997</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4442283000000</v>
      </c>
    </row>
    <row r="72" spans="1:14" x14ac:dyDescent="0.2">
      <c r="A72" t="e" vm="72">
        <v>#VALUE!</v>
      </c>
      <c r="B72" t="str" cm="1">
        <f t="array" aca="1" ref="B72" ca="1">_FV(table1[[#This Row],[DataField]],"Ticker symbol",TRUE)</f>
        <v>O</v>
      </c>
      <c r="C72" t="b">
        <v>1</v>
      </c>
      <c r="D72" t="s">
        <v>14</v>
      </c>
      <c r="E72" t="b">
        <v>1</v>
      </c>
      <c r="H72" s="2" cm="1">
        <f t="array" aca="1" ref="H72" ca="1">_FV(table1[[#This Row],[DataField]],"Price")</f>
        <v>65.655000000000001</v>
      </c>
      <c r="I72" s="2" cm="1">
        <f t="array" aca="1" ref="I72" ca="1">_FV(table1[[#This Row],[DataField]],"52 week low",TRUE)</f>
        <v>50.71</v>
      </c>
      <c r="J72" s="2" cm="1">
        <f t="array" aca="1" ref="J72" ca="1">_FV(table1[[#This Row],[DataField]],"52 week high",TRUE)</f>
        <v>66.28</v>
      </c>
      <c r="K72" s="4" cm="1">
        <f t="array" aca="1" ref="K72" ca="1">_FV(table1[[#This Row],[DataField]],"P/E",TRUE)</f>
        <v>60.511499999999998</v>
      </c>
      <c r="L72" s="2" t="str">
        <f ca="1">IF(table1[[#This Row],[Price]] &lt; (table1[[#This Row],[52Low]] * 0.25) + table1[[#This Row],[52Low]],  "TRUE", "FALSE")</f>
        <v>FALSE</v>
      </c>
      <c r="M72" s="2" t="str">
        <f ca="1">IF(table1[[#This Row],[Price]] &lt; (table1[[#This Row],[52Low]] * 0.1) + table1[[#This Row],[52Low]],  "TRUE", "FALSE")</f>
        <v>FALSE</v>
      </c>
      <c r="N72" s="6" cm="1">
        <f t="array" aca="1" ref="N72" ca="1">_FV(table1[[#This Row],[DataField]],"Market cap",TRUE)</f>
        <v>60396415299</v>
      </c>
    </row>
    <row r="73" spans="1:14" x14ac:dyDescent="0.2">
      <c r="A73" t="e" vm="73">
        <v>#VALUE!</v>
      </c>
      <c r="B73" t="str" cm="1">
        <f t="array" aca="1" ref="B73" ca="1">_FV(table1[[#This Row],[DataField]],"Ticker symbol",TRUE)</f>
        <v>PEP</v>
      </c>
      <c r="C73" t="b">
        <v>1</v>
      </c>
      <c r="D73" t="s">
        <v>5</v>
      </c>
      <c r="E73" t="b">
        <v>1</v>
      </c>
      <c r="H73" s="2" cm="1">
        <f t="array" aca="1" ref="H73" ca="1">_FV(table1[[#This Row],[DataField]],"Price")</f>
        <v>165.94</v>
      </c>
      <c r="I73" s="2" cm="1">
        <f t="array" aca="1" ref="I73" ca="1">_FV(table1[[#This Row],[DataField]],"52 week low",TRUE)</f>
        <v>127.6</v>
      </c>
      <c r="J73" s="2" cm="1">
        <f t="array" aca="1" ref="J73" ca="1">_FV(table1[[#This Row],[DataField]],"52 week high",TRUE)</f>
        <v>171.48</v>
      </c>
      <c r="K73" s="4" cm="1">
        <f t="array" aca="1" ref="K73" ca="1">_FV(table1[[#This Row],[DataField]],"P/E",TRUE)</f>
        <v>27.8599</v>
      </c>
      <c r="L73" s="2" t="str">
        <f ca="1">IF(table1[[#This Row],[Price]] &lt; (table1[[#This Row],[52Low]] * 0.25) + table1[[#This Row],[52Low]],  "TRUE", "FALSE")</f>
        <v>FALSE</v>
      </c>
      <c r="M73" s="2" t="str">
        <f ca="1">IF(table1[[#This Row],[Price]] &lt; (table1[[#This Row],[52Low]] * 0.1) + table1[[#This Row],[52Low]],  "TRUE", "FALSE")</f>
        <v>FALSE</v>
      </c>
      <c r="N73" s="6" cm="1">
        <f t="array" aca="1" ref="N73" ca="1">_FV(table1[[#This Row],[DataField]],"Market cap",TRUE)</f>
        <v>226781735060</v>
      </c>
    </row>
    <row r="74" spans="1:14" x14ac:dyDescent="0.2">
      <c r="A74" t="e" vm="74">
        <v>#VALUE!</v>
      </c>
      <c r="B74" t="str" cm="1">
        <f t="array" aca="1" ref="B74" ca="1">_FV(table1[[#This Row],[DataField]],"Ticker symbol",TRUE)</f>
        <v>PFE</v>
      </c>
      <c r="H74" s="2" cm="1">
        <f t="array" aca="1" ref="H74" ca="1">_FV(table1[[#This Row],[DataField]],"Price")</f>
        <v>27.58</v>
      </c>
      <c r="I74" s="2" cm="1">
        <f t="array" aca="1" ref="I74" ca="1">_FV(table1[[#This Row],[DataField]],"52 week low",TRUE)</f>
        <v>20.914999999999999</v>
      </c>
      <c r="J74" s="2" cm="1">
        <f t="array" aca="1" ref="J74" ca="1">_FV(table1[[#This Row],[DataField]],"52 week high",TRUE)</f>
        <v>27.94</v>
      </c>
      <c r="K74" s="4" cm="1">
        <f t="array" aca="1" ref="K74" ca="1">_FV(table1[[#This Row],[DataField]],"P/E",TRUE)</f>
        <v>20.260200000000001</v>
      </c>
      <c r="L74" s="2" t="str">
        <f ca="1">IF(table1[[#This Row],[Price]] &lt; (table1[[#This Row],[52Low]] * 0.25) + table1[[#This Row],[52Low]],  "TRUE", "FALSE")</f>
        <v>FALSE</v>
      </c>
      <c r="M74" s="2" t="str">
        <f ca="1">IF(table1[[#This Row],[Price]] &lt; (table1[[#This Row],[52Low]] * 0.1) + table1[[#This Row],[52Low]],  "TRUE", "FALSE")</f>
        <v>FALSE</v>
      </c>
      <c r="N74" s="6" cm="1">
        <f t="array" aca="1" ref="N74" ca="1">_FV(table1[[#This Row],[DataField]],"Market cap",TRUE)</f>
        <v>156811826640</v>
      </c>
    </row>
    <row r="75" spans="1:14" x14ac:dyDescent="0.2">
      <c r="A75" t="e" vm="75">
        <v>#VALUE!</v>
      </c>
      <c r="B75" t="str" cm="1">
        <f t="array" aca="1" ref="B75" ca="1">_FV(table1[[#This Row],[DataField]],"Ticker symbol",TRUE)</f>
        <v>PM</v>
      </c>
      <c r="H75" s="2" cm="1">
        <f t="array" aca="1" ref="H75" ca="1">_FV(table1[[#This Row],[DataField]],"Price")</f>
        <v>187.44499999999999</v>
      </c>
      <c r="I75" s="2" cm="1">
        <f t="array" aca="1" ref="I75" ca="1">_FV(table1[[#This Row],[DataField]],"52 week low",TRUE)</f>
        <v>142.11000000000001</v>
      </c>
      <c r="J75" s="2" cm="1">
        <f t="array" aca="1" ref="J75" ca="1">_FV(table1[[#This Row],[DataField]],"52 week high",TRUE)</f>
        <v>190.98</v>
      </c>
      <c r="K75" s="4" cm="1">
        <f t="array" aca="1" ref="K75" ca="1">_FV(table1[[#This Row],[DataField]],"P/E",TRUE)</f>
        <v>26.014800000000001</v>
      </c>
      <c r="L75" s="2" t="str">
        <f ca="1">IF(table1[[#This Row],[Price]] &lt; (table1[[#This Row],[52Low]] * 0.25) + table1[[#This Row],[52Low]],  "TRUE", "FALSE")</f>
        <v>FALSE</v>
      </c>
      <c r="M75" s="7" t="str">
        <f ca="1">IF(table1[[#This Row],[Price]] &lt; (table1[[#This Row],[52Low]] * 0.1) + table1[[#This Row],[52Low]],  "TRUE", "FALSE")</f>
        <v>FALSE</v>
      </c>
      <c r="N75" s="6" cm="1">
        <f t="array" aca="1" ref="N75" ca="1">_FV(table1[[#This Row],[DataField]],"Market cap",TRUE)</f>
        <v>291791882600</v>
      </c>
    </row>
    <row r="76" spans="1:14" x14ac:dyDescent="0.2">
      <c r="A76" t="e" vm="76">
        <v>#VALUE!</v>
      </c>
      <c r="B76" t="str" cm="1">
        <f t="array" aca="1" ref="B76" ca="1">_FV(table1[[#This Row],[DataField]],"Ticker symbol",TRUE)</f>
        <v>PPG</v>
      </c>
      <c r="H76" s="2" cm="1">
        <f t="array" aca="1" ref="H76" ca="1">_FV(table1[[#This Row],[DataField]],"Price")</f>
        <v>131.31</v>
      </c>
      <c r="I76" s="2" cm="1">
        <f t="array" aca="1" ref="I76" ca="1">_FV(table1[[#This Row],[DataField]],"52 week low",TRUE)</f>
        <v>90.24</v>
      </c>
      <c r="J76" s="2" cm="1">
        <f t="array" aca="1" ref="J76" ca="1">_FV(table1[[#This Row],[DataField]],"52 week high",TRUE)</f>
        <v>133.43</v>
      </c>
      <c r="K76" s="4" cm="1">
        <f t="array" aca="1" ref="K76" ca="1">_FV(table1[[#This Row],[DataField]],"P/E",TRUE)</f>
        <v>19.023</v>
      </c>
      <c r="L76" s="2" t="str">
        <f ca="1">IF(table1[[#This Row],[Price]] &lt; (table1[[#This Row],[52Low]] * 0.25) + table1[[#This Row],[52Low]],  "TRUE", "FALSE")</f>
        <v>FALSE</v>
      </c>
      <c r="M76" s="7" t="str">
        <f ca="1">IF(table1[[#This Row],[Price]] &lt; (table1[[#This Row],[52Low]] * 0.1) + table1[[#This Row],[52Low]],  "TRUE", "FALSE")</f>
        <v>FALSE</v>
      </c>
      <c r="N76" s="6" cm="1">
        <f t="array" aca="1" ref="N76" ca="1">_FV(table1[[#This Row],[DataField]],"Market cap",TRUE)</f>
        <v>29465964000</v>
      </c>
    </row>
    <row r="77" spans="1:14" x14ac:dyDescent="0.2">
      <c r="A77" t="e" vm="77">
        <v>#VALUE!</v>
      </c>
      <c r="B77" t="str" cm="1">
        <f t="array" aca="1" ref="B77" ca="1">_FV(table1[[#This Row],[DataField]],"Ticker symbol",TRUE)</f>
        <v>QCOM</v>
      </c>
      <c r="H77" s="2" cm="1">
        <f t="array" aca="1" ref="H77" ca="1">_FV(table1[[#This Row],[DataField]],"Price")</f>
        <v>140.69999999999999</v>
      </c>
      <c r="I77" s="2" cm="1">
        <f t="array" aca="1" ref="I77" ca="1">_FV(table1[[#This Row],[DataField]],"52 week low",TRUE)</f>
        <v>120.8019</v>
      </c>
      <c r="J77" s="2" cm="1">
        <f t="array" aca="1" ref="J77" ca="1">_FV(table1[[#This Row],[DataField]],"52 week high",TRUE)</f>
        <v>205.95</v>
      </c>
      <c r="K77" s="4" cm="1">
        <f t="array" aca="1" ref="K77" ca="1">_FV(table1[[#This Row],[DataField]],"P/E",TRUE)</f>
        <v>28.607099999999999</v>
      </c>
      <c r="L77" s="2" t="str">
        <f ca="1">IF(table1[[#This Row],[Price]] &lt; (table1[[#This Row],[52Low]] * 0.25) + table1[[#This Row],[52Low]],  "TRUE", "FALSE")</f>
        <v>TRUE</v>
      </c>
      <c r="M77" s="2" t="str">
        <f ca="1">IF(table1[[#This Row],[Price]] &lt; (table1[[#This Row],[52Low]] * 0.1) + table1[[#This Row],[52Low]],  "TRUE", "FALSE")</f>
        <v>FALSE</v>
      </c>
      <c r="N77" s="6" cm="1">
        <f t="array" aca="1" ref="N77" ca="1">_FV(table1[[#This Row],[DataField]],"Market cap",TRUE)</f>
        <v>150126900000</v>
      </c>
    </row>
    <row r="78" spans="1:14" x14ac:dyDescent="0.2">
      <c r="A78" t="e" vm="78">
        <v>#VALUE!</v>
      </c>
      <c r="B78" t="str" cm="1">
        <f t="array" aca="1" ref="B78" ca="1">_FV(table1[[#This Row],[DataField]],"Ticker symbol",TRUE)</f>
        <v>SBUX</v>
      </c>
      <c r="H78" s="2" cm="1">
        <f t="array" aca="1" ref="H78" ca="1">_FV(table1[[#This Row],[DataField]],"Price")</f>
        <v>93.79</v>
      </c>
      <c r="I78" s="2" cm="1">
        <f t="array" aca="1" ref="I78" ca="1">_FV(table1[[#This Row],[DataField]],"52 week low",TRUE)</f>
        <v>75.5</v>
      </c>
      <c r="J78" s="2" cm="1">
        <f t="array" aca="1" ref="J78" ca="1">_FV(table1[[#This Row],[DataField]],"52 week high",TRUE)</f>
        <v>117.46</v>
      </c>
      <c r="K78" s="4" cm="1">
        <f t="array" aca="1" ref="K78" ca="1">_FV(table1[[#This Row],[DataField]],"P/E",TRUE)</f>
        <v>80.087999999999994</v>
      </c>
      <c r="L78" s="2" t="str">
        <f ca="1">IF(table1[[#This Row],[Price]] &lt; (table1[[#This Row],[52Low]] * 0.25) + table1[[#This Row],[52Low]],  "TRUE", "FALSE")</f>
        <v>TRUE</v>
      </c>
      <c r="M78" s="7" t="str">
        <f ca="1">IF(table1[[#This Row],[Price]] &lt; (table1[[#This Row],[52Low]] * 0.1) + table1[[#This Row],[52Low]],  "TRUE", "FALSE")</f>
        <v>FALSE</v>
      </c>
      <c r="N78" s="6" cm="1">
        <f t="array" aca="1" ref="N78" ca="1">_FV(table1[[#This Row],[DataField]],"Market cap",TRUE)</f>
        <v>106854947000</v>
      </c>
    </row>
    <row r="79" spans="1:14" x14ac:dyDescent="0.2">
      <c r="A79" t="e" vm="79">
        <v>#VALUE!</v>
      </c>
      <c r="B79" t="str" cm="1">
        <f t="array" aca="1" ref="B79" ca="1">_FV(table1[[#This Row],[DataField]],"Ticker symbol",TRUE)</f>
        <v>SCHW</v>
      </c>
      <c r="H79" s="2" cm="1">
        <f t="array" aca="1" ref="H79" ca="1">_FV(table1[[#This Row],[DataField]],"Price")</f>
        <v>93.72</v>
      </c>
      <c r="I79" s="2" cm="1">
        <f t="array" aca="1" ref="I79" ca="1">_FV(table1[[#This Row],[DataField]],"52 week low",TRUE)</f>
        <v>65.88</v>
      </c>
      <c r="J79" s="2" cm="1">
        <f t="array" aca="1" ref="J79" ca="1">_FV(table1[[#This Row],[DataField]],"52 week high",TRUE)</f>
        <v>107.5</v>
      </c>
      <c r="K79" s="4" cm="1">
        <f t="array" aca="1" ref="K79" ca="1">_FV(table1[[#This Row],[DataField]],"P/E",TRUE)</f>
        <v>20.326000000000001</v>
      </c>
      <c r="L79" s="2" t="str">
        <f ca="1">IF(table1[[#This Row],[Price]] &lt; (table1[[#This Row],[52Low]] * 0.25) + table1[[#This Row],[52Low]],  "TRUE", "FALSE")</f>
        <v>FALSE</v>
      </c>
      <c r="M79" s="2" t="str">
        <f ca="1">IF(table1[[#This Row],[Price]] &lt; (table1[[#This Row],[52Low]] * 0.1) + table1[[#This Row],[52Low]],  "TRUE", "FALSE")</f>
        <v>FALSE</v>
      </c>
      <c r="N79" s="6" cm="1">
        <f t="array" aca="1" ref="N79" ca="1">_FV(table1[[#This Row],[DataField]],"Market cap",TRUE)</f>
        <v>166534535640</v>
      </c>
    </row>
    <row r="80" spans="1:14" x14ac:dyDescent="0.2">
      <c r="A80" t="e" vm="80">
        <v>#VALUE!</v>
      </c>
      <c r="B80" t="str" cm="1">
        <f t="array" aca="1" ref="B80" ca="1">_FV(table1[[#This Row],[DataField]],"Ticker symbol",TRUE)</f>
        <v>SHW</v>
      </c>
      <c r="H80" s="2" cm="1">
        <f t="array" aca="1" ref="H80" ca="1">_FV(table1[[#This Row],[DataField]],"Price")</f>
        <v>368.89</v>
      </c>
      <c r="I80" s="2" cm="1">
        <f t="array" aca="1" ref="I80" ca="1">_FV(table1[[#This Row],[DataField]],"52 week low",TRUE)</f>
        <v>308.83999999999997</v>
      </c>
      <c r="J80" s="2" cm="1">
        <f t="array" aca="1" ref="J80" ca="1">_FV(table1[[#This Row],[DataField]],"52 week high",TRUE)</f>
        <v>379.65</v>
      </c>
      <c r="K80" s="4" cm="1">
        <f t="array" aca="1" ref="K80" ca="1">_FV(table1[[#This Row],[DataField]],"P/E",TRUE)</f>
        <v>36.324300000000001</v>
      </c>
      <c r="L80" s="2" t="str">
        <f ca="1">IF(table1[[#This Row],[Price]] &lt; (table1[[#This Row],[52Low]] * 0.25) + table1[[#This Row],[52Low]],  "TRUE", "FALSE")</f>
        <v>TRUE</v>
      </c>
      <c r="M80" s="2" t="str">
        <f ca="1">IF(table1[[#This Row],[Price]] &lt; (table1[[#This Row],[52Low]] * 0.1) + table1[[#This Row],[52Low]],  "TRUE", "FALSE")</f>
        <v>FALSE</v>
      </c>
      <c r="N80" s="6" cm="1">
        <f t="array" aca="1" ref="N80" ca="1">_FV(table1[[#This Row],[DataField]],"Market cap",TRUE)</f>
        <v>91445433215</v>
      </c>
    </row>
    <row r="81" spans="1:14" x14ac:dyDescent="0.2">
      <c r="A81" t="e" vm="81">
        <v>#VALUE!</v>
      </c>
      <c r="B81" t="str" cm="1">
        <f t="array" aca="1" ref="B81" ca="1">_FV(table1[[#This Row],[DataField]],"Ticker symbol",TRUE)</f>
        <v>SJM</v>
      </c>
      <c r="C81" t="b">
        <v>1</v>
      </c>
      <c r="D81" t="s">
        <v>5</v>
      </c>
      <c r="E81" t="b">
        <v>0</v>
      </c>
      <c r="H81" s="2" cm="1">
        <f t="array" aca="1" ref="H81" ca="1">_FV(table1[[#This Row],[DataField]],"Price")</f>
        <v>110.515</v>
      </c>
      <c r="I81" s="2" cm="1">
        <f t="array" aca="1" ref="I81" ca="1">_FV(table1[[#This Row],[DataField]],"52 week low",TRUE)</f>
        <v>93.3</v>
      </c>
      <c r="J81" s="2" cm="1">
        <f t="array" aca="1" ref="J81" ca="1">_FV(table1[[#This Row],[DataField]],"52 week high",TRUE)</f>
        <v>121.48</v>
      </c>
      <c r="K81" s="4" cm="1">
        <f t="array" aca="1" ref="K81" ca="1">_FV(table1[[#This Row],[DataField]],"P/E",TRUE)</f>
        <v>0</v>
      </c>
      <c r="L81" s="2" t="str">
        <f ca="1">IF(table1[[#This Row],[Price]] &lt; (table1[[#This Row],[52Low]] * 0.25) + table1[[#This Row],[52Low]],  "TRUE", "FALSE")</f>
        <v>TRUE</v>
      </c>
      <c r="M81" s="2" t="str">
        <f ca="1">IF(table1[[#This Row],[Price]] &lt; (table1[[#This Row],[52Low]] * 0.1) + table1[[#This Row],[52Low]],  "TRUE", "FALSE")</f>
        <v>FALSE</v>
      </c>
      <c r="N81" s="6" cm="1">
        <f t="array" aca="1" ref="N81" ca="1">_FV(table1[[#This Row],[DataField]],"Market cap",TRUE)</f>
        <v>11791320564</v>
      </c>
    </row>
    <row r="82" spans="1:14" x14ac:dyDescent="0.2">
      <c r="A82" t="e" vm="82">
        <v>#VALUE!</v>
      </c>
      <c r="B82" t="str" cm="1">
        <f t="array" aca="1" ref="B82" ca="1">_FV(table1[[#This Row],[DataField]],"Ticker symbol",TRUE)</f>
        <v>SNA</v>
      </c>
      <c r="H82" s="2" cm="1">
        <f t="array" aca="1" ref="H82" ca="1">_FV(table1[[#This Row],[DataField]],"Price")</f>
        <v>384.61</v>
      </c>
      <c r="I82" s="2" cm="1">
        <f t="array" aca="1" ref="I82" ca="1">_FV(table1[[#This Row],[DataField]],"52 week low",TRUE)</f>
        <v>289.81</v>
      </c>
      <c r="J82" s="2" cm="1">
        <f t="array" aca="1" ref="J82" ca="1">_FV(table1[[#This Row],[DataField]],"52 week high",TRUE)</f>
        <v>390.13</v>
      </c>
      <c r="K82" s="4" cm="1">
        <f t="array" aca="1" ref="K82" ca="1">_FV(table1[[#This Row],[DataField]],"P/E",TRUE)</f>
        <v>19.729700000000001</v>
      </c>
      <c r="L82" s="2" t="str">
        <f ca="1">IF(table1[[#This Row],[Price]] &lt; (table1[[#This Row],[52Low]] * 0.25) + table1[[#This Row],[52Low]],  "TRUE", "FALSE")</f>
        <v>FALSE</v>
      </c>
      <c r="M82" s="2" t="str">
        <f ca="1">IF(table1[[#This Row],[Price]] &lt; (table1[[#This Row],[52Low]] * 0.1) + table1[[#This Row],[52Low]],  "TRUE", "FALSE")</f>
        <v>FALSE</v>
      </c>
      <c r="N82" s="6" cm="1">
        <f t="array" aca="1" ref="N82" ca="1">_FV(table1[[#This Row],[DataField]],"Market cap",TRUE)</f>
        <v>19966305083</v>
      </c>
    </row>
    <row r="83" spans="1:14" x14ac:dyDescent="0.2">
      <c r="A83" t="e" vm="83">
        <v>#VALUE!</v>
      </c>
      <c r="B83" t="str" cm="1">
        <f t="array" aca="1" ref="B83" ca="1">_FV(table1[[#This Row],[DataField]],"Ticker symbol",TRUE)</f>
        <v>SO</v>
      </c>
      <c r="H83" s="2" cm="1">
        <f t="array" aca="1" ref="H83" ca="1">_FV(table1[[#This Row],[DataField]],"Price")</f>
        <v>94.944999999999993</v>
      </c>
      <c r="I83" s="2" cm="1">
        <f t="array" aca="1" ref="I83" ca="1">_FV(table1[[#This Row],[DataField]],"52 week low",TRUE)</f>
        <v>83.09</v>
      </c>
      <c r="J83" s="2" cm="1">
        <f t="array" aca="1" ref="J83" ca="1">_FV(table1[[#This Row],[DataField]],"52 week high",TRUE)</f>
        <v>100.83499999999999</v>
      </c>
      <c r="K83" s="4" cm="1">
        <f t="array" aca="1" ref="K83" ca="1">_FV(table1[[#This Row],[DataField]],"P/E",TRUE)</f>
        <v>22.982199999999999</v>
      </c>
      <c r="L83" s="2" t="str">
        <f ca="1">IF(table1[[#This Row],[Price]] &lt; (table1[[#This Row],[52Low]] * 0.25) + table1[[#This Row],[52Low]],  "TRUE", "FALSE")</f>
        <v>TRUE</v>
      </c>
      <c r="M83" s="2" t="str">
        <f ca="1">IF(table1[[#This Row],[Price]] &lt; (table1[[#This Row],[52Low]] * 0.1) + table1[[#This Row],[52Low]],  "TRUE", "FALSE")</f>
        <v>FALSE</v>
      </c>
      <c r="N83" s="6" cm="1">
        <f t="array" aca="1" ref="N83" ca="1">_FV(table1[[#This Row],[DataField]],"Market cap",TRUE)</f>
        <v>104544414225</v>
      </c>
    </row>
    <row r="84" spans="1:14" x14ac:dyDescent="0.2">
      <c r="A84" t="e" vm="84">
        <v>#VALUE!</v>
      </c>
      <c r="B84" t="str" cm="1">
        <f t="array" aca="1" ref="B84" ca="1">_FV(table1[[#This Row],[DataField]],"Ticker symbol",TRUE)</f>
        <v>SPG</v>
      </c>
      <c r="C84" t="b">
        <v>1</v>
      </c>
      <c r="D84" t="s">
        <v>14</v>
      </c>
      <c r="E84" t="b">
        <v>1</v>
      </c>
      <c r="H84" s="2" cm="1">
        <f t="array" aca="1" ref="H84" ca="1">_FV(table1[[#This Row],[DataField]],"Price")</f>
        <v>196.84</v>
      </c>
      <c r="I84" s="2" cm="1">
        <f t="array" aca="1" ref="I84" ca="1">_FV(table1[[#This Row],[DataField]],"52 week low",TRUE)</f>
        <v>136.34</v>
      </c>
      <c r="J84" s="2" cm="1">
        <f t="array" aca="1" ref="J84" ca="1">_FV(table1[[#This Row],[DataField]],"52 week high",TRUE)</f>
        <v>201.4</v>
      </c>
      <c r="K84" s="4" cm="1">
        <f t="array" aca="1" ref="K84" ca="1">_FV(table1[[#This Row],[DataField]],"P/E",TRUE)</f>
        <v>13.506500000000001</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67529642908</v>
      </c>
    </row>
    <row r="85" spans="1:14" x14ac:dyDescent="0.2">
      <c r="A85" t="e" vm="85">
        <v>#VALUE!</v>
      </c>
      <c r="B85" t="str" cm="1">
        <f t="array" aca="1" ref="B85" ca="1">_FV(table1[[#This Row],[DataField]],"Ticker symbol",TRUE)</f>
        <v>SPGI</v>
      </c>
      <c r="H85" s="2" cm="1">
        <f t="array" aca="1" ref="H85" ca="1">_FV(table1[[#This Row],[DataField]],"Price")</f>
        <v>409.54</v>
      </c>
      <c r="I85" s="2" cm="1">
        <f t="array" aca="1" ref="I85" ca="1">_FV(table1[[#This Row],[DataField]],"52 week low",TRUE)</f>
        <v>381.60500000000002</v>
      </c>
      <c r="J85" s="2" cm="1">
        <f t="array" aca="1" ref="J85" ca="1">_FV(table1[[#This Row],[DataField]],"52 week high",TRUE)</f>
        <v>579.04999999999995</v>
      </c>
      <c r="K85" s="4" cm="1">
        <f t="array" aca="1" ref="K85" ca="1">_FV(table1[[#This Row],[DataField]],"P/E",TRUE)</f>
        <v>27.093499999999999</v>
      </c>
      <c r="L85" s="2" t="str">
        <f ca="1">IF(table1[[#This Row],[Price]] &lt; (table1[[#This Row],[52Low]] * 0.25) + table1[[#This Row],[52Low]],  "TRUE", "FALSE")</f>
        <v>TRUE</v>
      </c>
      <c r="M85" s="2" t="str">
        <f ca="1">IF(table1[[#This Row],[Price]] &lt; (table1[[#This Row],[52Low]] * 0.1) + table1[[#This Row],[52Low]],  "TRUE", "FALSE")</f>
        <v>TRUE</v>
      </c>
      <c r="N85" s="6" cm="1">
        <f t="array" aca="1" ref="N85" ca="1">_FV(table1[[#This Row],[DataField]],"Market cap",TRUE)</f>
        <v>122370552000</v>
      </c>
    </row>
    <row r="86" spans="1:14" x14ac:dyDescent="0.2">
      <c r="A86" t="e" vm="86">
        <v>#VALUE!</v>
      </c>
      <c r="B86" t="str" cm="1">
        <f t="array" aca="1" ref="B86" ca="1">_FV(table1[[#This Row],[DataField]],"Ticker symbol",TRUE)</f>
        <v>T</v>
      </c>
      <c r="C86" t="b">
        <v>1</v>
      </c>
      <c r="D86" t="s">
        <v>10</v>
      </c>
      <c r="E86" t="b">
        <v>1</v>
      </c>
      <c r="H86" s="2" cm="1">
        <f t="array" aca="1" ref="H86" ca="1">_FV(table1[[#This Row],[DataField]],"Price")</f>
        <v>28.69</v>
      </c>
      <c r="I86" s="2" cm="1">
        <f t="array" aca="1" ref="I86" ca="1">_FV(table1[[#This Row],[DataField]],"52 week low",TRUE)</f>
        <v>22.95</v>
      </c>
      <c r="J86" s="2" cm="1">
        <f t="array" aca="1" ref="J86" ca="1">_FV(table1[[#This Row],[DataField]],"52 week high",TRUE)</f>
        <v>29.79</v>
      </c>
      <c r="K86" s="4" cm="1">
        <f t="array" aca="1" ref="K86" ca="1">_FV(table1[[#This Row],[DataField]],"P/E",TRUE)</f>
        <v>9.4390000000000001</v>
      </c>
      <c r="L86" s="2" t="str">
        <f ca="1">IF(table1[[#This Row],[Price]] &lt; (table1[[#This Row],[52Low]] * 0.25) + table1[[#This Row],[52Low]],  "TRUE", "FALSE")</f>
        <v>FALSE</v>
      </c>
      <c r="M86" s="2" t="str">
        <f ca="1">IF(table1[[#This Row],[Price]] &lt; (table1[[#This Row],[52Low]] * 0.1) + table1[[#This Row],[52Low]],  "TRUE", "FALSE")</f>
        <v>FALSE</v>
      </c>
      <c r="N86" s="6" cm="1">
        <f t="array" aca="1" ref="N86" ca="1">_FV(table1[[#This Row],[DataField]],"Market cap",TRUE)</f>
        <v>200846554130</v>
      </c>
    </row>
    <row r="87" spans="1:14" x14ac:dyDescent="0.2">
      <c r="A87" t="e" vm="87">
        <v>#VALUE!</v>
      </c>
      <c r="B87" t="str" cm="1">
        <f t="array" aca="1" ref="B87" ca="1">_FV(table1[[#This Row],[DataField]],"Ticker symbol",TRUE)</f>
        <v>TGT</v>
      </c>
      <c r="H87" s="2" cm="1">
        <f t="array" aca="1" ref="H87" ca="1">_FV(table1[[#This Row],[DataField]],"Price")</f>
        <v>115.73</v>
      </c>
      <c r="I87" s="2" cm="1">
        <f t="array" aca="1" ref="I87" ca="1">_FV(table1[[#This Row],[DataField]],"52 week low",TRUE)</f>
        <v>83.44</v>
      </c>
      <c r="J87" s="2" cm="1">
        <f t="array" aca="1" ref="J87" ca="1">_FV(table1[[#This Row],[DataField]],"52 week high",TRUE)</f>
        <v>131.69999999999999</v>
      </c>
      <c r="K87" s="4" cm="1">
        <f t="array" aca="1" ref="K87" ca="1">_FV(table1[[#This Row],[DataField]],"P/E",TRUE)</f>
        <v>13.6738</v>
      </c>
      <c r="L87" s="2" t="str">
        <f ca="1">IF(table1[[#This Row],[Price]] &lt; (table1[[#This Row],[52Low]] * 0.25) + table1[[#This Row],[52Low]],  "TRUE", "FALSE")</f>
        <v>FALSE</v>
      </c>
      <c r="M87" s="2" t="str">
        <f ca="1">IF(table1[[#This Row],[Price]] &lt; (table1[[#This Row],[52Low]] * 0.1) + table1[[#This Row],[52Low]],  "TRUE", "FALSE")</f>
        <v>FALSE</v>
      </c>
      <c r="N87" s="6" cm="1">
        <f t="array" aca="1" ref="N87" ca="1">_FV(table1[[#This Row],[DataField]],"Market cap",TRUE)</f>
        <v>52403284672</v>
      </c>
    </row>
    <row r="88" spans="1:14" x14ac:dyDescent="0.2">
      <c r="A88" t="e" vm="88">
        <v>#VALUE!</v>
      </c>
      <c r="B88" t="str" cm="1">
        <f t="array" aca="1" ref="B88" ca="1">_FV(table1[[#This Row],[DataField]],"Ticker symbol",TRUE)</f>
        <v>TROW</v>
      </c>
      <c r="C88" t="b">
        <v>1</v>
      </c>
      <c r="D88" t="s">
        <v>8</v>
      </c>
      <c r="E88" t="b">
        <v>1</v>
      </c>
      <c r="H88" s="2" cm="1">
        <f t="array" aca="1" ref="H88" ca="1">_FV(table1[[#This Row],[DataField]],"Price")</f>
        <v>93.76</v>
      </c>
      <c r="I88" s="2" cm="1">
        <f t="array" aca="1" ref="I88" ca="1">_FV(table1[[#This Row],[DataField]],"52 week low",TRUE)</f>
        <v>77.849999999999994</v>
      </c>
      <c r="J88" s="2" cm="1">
        <f t="array" aca="1" ref="J88" ca="1">_FV(table1[[#This Row],[DataField]],"52 week high",TRUE)</f>
        <v>118.22</v>
      </c>
      <c r="K88" s="4" cm="1">
        <f t="array" aca="1" ref="K88" ca="1">_FV(table1[[#This Row],[DataField]],"P/E",TRUE)</f>
        <v>10.076000000000001</v>
      </c>
      <c r="L88" s="2" t="str">
        <f ca="1">IF(table1[[#This Row],[Price]] &lt; (table1[[#This Row],[52Low]] * 0.25) + table1[[#This Row],[52Low]],  "TRUE", "FALSE")</f>
        <v>TRUE</v>
      </c>
      <c r="M88" s="2" t="str">
        <f ca="1">IF(table1[[#This Row],[Price]] &lt; (table1[[#This Row],[52Low]] * 0.1) + table1[[#This Row],[52Low]],  "TRUE", "FALSE")</f>
        <v>FALSE</v>
      </c>
      <c r="N88" s="6" cm="1">
        <f t="array" aca="1" ref="N88" ca="1">_FV(table1[[#This Row],[DataField]],"Market cap",TRUE)</f>
        <v>20495936000</v>
      </c>
    </row>
    <row r="89" spans="1:14" ht="18" customHeight="1" x14ac:dyDescent="0.2">
      <c r="A89" t="e" vm="89">
        <v>#VALUE!</v>
      </c>
      <c r="B89" t="str" cm="1">
        <f t="array" aca="1" ref="B89" ca="1">_FV(table1[[#This Row],[DataField]],"Ticker symbol",TRUE)</f>
        <v>TSCO</v>
      </c>
      <c r="H89" s="2" cm="1">
        <f t="array" aca="1" ref="H89" ca="1">_FV(table1[[#This Row],[DataField]],"Price")</f>
        <v>55.03</v>
      </c>
      <c r="I89" s="2" cm="1">
        <f t="array" aca="1" ref="I89" ca="1">_FV(table1[[#This Row],[DataField]],"52 week low",TRUE)</f>
        <v>46.8504</v>
      </c>
      <c r="J89" s="2" cm="1">
        <f t="array" aca="1" ref="J89" ca="1">_FV(table1[[#This Row],[DataField]],"52 week high",TRUE)</f>
        <v>63.989899999999999</v>
      </c>
      <c r="K89" s="4" cm="1">
        <f t="array" aca="1" ref="K89" ca="1">_FV(table1[[#This Row],[DataField]],"P/E",TRUE)</f>
        <v>26.413399999999999</v>
      </c>
      <c r="L89" s="2" t="str">
        <f ca="1">IF(table1[[#This Row],[Price]] &lt; (table1[[#This Row],[52Low]] * 0.25) + table1[[#This Row],[52Low]],  "TRUE", "FALSE")</f>
        <v>TRUE</v>
      </c>
      <c r="M89" s="7" t="str">
        <f ca="1">IF(table1[[#This Row],[Price]] &lt; (table1[[#This Row],[52Low]] * 0.1) + table1[[#This Row],[52Low]],  "TRUE", "FALSE")</f>
        <v>FALSE</v>
      </c>
      <c r="N89" s="6" cm="1">
        <f t="array" aca="1" ref="N89" ca="1">_FV(table1[[#This Row],[DataField]],"Market cap",TRUE)</f>
        <v>29078050108</v>
      </c>
    </row>
    <row r="90" spans="1:14" x14ac:dyDescent="0.2">
      <c r="A90" t="e" vm="90">
        <v>#VALUE!</v>
      </c>
      <c r="B90" t="str" cm="1">
        <f t="array" aca="1" ref="B90" ca="1">_FV(table1[[#This Row],[DataField]],"Ticker symbol",TRUE)</f>
        <v>TSM</v>
      </c>
      <c r="H90" s="2" cm="1">
        <f t="array" aca="1" ref="H90" ca="1">_FV(table1[[#This Row],[DataField]],"Price")</f>
        <v>366.36</v>
      </c>
      <c r="I90" s="2" cm="1">
        <f t="array" aca="1" ref="I90" ca="1">_FV(table1[[#This Row],[DataField]],"52 week low",TRUE)</f>
        <v>134.25</v>
      </c>
      <c r="J90" s="2" cm="1">
        <f t="array" aca="1" ref="J90" ca="1">_FV(table1[[#This Row],[DataField]],"52 week high",TRUE)</f>
        <v>380</v>
      </c>
      <c r="K90" s="4" cm="1">
        <f t="array" aca="1" ref="K90" ca="1">_FV(table1[[#This Row],[DataField]],"P/E",TRUE)</f>
        <v>34.817999999999998</v>
      </c>
      <c r="L90" s="2" t="str">
        <f ca="1">IF(table1[[#This Row],[Price]] &lt; (table1[[#This Row],[52Low]] * 0.25) + table1[[#This Row],[52Low]],  "TRUE", "FALSE")</f>
        <v>FALSE</v>
      </c>
      <c r="M90" s="2" t="str">
        <f ca="1">IF(table1[[#This Row],[Price]] &lt; (table1[[#This Row],[52Low]] * 0.1) + table1[[#This Row],[52Low]],  "TRUE", "FALSE")</f>
        <v>FALSE</v>
      </c>
      <c r="N90" s="6" cm="1">
        <f t="array" aca="1" ref="N90" ca="1">_FV(table1[[#This Row],[DataField]],"Market cap",TRUE)</f>
        <v>1900127971800</v>
      </c>
    </row>
    <row r="91" spans="1:14" x14ac:dyDescent="0.2">
      <c r="A91" t="e" vm="91">
        <v>#VALUE!</v>
      </c>
      <c r="B91" t="str" cm="1">
        <f t="array" aca="1" ref="B91" ca="1">_FV(table1[[#This Row],[DataField]],"Ticker symbol",TRUE)</f>
        <v>TSN</v>
      </c>
      <c r="C91" t="b">
        <v>1</v>
      </c>
      <c r="D91" t="s">
        <v>5</v>
      </c>
      <c r="E91" t="b">
        <v>1</v>
      </c>
      <c r="H91" s="2" cm="1">
        <f t="array" aca="1" ref="H91" ca="1">_FV(table1[[#This Row],[DataField]],"Price")</f>
        <v>63.92</v>
      </c>
      <c r="I91" s="2" cm="1">
        <f t="array" aca="1" ref="I91" ca="1">_FV(table1[[#This Row],[DataField]],"52 week low",TRUE)</f>
        <v>50.56</v>
      </c>
      <c r="J91" s="2" cm="1">
        <f t="array" aca="1" ref="J91" ca="1">_FV(table1[[#This Row],[DataField]],"52 week high",TRUE)</f>
        <v>66.41</v>
      </c>
      <c r="K91" s="4" cm="1">
        <f t="array" aca="1" ref="K91" ca="1">_FV(table1[[#This Row],[DataField]],"P/E",TRUE)</f>
        <v>111.01949999999999</v>
      </c>
      <c r="L91" s="2" t="str">
        <f ca="1">IF(table1[[#This Row],[Price]] &lt; (table1[[#This Row],[52Low]] * 0.25) + table1[[#This Row],[52Low]],  "TRUE", "FALSE")</f>
        <v>FALSE</v>
      </c>
      <c r="M91" s="2" t="str">
        <f ca="1">IF(table1[[#This Row],[Price]] &lt; (table1[[#This Row],[52Low]] * 0.1) + table1[[#This Row],[52Low]],  "TRUE", "FALSE")</f>
        <v>FALSE</v>
      </c>
      <c r="N91" s="6" cm="1">
        <f t="array" aca="1" ref="N91" ca="1">_FV(table1[[#This Row],[DataField]],"Market cap",TRUE)</f>
        <v>22504889680</v>
      </c>
    </row>
    <row r="92" spans="1:14" x14ac:dyDescent="0.2">
      <c r="A92" t="e" vm="92">
        <v>#VALUE!</v>
      </c>
      <c r="B92" t="str" cm="1">
        <f t="array" aca="1" ref="B92" ca="1">_FV(table1[[#This Row],[DataField]],"Ticker symbol",TRUE)</f>
        <v>TXN</v>
      </c>
      <c r="C92" t="b">
        <v>1</v>
      </c>
      <c r="D92" t="s">
        <v>6</v>
      </c>
      <c r="E92" t="b">
        <v>1</v>
      </c>
      <c r="H92" s="2" cm="1">
        <f t="array" aca="1" ref="H92" ca="1">_FV(table1[[#This Row],[DataField]],"Price")</f>
        <v>226.16</v>
      </c>
      <c r="I92" s="2" cm="1">
        <f t="array" aca="1" ref="I92" ca="1">_FV(table1[[#This Row],[DataField]],"52 week low",TRUE)</f>
        <v>139.94999999999999</v>
      </c>
      <c r="J92" s="2" cm="1">
        <f t="array" aca="1" ref="J92" ca="1">_FV(table1[[#This Row],[DataField]],"52 week high",TRUE)</f>
        <v>231.32</v>
      </c>
      <c r="K92" s="4" cm="1">
        <f t="array" aca="1" ref="K92" ca="1">_FV(table1[[#This Row],[DataField]],"P/E",TRUE)</f>
        <v>40.692500000000003</v>
      </c>
      <c r="L92" s="2" t="str">
        <f ca="1">IF(table1[[#This Row],[Price]] &lt; (table1[[#This Row],[52Low]] * 0.25) + table1[[#This Row],[52Low]],  "TRUE", "FALSE")</f>
        <v>FALSE</v>
      </c>
      <c r="M92" s="2" t="str">
        <f ca="1">IF(table1[[#This Row],[Price]] &lt; (table1[[#This Row],[52Low]] * 0.1) + table1[[#This Row],[52Low]],  "TRUE", "FALSE")</f>
        <v>FALSE</v>
      </c>
      <c r="N92" s="6" cm="1">
        <f t="array" aca="1" ref="N92" ca="1">_FV(table1[[#This Row],[DataField]],"Market cap",TRUE)</f>
        <v>205251688928</v>
      </c>
    </row>
    <row r="93" spans="1:14" x14ac:dyDescent="0.2">
      <c r="A93" t="e" vm="93">
        <v>#VALUE!</v>
      </c>
      <c r="B93" t="str" cm="1">
        <f t="array" aca="1" ref="B93" ca="1">_FV(table1[[#This Row],[DataField]],"Ticker symbol",TRUE)</f>
        <v>UNH</v>
      </c>
      <c r="H93" s="2" cm="1">
        <f t="array" aca="1" ref="H93" ca="1">_FV(table1[[#This Row],[DataField]],"Price")</f>
        <v>246.2</v>
      </c>
      <c r="I93" s="2" cm="1">
        <f t="array" aca="1" ref="I93" ca="1">_FV(table1[[#This Row],[DataField]],"52 week low",TRUE)</f>
        <v>168.42</v>
      </c>
      <c r="J93" s="2" cm="1">
        <f t="array" aca="1" ref="J93" ca="1">_FV(table1[[#This Row],[DataField]],"52 week high",TRUE)</f>
        <v>589.70000000000005</v>
      </c>
      <c r="K93" s="4" cm="1">
        <f t="array" aca="1" ref="K93" ca="1">_FV(table1[[#This Row],[DataField]],"P/E",TRUE)</f>
        <v>20.89</v>
      </c>
      <c r="L93" s="2" t="str">
        <f ca="1">IF(table1[[#This Row],[Price]] &lt; (table1[[#This Row],[52Low]] * 0.25) + table1[[#This Row],[52Low]],  "TRUE", "FALSE")</f>
        <v>FALSE</v>
      </c>
      <c r="M93" s="2" t="str">
        <f ca="1">IF(table1[[#This Row],[Price]] &lt; (table1[[#This Row],[52Low]] * 0.1) + table1[[#This Row],[52Low]],  "TRUE", "FALSE")</f>
        <v>FALSE</v>
      </c>
      <c r="N93" s="6" cm="1">
        <f t="array" aca="1" ref="N93" ca="1">_FV(table1[[#This Row],[DataField]],"Market cap",TRUE)</f>
        <v>302486700000</v>
      </c>
    </row>
    <row r="94" spans="1:14" x14ac:dyDescent="0.2">
      <c r="A94" t="e" vm="94">
        <v>#VALUE!</v>
      </c>
      <c r="B94" t="str" cm="1">
        <f t="array" aca="1" ref="B94" ca="1">_FV(table1[[#This Row],[DataField]],"Ticker symbol",TRUE)</f>
        <v>UNP</v>
      </c>
      <c r="H94" s="2" cm="1">
        <f t="array" aca="1" ref="H94" ca="1">_FV(table1[[#This Row],[DataField]],"Price")</f>
        <v>260.64</v>
      </c>
      <c r="I94" s="2" cm="1">
        <f t="array" aca="1" ref="I94" ca="1">_FV(table1[[#This Row],[DataField]],"52 week low",TRUE)</f>
        <v>204.66</v>
      </c>
      <c r="J94" s="2" cm="1">
        <f t="array" aca="1" ref="J94" ca="1">_FV(table1[[#This Row],[DataField]],"52 week high",TRUE)</f>
        <v>265.37</v>
      </c>
      <c r="K94" s="4" cm="1">
        <f t="array" aca="1" ref="K94" ca="1">_FV(table1[[#This Row],[DataField]],"P/E",TRUE)</f>
        <v>21.8445</v>
      </c>
      <c r="L94" s="2" t="str">
        <f ca="1">IF(table1[[#This Row],[Price]] &lt; (table1[[#This Row],[52Low]] * 0.25) + table1[[#This Row],[52Low]],  "TRUE", "FALSE")</f>
        <v>FALSE</v>
      </c>
      <c r="M94" s="2" t="str">
        <f ca="1">IF(table1[[#This Row],[Price]] &lt; (table1[[#This Row],[52Low]] * 0.1) + table1[[#This Row],[52Low]],  "TRUE", "FALSE")</f>
        <v>FALSE</v>
      </c>
      <c r="N94" s="6" cm="1">
        <f t="array" aca="1" ref="N94" ca="1">_FV(table1[[#This Row],[DataField]],"Market cap",TRUE)</f>
        <v>154661560560</v>
      </c>
    </row>
    <row r="95" spans="1:14" x14ac:dyDescent="0.2">
      <c r="A95" t="e" vm="95">
        <v>#VALUE!</v>
      </c>
      <c r="B95" t="str" cm="1">
        <f t="array" aca="1" ref="B95" ca="1">_FV(table1[[#This Row],[DataField]],"Ticker symbol",TRUE)</f>
        <v>UPS</v>
      </c>
      <c r="C95" t="b">
        <v>1</v>
      </c>
      <c r="D95" t="s">
        <v>12</v>
      </c>
      <c r="E95" t="b">
        <v>1</v>
      </c>
      <c r="H95" s="2" cm="1">
        <f t="array" aca="1" ref="H95" ca="1">_FV(table1[[#This Row],[DataField]],"Price")</f>
        <v>119.22</v>
      </c>
      <c r="I95" s="2" cm="1">
        <f t="array" aca="1" ref="I95" ca="1">_FV(table1[[#This Row],[DataField]],"52 week low",TRUE)</f>
        <v>82</v>
      </c>
      <c r="J95" s="2" cm="1">
        <f t="array" aca="1" ref="J95" ca="1">_FV(table1[[#This Row],[DataField]],"52 week high",TRUE)</f>
        <v>123.7</v>
      </c>
      <c r="K95" s="4" cm="1">
        <f t="array" aca="1" ref="K95" ca="1">_FV(table1[[#This Row],[DataField]],"P/E",TRUE)</f>
        <v>17.997399999999999</v>
      </c>
      <c r="L95" s="2" t="str">
        <f ca="1">IF(table1[[#This Row],[Price]] &lt; (table1[[#This Row],[52Low]] * 0.25) + table1[[#This Row],[52Low]],  "TRUE", "FALSE")</f>
        <v>FALSE</v>
      </c>
      <c r="M95" s="2" t="str">
        <f ca="1">IF(table1[[#This Row],[Price]] &lt; (table1[[#This Row],[52Low]] * 0.1) + table1[[#This Row],[52Low]],  "TRUE", "FALSE")</f>
        <v>FALSE</v>
      </c>
      <c r="N95" s="6" cm="1">
        <f t="array" aca="1" ref="N95" ca="1">_FV(table1[[#This Row],[DataField]],"Market cap",TRUE)</f>
        <v>101144531232</v>
      </c>
    </row>
    <row r="96" spans="1:14" x14ac:dyDescent="0.2">
      <c r="A96" t="e" vm="96">
        <v>#VALUE!</v>
      </c>
      <c r="B96" t="str" cm="1">
        <f t="array" aca="1" ref="B96" ca="1">_FV(table1[[#This Row],[DataField]],"Ticker symbol",TRUE)</f>
        <v>V</v>
      </c>
      <c r="H96" s="2" cm="1">
        <f t="array" aca="1" ref="H96" ca="1">_FV(table1[[#This Row],[DataField]],"Price")</f>
        <v>314.08</v>
      </c>
      <c r="I96" s="2" cm="1">
        <f t="array" aca="1" ref="I96" ca="1">_FV(table1[[#This Row],[DataField]],"52 week low",TRUE)</f>
        <v>299</v>
      </c>
      <c r="J96" s="2" cm="1">
        <f t="array" aca="1" ref="J96" ca="1">_FV(table1[[#This Row],[DataField]],"52 week high",TRUE)</f>
        <v>375.51</v>
      </c>
      <c r="K96" s="4" cm="1">
        <f t="array" aca="1" ref="K96" ca="1">_FV(table1[[#This Row],[DataField]],"P/E",TRUE)</f>
        <v>30.419499999999999</v>
      </c>
      <c r="L96" s="2" t="str">
        <f ca="1">IF(table1[[#This Row],[Price]] &lt; (table1[[#This Row],[52Low]] * 0.25) + table1[[#This Row],[52Low]],  "TRUE", "FALSE")</f>
        <v>TRUE</v>
      </c>
      <c r="M96" s="2" t="str">
        <f ca="1">IF(table1[[#This Row],[Price]] &lt; (table1[[#This Row],[52Low]] * 0.1) + table1[[#This Row],[52Low]],  "TRUE", "FALSE")</f>
        <v>TRUE</v>
      </c>
      <c r="N96" s="6" cm="1">
        <f t="array" aca="1" ref="N96" ca="1">_FV(table1[[#This Row],[DataField]],"Market cap",TRUE)</f>
        <v>598639306720</v>
      </c>
    </row>
    <row r="97" spans="1:14" x14ac:dyDescent="0.2">
      <c r="A97" t="e" vm="97">
        <v>#VALUE!</v>
      </c>
      <c r="B97" t="str" cm="1">
        <f t="array" aca="1" ref="B97" ca="1">_FV(table1[[#This Row],[DataField]],"Ticker symbol",TRUE)</f>
        <v>VICI</v>
      </c>
      <c r="H97" s="2" cm="1">
        <f t="array" aca="1" ref="H97" ca="1">_FV(table1[[#This Row],[DataField]],"Price")</f>
        <v>29.3</v>
      </c>
      <c r="I97" s="2" cm="1">
        <f t="array" aca="1" ref="I97" ca="1">_FV(table1[[#This Row],[DataField]],"52 week low",TRUE)</f>
        <v>27.48</v>
      </c>
      <c r="J97" s="2" cm="1">
        <f t="array" aca="1" ref="J97" ca="1">_FV(table1[[#This Row],[DataField]],"52 week high",TRUE)</f>
        <v>34.03</v>
      </c>
      <c r="K97" s="4" cm="1">
        <f t="array" aca="1" ref="K97" ca="1">_FV(table1[[#This Row],[DataField]],"P/E",TRUE)</f>
        <v>11.057600000000001</v>
      </c>
      <c r="L97" s="2" t="str">
        <f ca="1">IF(table1[[#This Row],[Price]] &lt; (table1[[#This Row],[52Low]] * 0.25) + table1[[#This Row],[52Low]],  "TRUE", "FALSE")</f>
        <v>TRUE</v>
      </c>
      <c r="M97" s="7" t="str">
        <f ca="1">IF(table1[[#This Row],[Price]] &lt; (table1[[#This Row],[52Low]] * 0.1) + table1[[#This Row],[52Low]],  "TRUE", "FALSE")</f>
        <v>TRUE</v>
      </c>
      <c r="N97" s="6" cm="1">
        <f t="array" aca="1" ref="N97" ca="1">_FV(table1[[#This Row],[DataField]],"Market cap",TRUE)</f>
        <v>31316162300</v>
      </c>
    </row>
    <row r="98" spans="1:14" x14ac:dyDescent="0.2">
      <c r="A98" t="e" vm="98">
        <v>#VALUE!</v>
      </c>
      <c r="B98" t="str" cm="1">
        <f t="array" aca="1" ref="B98" ca="1">_FV(table1[[#This Row],[DataField]],"Ticker symbol",TRUE)</f>
        <v>VZ</v>
      </c>
      <c r="C98" t="b">
        <v>1</v>
      </c>
      <c r="D98" t="s">
        <v>10</v>
      </c>
      <c r="E98" t="b">
        <v>1</v>
      </c>
      <c r="H98" s="2" cm="1">
        <f t="array" aca="1" ref="H98" ca="1">_FV(table1[[#This Row],[DataField]],"Price")</f>
        <v>49.01</v>
      </c>
      <c r="I98" s="2" cm="1">
        <f t="array" aca="1" ref="I98" ca="1">_FV(table1[[#This Row],[DataField]],"52 week low",TRUE)</f>
        <v>38.39</v>
      </c>
      <c r="J98" s="2" cm="1">
        <f t="array" aca="1" ref="J98" ca="1">_FV(table1[[#This Row],[DataField]],"52 week high",TRUE)</f>
        <v>50.24</v>
      </c>
      <c r="K98" s="4" cm="1">
        <f t="array" aca="1" ref="K98" ca="1">_FV(table1[[#This Row],[DataField]],"P/E",TRUE)</f>
        <v>12.182</v>
      </c>
      <c r="L98" s="2" t="str">
        <f ca="1">IF(table1[[#This Row],[Price]] &lt; (table1[[#This Row],[52Low]] * 0.25) + table1[[#This Row],[52Low]],  "TRUE", "FALSE")</f>
        <v>FALSE</v>
      </c>
      <c r="M98" s="2" t="str">
        <f ca="1">IF(table1[[#This Row],[Price]] &lt; (table1[[#This Row],[52Low]] * 0.1) + table1[[#This Row],[52Low]],  "TRUE", "FALSE")</f>
        <v>FALSE</v>
      </c>
      <c r="N98" s="6" cm="1">
        <f t="array" aca="1" ref="N98" ca="1">_FV(table1[[#This Row],[DataField]],"Market cap",TRUE)</f>
        <v>206675170000</v>
      </c>
    </row>
    <row r="99" spans="1:14" x14ac:dyDescent="0.2">
      <c r="A99" t="e" vm="99">
        <v>#VALUE!</v>
      </c>
      <c r="B99" t="str" cm="1">
        <f t="array" aca="1" ref="B99" ca="1">_FV(table1[[#This Row],[DataField]],"Ticker symbol",TRUE)</f>
        <v>WMT</v>
      </c>
      <c r="H99" s="2" cm="1">
        <f t="array" aca="1" ref="H99" ca="1">_FV(table1[[#This Row],[DataField]],"Price")</f>
        <v>133.88999999999999</v>
      </c>
      <c r="I99" s="2" cm="1">
        <f t="array" aca="1" ref="I99" ca="1">_FV(table1[[#This Row],[DataField]],"52 week low",TRUE)</f>
        <v>79.81</v>
      </c>
      <c r="J99" s="2" cm="1">
        <f t="array" aca="1" ref="J99" ca="1">_FV(table1[[#This Row],[DataField]],"52 week high",TRUE)</f>
        <v>134.65</v>
      </c>
      <c r="K99" s="4" cm="1">
        <f t="array" aca="1" ref="K99" ca="1">_FV(table1[[#This Row],[DataField]],"P/E",TRUE)</f>
        <v>46.874000000000002</v>
      </c>
      <c r="L99" s="2" t="str">
        <f ca="1">IF(table1[[#This Row],[Price]] &lt; (table1[[#This Row],[52Low]] * 0.25) + table1[[#This Row],[52Low]],  "TRUE", "FALSE")</f>
        <v>FALSE</v>
      </c>
      <c r="M99" s="2" t="str">
        <f ca="1">IF(table1[[#This Row],[Price]] &lt; (table1[[#This Row],[52Low]] * 0.1) + table1[[#This Row],[52Low]],  "TRUE", "FALSE")</f>
        <v>FALSE</v>
      </c>
      <c r="N99" s="6" cm="1">
        <f t="array" aca="1" ref="N99" ca="1">_FV(table1[[#This Row],[DataField]],"Market cap",TRUE)</f>
        <v>1067125659629</v>
      </c>
    </row>
    <row r="100" spans="1:14" x14ac:dyDescent="0.2">
      <c r="A100" t="e" vm="100">
        <v>#VALUE!</v>
      </c>
      <c r="B100" t="str" cm="1">
        <f t="array" aca="1" ref="B100" ca="1">_FV(table1[[#This Row],[DataField]],"Ticker symbol",TRUE)</f>
        <v>XOM</v>
      </c>
      <c r="H100" s="2" cm="1">
        <f t="array" aca="1" ref="H100" ca="1">_FV(table1[[#This Row],[DataField]],"Price")</f>
        <v>148.37</v>
      </c>
      <c r="I100" s="2" cm="1">
        <f t="array" aca="1" ref="I100" ca="1">_FV(table1[[#This Row],[DataField]],"52 week low",TRUE)</f>
        <v>97.8</v>
      </c>
      <c r="J100" s="2" cm="1">
        <f t="array" aca="1" ref="J100" ca="1">_FV(table1[[#This Row],[DataField]],"52 week high",TRUE)</f>
        <v>156.93</v>
      </c>
      <c r="K100" s="4" cm="1">
        <f t="array" aca="1" ref="K100" ca="1">_FV(table1[[#This Row],[DataField]],"P/E",TRUE)</f>
        <v>22.3949</v>
      </c>
      <c r="L100" s="2" t="str">
        <f ca="1">IF(table1[[#This Row],[Price]] &lt; (table1[[#This Row],[52Low]] * 0.25) + table1[[#This Row],[52Low]],  "TRUE", "FALSE")</f>
        <v>FALSE</v>
      </c>
      <c r="M100" s="2" t="str">
        <f ca="1">IF(table1[[#This Row],[Price]] &lt; (table1[[#This Row],[52Low]] * 0.1) + table1[[#This Row],[52Low]],  "TRUE", "FALSE")</f>
        <v>FALSE</v>
      </c>
      <c r="N100" s="6" cm="1">
        <f t="array" aca="1" ref="N100" ca="1">_FV(table1[[#This Row],[DataField]],"Market cap",TRUE)</f>
        <v>620038230000</v>
      </c>
    </row>
    <row r="101" spans="1:14" x14ac:dyDescent="0.2">
      <c r="A101" t="e" vm="101">
        <v>#VALUE!</v>
      </c>
      <c r="B101" t="str" cm="1">
        <f t="array" aca="1" ref="B101" ca="1">_FV(table1[[#This Row],[DataField]],"Ticker symbol",TRUE)</f>
        <v>ZTS</v>
      </c>
      <c r="H101" s="2" cm="1">
        <f t="array" aca="1" ref="H101" ca="1">_FV(table1[[#This Row],[DataField]],"Price")</f>
        <v>126.62</v>
      </c>
      <c r="I101" s="2" cm="1">
        <f t="array" aca="1" ref="I101" ca="1">_FV(table1[[#This Row],[DataField]],"52 week low",TRUE)</f>
        <v>115.25</v>
      </c>
      <c r="J101" s="2" cm="1">
        <f t="array" aca="1" ref="J101" ca="1">_FV(table1[[#This Row],[DataField]],"52 week high",TRUE)</f>
        <v>177</v>
      </c>
      <c r="K101" s="4" cm="1">
        <f t="array" aca="1" ref="K101" ca="1">_FV(table1[[#This Row],[DataField]],"P/E",TRUE)</f>
        <v>20.863600000000002</v>
      </c>
      <c r="L101" s="2" t="str">
        <f ca="1">IF(table1[[#This Row],[Price]] &lt; (table1[[#This Row],[52Low]] * 0.25) + table1[[#This Row],[52Low]],  "TRUE", "FALSE")</f>
        <v>TRUE</v>
      </c>
      <c r="M101" s="2" t="str">
        <f ca="1">IF(table1[[#This Row],[Price]] &lt; (table1[[#This Row],[52Low]] * 0.1) + table1[[#This Row],[52Low]],  "TRUE", "FALSE")</f>
        <v>TRUE</v>
      </c>
      <c r="N101" s="6" cm="1">
        <f t="array" aca="1" ref="N101" ca="1">_FV(table1[[#This Row],[DataField]],"Market cap",TRUE)</f>
        <v>53449809374</v>
      </c>
    </row>
    <row r="102" spans="1:14" x14ac:dyDescent="0.2">
      <c r="A102" t="e" vm="102">
        <v>#VALUE!</v>
      </c>
      <c r="B102" t="str" cm="1">
        <f t="array" aca="1" ref="B102" ca="1">_FV(table1[[#This Row],[DataField]],"Ticker symbol",TRUE)</f>
        <v>NSRGY</v>
      </c>
      <c r="H102" s="2" cm="1">
        <f t="array" aca="1" ref="H102" ca="1">_FV(table1[[#This Row],[DataField]],"Price")</f>
        <v>103.71</v>
      </c>
      <c r="I102" s="2" cm="1">
        <f t="array" aca="1" ref="I102" ca="1">_FV(table1[[#This Row],[DataField]],"52 week low",TRUE)</f>
        <v>86.98</v>
      </c>
      <c r="J102" s="2" cm="1">
        <f t="array" aca="1" ref="J102" ca="1">_FV(table1[[#This Row],[DataField]],"52 week high",TRUE)</f>
        <v>109.31</v>
      </c>
      <c r="K102" s="4" cm="1">
        <f t="array" aca="1" ref="K102" ca="1">_FV(table1[[#This Row],[DataField]],"P/E",TRUE)</f>
        <v>20.339099999999998</v>
      </c>
      <c r="L102" s="2" t="str">
        <f ca="1">IF(table1[[#This Row],[Price]] &lt; (table1[[#This Row],[52Low]] * 0.25) + table1[[#This Row],[52Low]],  "TRUE", "FALSE")</f>
        <v>TRUE</v>
      </c>
      <c r="M102" s="7" t="str">
        <f ca="1">IF(table1[[#This Row],[Price]] &lt; (table1[[#This Row],[52Low]] * 0.1) + table1[[#This Row],[52Low]],  "TRUE", "FALSE")</f>
        <v>FALSE</v>
      </c>
      <c r="N102" s="6" cm="1">
        <f t="array" aca="1" ref="N102" ca="1">_FV(table1[[#This Row],[DataField]],"Market cap",TRUE)</f>
        <v>260692293600</v>
      </c>
    </row>
  </sheetData>
  <phoneticPr fontId="2" type="noConversion"/>
  <conditionalFormatting sqref="B1:B1048576">
    <cfRule type="duplicateValues" dxfId="1" priority="1"/>
  </conditionalFormatting>
  <conditionalFormatting sqref="L1:M102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2026-02-14T13:57:01Z</dcterms:modified>
</cp:coreProperties>
</file>