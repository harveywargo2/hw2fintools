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AF8F294F-F4FD-BC48-9D2D-AED4A79BABB1}"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1" l="1" a="1"/>
  <c r="F39" i="1" s="1"/>
  <c r="F62" i="1" a="1"/>
  <c r="F62" i="1" s="1"/>
  <c r="F35" i="1" a="1"/>
  <c r="F35" i="1" s="1"/>
  <c r="F34" i="1" a="1"/>
  <c r="F34" i="1" s="1"/>
  <c r="F15" i="1" a="1"/>
  <c r="F15" i="1" s="1"/>
  <c r="F33" i="1" a="1"/>
  <c r="F33" i="1" s="1"/>
  <c r="F46" i="1" a="1"/>
  <c r="F46" i="1" s="1"/>
  <c r="F60" i="1" a="1"/>
  <c r="F60" i="1" s="1"/>
  <c r="B68" i="1" a="1"/>
  <c r="B68" i="1" s="1"/>
  <c r="F68" i="1" a="1"/>
  <c r="F68" i="1" s="1"/>
  <c r="G68" i="1" a="1"/>
  <c r="G68" i="1" s="1"/>
  <c r="H68" i="1" a="1"/>
  <c r="H68" i="1" s="1"/>
  <c r="I68" i="1" a="1"/>
  <c r="I68" i="1" s="1"/>
  <c r="L68" i="1" a="1"/>
  <c r="L68" i="1" s="1"/>
  <c r="B75" i="1" a="1"/>
  <c r="B75" i="1" s="1"/>
  <c r="F75" i="1" a="1"/>
  <c r="F75" i="1" s="1"/>
  <c r="G75" i="1" a="1"/>
  <c r="G75" i="1" s="1"/>
  <c r="H75" i="1" a="1"/>
  <c r="H75" i="1" s="1"/>
  <c r="I75" i="1" a="1"/>
  <c r="I75" i="1" s="1"/>
  <c r="L75" i="1" a="1"/>
  <c r="L75" i="1" s="1"/>
  <c r="B84" i="1" a="1"/>
  <c r="B84" i="1" s="1"/>
  <c r="F84" i="1" a="1"/>
  <c r="F84" i="1" s="1"/>
  <c r="G84" i="1" a="1"/>
  <c r="G84" i="1" s="1"/>
  <c r="H84" i="1" a="1"/>
  <c r="H84" i="1" s="1"/>
  <c r="I84" i="1" a="1"/>
  <c r="I84" i="1" s="1"/>
  <c r="L84" i="1" a="1"/>
  <c r="L84" i="1" s="1"/>
  <c r="B51" i="1" a="1"/>
  <c r="B51" i="1" s="1"/>
  <c r="F51" i="1" a="1"/>
  <c r="F51" i="1" s="1"/>
  <c r="G51" i="1" a="1"/>
  <c r="G51" i="1" s="1"/>
  <c r="H51" i="1" a="1"/>
  <c r="H51" i="1" s="1"/>
  <c r="I51" i="1" a="1"/>
  <c r="I51" i="1" s="1"/>
  <c r="L51" i="1" a="1"/>
  <c r="L51" i="1" s="1"/>
  <c r="B70" i="1" a="1"/>
  <c r="B70" i="1" s="1"/>
  <c r="F70" i="1" a="1"/>
  <c r="F70" i="1" s="1"/>
  <c r="G70" i="1" a="1"/>
  <c r="G70" i="1" s="1"/>
  <c r="H70" i="1" a="1"/>
  <c r="H70" i="1" s="1"/>
  <c r="I70" i="1" a="1"/>
  <c r="I70" i="1" s="1"/>
  <c r="L70" i="1" a="1"/>
  <c r="L70" i="1" s="1"/>
  <c r="B92" i="1" a="1"/>
  <c r="B92" i="1" s="1"/>
  <c r="F92" i="1" a="1"/>
  <c r="F92" i="1" s="1"/>
  <c r="G92" i="1" a="1"/>
  <c r="G92" i="1" s="1"/>
  <c r="H92" i="1" a="1"/>
  <c r="H92" i="1" s="1"/>
  <c r="I92" i="1" a="1"/>
  <c r="I92" i="1" s="1"/>
  <c r="L92" i="1" a="1"/>
  <c r="L92" i="1" s="1"/>
  <c r="B69" i="1" a="1"/>
  <c r="B69" i="1" s="1"/>
  <c r="F69" i="1" a="1"/>
  <c r="F69" i="1" s="1"/>
  <c r="G69" i="1" a="1"/>
  <c r="G69" i="1" s="1"/>
  <c r="H69" i="1" a="1"/>
  <c r="H69" i="1" s="1"/>
  <c r="I69" i="1" a="1"/>
  <c r="I69" i="1" s="1"/>
  <c r="L69" i="1" a="1"/>
  <c r="L69" i="1" s="1"/>
  <c r="I93" i="1" a="1"/>
  <c r="I93" i="1" s="1"/>
  <c r="I18" i="1" a="1"/>
  <c r="I18" i="1" s="1"/>
  <c r="I36" i="1" a="1"/>
  <c r="I36" i="1" s="1"/>
  <c r="I12" i="1" a="1"/>
  <c r="I12" i="1" s="1"/>
  <c r="I5" i="1" a="1"/>
  <c r="I5" i="1" s="1"/>
  <c r="I55" i="1" a="1"/>
  <c r="I55" i="1" s="1"/>
  <c r="I10" i="1" a="1"/>
  <c r="I10" i="1" s="1"/>
  <c r="I90" i="1" a="1"/>
  <c r="I90" i="1" s="1"/>
  <c r="I72" i="1" a="1"/>
  <c r="I72" i="1" s="1"/>
  <c r="I50" i="1" a="1"/>
  <c r="I50" i="1" s="1"/>
  <c r="I94" i="1" a="1"/>
  <c r="I94" i="1" s="1"/>
  <c r="I45" i="1" a="1"/>
  <c r="I45" i="1" s="1"/>
  <c r="I44" i="1" a="1"/>
  <c r="I44" i="1" s="1"/>
  <c r="I86" i="1" a="1"/>
  <c r="I86" i="1" s="1"/>
  <c r="I85" i="1" a="1"/>
  <c r="I85" i="1" s="1"/>
  <c r="I27" i="1" a="1"/>
  <c r="I27" i="1" s="1"/>
  <c r="I13" i="1" a="1"/>
  <c r="I13" i="1" s="1"/>
  <c r="I58" i="1" a="1"/>
  <c r="I58" i="1" s="1"/>
  <c r="I89" i="1" a="1"/>
  <c r="I89" i="1" s="1"/>
  <c r="I26" i="1" a="1"/>
  <c r="I26" i="1" s="1"/>
  <c r="I42" i="1" a="1"/>
  <c r="I42" i="1" s="1"/>
  <c r="I47" i="1" a="1"/>
  <c r="I47" i="1" s="1"/>
  <c r="I57" i="1" a="1"/>
  <c r="I57" i="1" s="1"/>
  <c r="I83" i="1" a="1"/>
  <c r="I83" i="1" s="1"/>
  <c r="I56" i="1" a="1"/>
  <c r="I56" i="1" s="1"/>
  <c r="I48" i="1" a="1"/>
  <c r="I48" i="1" s="1"/>
  <c r="I65" i="1" a="1"/>
  <c r="I65" i="1" s="1"/>
  <c r="I61" i="1" a="1"/>
  <c r="I61" i="1" s="1"/>
  <c r="I38" i="1" a="1"/>
  <c r="I38" i="1" s="1"/>
  <c r="I52" i="1" a="1"/>
  <c r="I52" i="1" s="1"/>
  <c r="I88" i="1" a="1"/>
  <c r="I88" i="1" s="1"/>
  <c r="I63" i="1" a="1"/>
  <c r="I63" i="1" s="1"/>
  <c r="I67" i="1" a="1"/>
  <c r="I67" i="1" s="1"/>
  <c r="I16" i="1" a="1"/>
  <c r="I16" i="1" s="1"/>
  <c r="I25" i="1" a="1"/>
  <c r="I25" i="1" s="1"/>
  <c r="I4" i="1" a="1"/>
  <c r="I4" i="1" s="1"/>
  <c r="I31" i="1" a="1"/>
  <c r="I31" i="1" s="1"/>
  <c r="I77" i="1" a="1"/>
  <c r="I77" i="1" s="1"/>
  <c r="I21" i="1" a="1"/>
  <c r="I21" i="1" s="1"/>
  <c r="I49" i="1" a="1"/>
  <c r="I49" i="1" s="1"/>
  <c r="I81" i="1" a="1"/>
  <c r="I81" i="1" s="1"/>
  <c r="I40" i="1" a="1"/>
  <c r="I40" i="1" s="1"/>
  <c r="I19" i="1" a="1"/>
  <c r="I19" i="1" s="1"/>
  <c r="I76" i="1" a="1"/>
  <c r="I76" i="1" s="1"/>
  <c r="I87" i="1" a="1"/>
  <c r="I87" i="1" s="1"/>
  <c r="I17" i="1" a="1"/>
  <c r="I17" i="1" s="1"/>
  <c r="I30" i="1" a="1"/>
  <c r="I30" i="1" s="1"/>
  <c r="I11" i="1" a="1"/>
  <c r="I11" i="1" s="1"/>
  <c r="I37" i="1" a="1"/>
  <c r="I37" i="1" s="1"/>
  <c r="I29" i="1" a="1"/>
  <c r="I29" i="1" s="1"/>
  <c r="I82" i="1" a="1"/>
  <c r="I82" i="1" s="1"/>
  <c r="I41" i="1" a="1"/>
  <c r="I41" i="1" s="1"/>
  <c r="I2" i="1" a="1"/>
  <c r="I2" i="1" s="1"/>
  <c r="I23" i="1" a="1"/>
  <c r="I23" i="1" s="1"/>
  <c r="I71" i="1" a="1"/>
  <c r="I71" i="1" s="1"/>
  <c r="I53" i="1" a="1"/>
  <c r="I53" i="1" s="1"/>
  <c r="I54" i="1" a="1"/>
  <c r="I54" i="1" s="1"/>
  <c r="I3" i="1" a="1"/>
  <c r="I3" i="1" s="1"/>
  <c r="I28" i="1" a="1"/>
  <c r="I28" i="1" s="1"/>
  <c r="I74" i="1" a="1"/>
  <c r="I74" i="1" s="1"/>
  <c r="I9" i="1" a="1"/>
  <c r="I9" i="1" s="1"/>
  <c r="I20" i="1" a="1"/>
  <c r="I20" i="1" s="1"/>
  <c r="I64" i="1" a="1"/>
  <c r="I64" i="1" s="1"/>
  <c r="I78" i="1" a="1"/>
  <c r="I78" i="1" s="1"/>
  <c r="I66" i="1" a="1"/>
  <c r="I66" i="1" s="1"/>
  <c r="I80" i="1" a="1"/>
  <c r="I80" i="1" s="1"/>
  <c r="I24" i="1" a="1"/>
  <c r="I24" i="1" s="1"/>
  <c r="I59" i="1" a="1"/>
  <c r="I59" i="1" s="1"/>
  <c r="I73" i="1" a="1"/>
  <c r="I73" i="1" s="1"/>
  <c r="I79" i="1" a="1"/>
  <c r="I79" i="1" s="1"/>
  <c r="I14" i="1" a="1"/>
  <c r="I14" i="1" s="1"/>
  <c r="I32" i="1" a="1"/>
  <c r="I32" i="1" s="1"/>
  <c r="I43" i="1" a="1"/>
  <c r="I43" i="1" s="1"/>
  <c r="I7" i="1" a="1"/>
  <c r="I7" i="1" s="1"/>
  <c r="I22" i="1" a="1"/>
  <c r="I22" i="1" s="1"/>
  <c r="I8" i="1" a="1"/>
  <c r="I8" i="1" s="1"/>
  <c r="I39" i="1" a="1"/>
  <c r="I39" i="1" s="1"/>
  <c r="I62" i="1" a="1"/>
  <c r="I62" i="1" s="1"/>
  <c r="I35" i="1" a="1"/>
  <c r="I35" i="1" s="1"/>
  <c r="I34" i="1" a="1"/>
  <c r="I34" i="1" s="1"/>
  <c r="I15" i="1" a="1"/>
  <c r="I15" i="1" s="1"/>
  <c r="I33" i="1" a="1"/>
  <c r="I33" i="1" s="1"/>
  <c r="I46" i="1" a="1"/>
  <c r="I46" i="1" s="1"/>
  <c r="I60" i="1" a="1"/>
  <c r="I60" i="1" s="1"/>
  <c r="I91" i="1" a="1"/>
  <c r="I91" i="1" s="1"/>
  <c r="I6" i="1" a="1"/>
  <c r="I6" i="1" s="1"/>
  <c r="B91" i="1" a="1"/>
  <c r="B91" i="1" s="1"/>
  <c r="F91" i="1" a="1"/>
  <c r="F91" i="1" s="1"/>
  <c r="G91" i="1" a="1"/>
  <c r="G91" i="1" s="1"/>
  <c r="H91" i="1" a="1"/>
  <c r="H91" i="1" s="1"/>
  <c r="L91" i="1" a="1"/>
  <c r="L91" i="1" s="1"/>
  <c r="B33" i="1" a="1"/>
  <c r="B33" i="1" s="1"/>
  <c r="G33" i="1" a="1"/>
  <c r="G33" i="1" s="1"/>
  <c r="H33" i="1" a="1"/>
  <c r="H33" i="1" s="1"/>
  <c r="L33" i="1" a="1"/>
  <c r="L33" i="1" s="1"/>
  <c r="B64" i="1" a="1"/>
  <c r="B64" i="1" s="1"/>
  <c r="F64" i="1" a="1"/>
  <c r="F64" i="1" s="1"/>
  <c r="G64" i="1" a="1"/>
  <c r="G64" i="1" s="1"/>
  <c r="H64" i="1" a="1"/>
  <c r="H64" i="1" s="1"/>
  <c r="L64" i="1" a="1"/>
  <c r="L64" i="1" s="1"/>
  <c r="B7" i="1" a="1"/>
  <c r="B7" i="1" s="1"/>
  <c r="F7" i="1" a="1"/>
  <c r="F7" i="1" s="1"/>
  <c r="G7" i="1" a="1"/>
  <c r="G7" i="1" s="1"/>
  <c r="H7" i="1" a="1"/>
  <c r="H7" i="1" s="1"/>
  <c r="L7" i="1" a="1"/>
  <c r="L7" i="1" s="1"/>
  <c r="B79" i="1" a="1"/>
  <c r="B79" i="1" s="1"/>
  <c r="F79" i="1" a="1"/>
  <c r="F79" i="1" s="1"/>
  <c r="G79" i="1" a="1"/>
  <c r="G79" i="1" s="1"/>
  <c r="H79" i="1" a="1"/>
  <c r="H79" i="1" s="1"/>
  <c r="L79" i="1" a="1"/>
  <c r="L79" i="1" s="1"/>
  <c r="B72" i="1" a="1"/>
  <c r="B72" i="1" s="1"/>
  <c r="F72" i="1" a="1"/>
  <c r="F72" i="1" s="1"/>
  <c r="G72" i="1" a="1"/>
  <c r="G72" i="1" s="1"/>
  <c r="H72" i="1" a="1"/>
  <c r="H72" i="1" s="1"/>
  <c r="L72" i="1" a="1"/>
  <c r="L72" i="1" s="1"/>
  <c r="B82" i="1" a="1"/>
  <c r="B82" i="1" s="1"/>
  <c r="F82" i="1" a="1"/>
  <c r="F82" i="1" s="1"/>
  <c r="G82" i="1" a="1"/>
  <c r="G82" i="1" s="1"/>
  <c r="H82" i="1" a="1"/>
  <c r="H82" i="1" s="1"/>
  <c r="L82" i="1" a="1"/>
  <c r="L82" i="1" s="1"/>
  <c r="B60" i="1" a="1"/>
  <c r="B60" i="1" s="1"/>
  <c r="G60" i="1" a="1"/>
  <c r="G60" i="1" s="1"/>
  <c r="H60" i="1" a="1"/>
  <c r="H60" i="1" s="1"/>
  <c r="L60" i="1" a="1"/>
  <c r="L60" i="1" s="1"/>
  <c r="B54" i="1" a="1"/>
  <c r="B54" i="1" s="1"/>
  <c r="F54" i="1" a="1"/>
  <c r="F54" i="1" s="1"/>
  <c r="G54" i="1" a="1"/>
  <c r="G54" i="1" s="1"/>
  <c r="H54" i="1" a="1"/>
  <c r="H54" i="1" s="1"/>
  <c r="L54" i="1" a="1"/>
  <c r="L54" i="1" s="1"/>
  <c r="B12" i="1" a="1"/>
  <c r="B12" i="1" s="1"/>
  <c r="F12" i="1" a="1"/>
  <c r="F12" i="1" s="1"/>
  <c r="G12" i="1" a="1"/>
  <c r="G12" i="1" s="1"/>
  <c r="H12" i="1" a="1"/>
  <c r="H12" i="1" s="1"/>
  <c r="L12" i="1" a="1"/>
  <c r="L12" i="1" s="1"/>
  <c r="B71" i="1" a="1"/>
  <c r="B71" i="1" s="1"/>
  <c r="F71" i="1" a="1"/>
  <c r="F71" i="1" s="1"/>
  <c r="G71" i="1" a="1"/>
  <c r="G71" i="1" s="1"/>
  <c r="H71" i="1" a="1"/>
  <c r="H71" i="1" s="1"/>
  <c r="L71" i="1" a="1"/>
  <c r="L71" i="1" s="1"/>
  <c r="B10" i="1" a="1"/>
  <c r="B10" i="1" s="1"/>
  <c r="F10" i="1" a="1"/>
  <c r="F10" i="1" s="1"/>
  <c r="G10" i="1" a="1"/>
  <c r="G10" i="1" s="1"/>
  <c r="H10" i="1" a="1"/>
  <c r="H10" i="1" s="1"/>
  <c r="L10" i="1" a="1"/>
  <c r="L10" i="1" s="1"/>
  <c r="B46" i="1" a="1"/>
  <c r="B46" i="1" s="1"/>
  <c r="G46" i="1" a="1"/>
  <c r="G46" i="1" s="1"/>
  <c r="H46" i="1" a="1"/>
  <c r="H46" i="1" s="1"/>
  <c r="L46" i="1" a="1"/>
  <c r="L46" i="1" s="1"/>
  <c r="B34" i="1" a="1"/>
  <c r="B34" i="1" s="1"/>
  <c r="G34" i="1" a="1"/>
  <c r="G34" i="1" s="1"/>
  <c r="H34" i="1" a="1"/>
  <c r="H34" i="1" s="1"/>
  <c r="L34" i="1" a="1"/>
  <c r="L34" i="1" s="1"/>
  <c r="B39" i="1" a="1"/>
  <c r="B39" i="1" s="1"/>
  <c r="G39" i="1" a="1"/>
  <c r="G39" i="1" s="1"/>
  <c r="H39" i="1" a="1"/>
  <c r="H39" i="1" s="1"/>
  <c r="L39" i="1" a="1"/>
  <c r="L39" i="1" s="1"/>
  <c r="B62" i="1" a="1"/>
  <c r="B62" i="1" s="1"/>
  <c r="G62" i="1" a="1"/>
  <c r="G62" i="1" s="1"/>
  <c r="H62" i="1" a="1"/>
  <c r="H62" i="1" s="1"/>
  <c r="L62" i="1" a="1"/>
  <c r="L62" i="1" s="1"/>
  <c r="B32" i="1" a="1"/>
  <c r="B32" i="1" s="1"/>
  <c r="F32" i="1" a="1"/>
  <c r="F32" i="1" s="1"/>
  <c r="G32" i="1" a="1"/>
  <c r="G32" i="1" s="1"/>
  <c r="H32" i="1" a="1"/>
  <c r="H32" i="1" s="1"/>
  <c r="L32" i="1" a="1"/>
  <c r="L32" i="1" s="1"/>
  <c r="B73" i="1" a="1"/>
  <c r="B73" i="1" s="1"/>
  <c r="F73" i="1" a="1"/>
  <c r="F73" i="1" s="1"/>
  <c r="G73" i="1" a="1"/>
  <c r="G73" i="1" s="1"/>
  <c r="H73" i="1" a="1"/>
  <c r="H73" i="1" s="1"/>
  <c r="L73" i="1" a="1"/>
  <c r="L73" i="1" s="1"/>
  <c r="B59" i="1" a="1"/>
  <c r="B59" i="1" s="1"/>
  <c r="F59" i="1" a="1"/>
  <c r="F59" i="1" s="1"/>
  <c r="G59" i="1" a="1"/>
  <c r="G59" i="1" s="1"/>
  <c r="H59" i="1" a="1"/>
  <c r="H59" i="1" s="1"/>
  <c r="L59" i="1" a="1"/>
  <c r="L59" i="1" s="1"/>
  <c r="B80" i="1" a="1"/>
  <c r="B80" i="1" s="1"/>
  <c r="F80" i="1" a="1"/>
  <c r="F80" i="1" s="1"/>
  <c r="G80" i="1" a="1"/>
  <c r="G80" i="1" s="1"/>
  <c r="H80" i="1" a="1"/>
  <c r="H80" i="1" s="1"/>
  <c r="L80" i="1" a="1"/>
  <c r="L80" i="1" s="1"/>
  <c r="B66" i="1" a="1"/>
  <c r="B66" i="1" s="1"/>
  <c r="F66" i="1" a="1"/>
  <c r="F66" i="1" s="1"/>
  <c r="G66" i="1" a="1"/>
  <c r="G66" i="1" s="1"/>
  <c r="H66" i="1" a="1"/>
  <c r="H66" i="1" s="1"/>
  <c r="L66" i="1" a="1"/>
  <c r="L66" i="1" s="1"/>
  <c r="B78" i="1" a="1"/>
  <c r="B78" i="1" s="1"/>
  <c r="F78" i="1" a="1"/>
  <c r="F78" i="1" s="1"/>
  <c r="G78" i="1" a="1"/>
  <c r="G78" i="1" s="1"/>
  <c r="H78" i="1" a="1"/>
  <c r="H78" i="1" s="1"/>
  <c r="L78" i="1" a="1"/>
  <c r="L78" i="1" s="1"/>
  <c r="B74" i="1" a="1"/>
  <c r="B74" i="1" s="1"/>
  <c r="F74" i="1" a="1"/>
  <c r="F74" i="1" s="1"/>
  <c r="G74" i="1" a="1"/>
  <c r="G74" i="1" s="1"/>
  <c r="H74" i="1" a="1"/>
  <c r="H74" i="1" s="1"/>
  <c r="L74" i="1" a="1"/>
  <c r="L74" i="1" s="1"/>
  <c r="B53" i="1" a="1"/>
  <c r="B53" i="1" s="1"/>
  <c r="F53" i="1" a="1"/>
  <c r="F53" i="1" s="1"/>
  <c r="G53" i="1" a="1"/>
  <c r="G53" i="1" s="1"/>
  <c r="H53" i="1" a="1"/>
  <c r="H53" i="1" s="1"/>
  <c r="L53" i="1" a="1"/>
  <c r="L53" i="1" s="1"/>
  <c r="B87" i="1" a="1"/>
  <c r="B87" i="1" s="1"/>
  <c r="F87" i="1" a="1"/>
  <c r="F87" i="1" s="1"/>
  <c r="G87" i="1" a="1"/>
  <c r="G87" i="1" s="1"/>
  <c r="H87" i="1" a="1"/>
  <c r="H87" i="1" s="1"/>
  <c r="L87" i="1" a="1"/>
  <c r="L87" i="1" s="1"/>
  <c r="B76" i="1" a="1"/>
  <c r="B76" i="1" s="1"/>
  <c r="F76" i="1" a="1"/>
  <c r="F76" i="1" s="1"/>
  <c r="G76" i="1" a="1"/>
  <c r="G76" i="1" s="1"/>
  <c r="H76" i="1" a="1"/>
  <c r="H76" i="1" s="1"/>
  <c r="L76" i="1" a="1"/>
  <c r="L76" i="1" s="1"/>
  <c r="B81" i="1" a="1"/>
  <c r="B81" i="1" s="1"/>
  <c r="F81" i="1" a="1"/>
  <c r="F81" i="1" s="1"/>
  <c r="G81" i="1" a="1"/>
  <c r="G81" i="1" s="1"/>
  <c r="H81" i="1" a="1"/>
  <c r="H81" i="1" s="1"/>
  <c r="L81" i="1" a="1"/>
  <c r="L81" i="1" s="1"/>
  <c r="B49" i="1" a="1"/>
  <c r="B49" i="1" s="1"/>
  <c r="F49" i="1" a="1"/>
  <c r="F49" i="1" s="1"/>
  <c r="G49" i="1" a="1"/>
  <c r="G49" i="1" s="1"/>
  <c r="H49" i="1" a="1"/>
  <c r="H49" i="1" s="1"/>
  <c r="L49" i="1" a="1"/>
  <c r="L49" i="1" s="1"/>
  <c r="B77" i="1" a="1"/>
  <c r="B77" i="1" s="1"/>
  <c r="F77" i="1" a="1"/>
  <c r="F77" i="1" s="1"/>
  <c r="G77" i="1" a="1"/>
  <c r="G77" i="1" s="1"/>
  <c r="H77" i="1" a="1"/>
  <c r="H77" i="1" s="1"/>
  <c r="L77" i="1" a="1"/>
  <c r="L77" i="1" s="1"/>
  <c r="B25" i="1" a="1"/>
  <c r="B25" i="1" s="1"/>
  <c r="F25" i="1" a="1"/>
  <c r="F25" i="1" s="1"/>
  <c r="G25" i="1" a="1"/>
  <c r="G25" i="1" s="1"/>
  <c r="H25" i="1" a="1"/>
  <c r="H25" i="1" s="1"/>
  <c r="L25" i="1" a="1"/>
  <c r="L25" i="1" s="1"/>
  <c r="B67" i="1" a="1"/>
  <c r="B67" i="1" s="1"/>
  <c r="F67" i="1" a="1"/>
  <c r="F67" i="1" s="1"/>
  <c r="G67" i="1" a="1"/>
  <c r="G67" i="1" s="1"/>
  <c r="H67" i="1" a="1"/>
  <c r="H67" i="1" s="1"/>
  <c r="L67" i="1" a="1"/>
  <c r="L67" i="1" s="1"/>
  <c r="B63" i="1" a="1"/>
  <c r="B63" i="1" s="1"/>
  <c r="F63" i="1" a="1"/>
  <c r="F63" i="1" s="1"/>
  <c r="G63" i="1" a="1"/>
  <c r="G63" i="1" s="1"/>
  <c r="H63" i="1" a="1"/>
  <c r="H63" i="1" s="1"/>
  <c r="L63" i="1" a="1"/>
  <c r="L63" i="1" s="1"/>
  <c r="B88" i="1" a="1"/>
  <c r="B88" i="1" s="1"/>
  <c r="F88" i="1" a="1"/>
  <c r="F88" i="1" s="1"/>
  <c r="G88" i="1" a="1"/>
  <c r="G88" i="1" s="1"/>
  <c r="H88" i="1" a="1"/>
  <c r="H88" i="1" s="1"/>
  <c r="L88" i="1" a="1"/>
  <c r="L88" i="1" s="1"/>
  <c r="B52" i="1" a="1"/>
  <c r="B52" i="1" s="1"/>
  <c r="F52" i="1" a="1"/>
  <c r="F52" i="1" s="1"/>
  <c r="G52" i="1" a="1"/>
  <c r="G52" i="1" s="1"/>
  <c r="H52" i="1" a="1"/>
  <c r="H52" i="1" s="1"/>
  <c r="L52" i="1" a="1"/>
  <c r="L52" i="1" s="1"/>
  <c r="B48" i="1" a="1"/>
  <c r="B48" i="1" s="1"/>
  <c r="F48" i="1" a="1"/>
  <c r="F48" i="1" s="1"/>
  <c r="G48" i="1" a="1"/>
  <c r="G48" i="1" s="1"/>
  <c r="H48" i="1" a="1"/>
  <c r="H48" i="1" s="1"/>
  <c r="L48" i="1" a="1"/>
  <c r="L48" i="1" s="1"/>
  <c r="B56" i="1" a="1"/>
  <c r="B56" i="1" s="1"/>
  <c r="F56" i="1" a="1"/>
  <c r="F56" i="1" s="1"/>
  <c r="G56" i="1" a="1"/>
  <c r="G56" i="1" s="1"/>
  <c r="H56" i="1" a="1"/>
  <c r="H56" i="1" s="1"/>
  <c r="L56" i="1" a="1"/>
  <c r="L56" i="1" s="1"/>
  <c r="B61" i="1" a="1"/>
  <c r="B61" i="1" s="1"/>
  <c r="F61" i="1" a="1"/>
  <c r="F61" i="1" s="1"/>
  <c r="G61" i="1" a="1"/>
  <c r="G61" i="1" s="1"/>
  <c r="H61" i="1" a="1"/>
  <c r="H61" i="1" s="1"/>
  <c r="L61" i="1" a="1"/>
  <c r="L61" i="1" s="1"/>
  <c r="B65" i="1" a="1"/>
  <c r="B65" i="1" s="1"/>
  <c r="F65" i="1" a="1"/>
  <c r="F65" i="1" s="1"/>
  <c r="G65" i="1" a="1"/>
  <c r="G65" i="1" s="1"/>
  <c r="H65" i="1" a="1"/>
  <c r="H65" i="1" s="1"/>
  <c r="L65" i="1" a="1"/>
  <c r="L65" i="1" s="1"/>
  <c r="B83" i="1" a="1"/>
  <c r="B83" i="1" s="1"/>
  <c r="F83" i="1" a="1"/>
  <c r="F83" i="1" s="1"/>
  <c r="G83" i="1" a="1"/>
  <c r="G83" i="1" s="1"/>
  <c r="H83" i="1" a="1"/>
  <c r="H83" i="1" s="1"/>
  <c r="L83" i="1" a="1"/>
  <c r="L83" i="1" s="1"/>
  <c r="B57" i="1" a="1"/>
  <c r="B57" i="1" s="1"/>
  <c r="F57" i="1" a="1"/>
  <c r="F57" i="1" s="1"/>
  <c r="G57" i="1" a="1"/>
  <c r="G57" i="1" s="1"/>
  <c r="H57" i="1" a="1"/>
  <c r="H57" i="1" s="1"/>
  <c r="L57" i="1" a="1"/>
  <c r="L57" i="1" s="1"/>
  <c r="B26" i="1" a="1"/>
  <c r="B26" i="1" s="1"/>
  <c r="F26" i="1" a="1"/>
  <c r="F26" i="1" s="1"/>
  <c r="G26" i="1" a="1"/>
  <c r="G26" i="1" s="1"/>
  <c r="H26" i="1" a="1"/>
  <c r="H26" i="1" s="1"/>
  <c r="L26" i="1" a="1"/>
  <c r="L26" i="1" s="1"/>
  <c r="B89" i="1" a="1"/>
  <c r="B89" i="1" s="1"/>
  <c r="F89" i="1" a="1"/>
  <c r="F89" i="1" s="1"/>
  <c r="G89" i="1" a="1"/>
  <c r="G89" i="1" s="1"/>
  <c r="H89" i="1" a="1"/>
  <c r="H89" i="1" s="1"/>
  <c r="L89" i="1" a="1"/>
  <c r="L89" i="1" s="1"/>
  <c r="B58" i="1" a="1"/>
  <c r="B58" i="1" s="1"/>
  <c r="F58" i="1" a="1"/>
  <c r="F58" i="1" s="1"/>
  <c r="G58" i="1" a="1"/>
  <c r="G58" i="1" s="1"/>
  <c r="H58" i="1" a="1"/>
  <c r="H58" i="1" s="1"/>
  <c r="L58" i="1" a="1"/>
  <c r="L58" i="1" s="1"/>
  <c r="B85" i="1" a="1"/>
  <c r="B85" i="1" s="1"/>
  <c r="F85" i="1" a="1"/>
  <c r="F85" i="1" s="1"/>
  <c r="G85" i="1" a="1"/>
  <c r="G85" i="1" s="1"/>
  <c r="H85" i="1" a="1"/>
  <c r="H85" i="1" s="1"/>
  <c r="L85" i="1" a="1"/>
  <c r="L85" i="1" s="1"/>
  <c r="B86" i="1" a="1"/>
  <c r="B86" i="1" s="1"/>
  <c r="F86" i="1" a="1"/>
  <c r="F86" i="1" s="1"/>
  <c r="G86" i="1" a="1"/>
  <c r="G86" i="1" s="1"/>
  <c r="H86" i="1" a="1"/>
  <c r="H86" i="1" s="1"/>
  <c r="L86" i="1" a="1"/>
  <c r="L86" i="1" s="1"/>
  <c r="B94" i="1" a="1"/>
  <c r="B94" i="1" s="1"/>
  <c r="F94" i="1" a="1"/>
  <c r="F94" i="1" s="1"/>
  <c r="G94" i="1" a="1"/>
  <c r="G94" i="1" s="1"/>
  <c r="H94" i="1" a="1"/>
  <c r="H94" i="1" s="1"/>
  <c r="L94" i="1" a="1"/>
  <c r="L94" i="1" s="1"/>
  <c r="B50" i="1" a="1"/>
  <c r="B50" i="1" s="1"/>
  <c r="F50" i="1" a="1"/>
  <c r="F50" i="1" s="1"/>
  <c r="G50" i="1" a="1"/>
  <c r="G50" i="1" s="1"/>
  <c r="H50" i="1" a="1"/>
  <c r="H50" i="1" s="1"/>
  <c r="L50" i="1" a="1"/>
  <c r="L50" i="1" s="1"/>
  <c r="B90" i="1" a="1"/>
  <c r="B90" i="1" s="1"/>
  <c r="F90" i="1" a="1"/>
  <c r="F90" i="1" s="1"/>
  <c r="G90" i="1" a="1"/>
  <c r="G90" i="1" s="1"/>
  <c r="H90" i="1" a="1"/>
  <c r="H90" i="1" s="1"/>
  <c r="L90" i="1" a="1"/>
  <c r="L90" i="1" s="1"/>
  <c r="B55" i="1" a="1"/>
  <c r="B55" i="1" s="1"/>
  <c r="F55" i="1" a="1"/>
  <c r="F55" i="1" s="1"/>
  <c r="G55" i="1" a="1"/>
  <c r="G55" i="1" s="1"/>
  <c r="H55" i="1" a="1"/>
  <c r="H55" i="1" s="1"/>
  <c r="L55" i="1" a="1"/>
  <c r="L55" i="1" s="1"/>
  <c r="B36" i="1" a="1"/>
  <c r="B36" i="1" s="1"/>
  <c r="F36" i="1" a="1"/>
  <c r="F36" i="1" s="1"/>
  <c r="G36" i="1" a="1"/>
  <c r="G36" i="1" s="1"/>
  <c r="H36" i="1" a="1"/>
  <c r="H36" i="1" s="1"/>
  <c r="L36" i="1" a="1"/>
  <c r="L36" i="1" s="1"/>
  <c r="B93" i="1" a="1"/>
  <c r="B93" i="1" s="1"/>
  <c r="F93" i="1" a="1"/>
  <c r="F93" i="1" s="1"/>
  <c r="G93" i="1" a="1"/>
  <c r="G93" i="1" s="1"/>
  <c r="H93" i="1" a="1"/>
  <c r="H93" i="1" s="1"/>
  <c r="L93" i="1" a="1"/>
  <c r="L93" i="1" s="1"/>
  <c r="J68" i="1" l="1"/>
  <c r="K68" i="1"/>
  <c r="J75" i="1"/>
  <c r="J84" i="1"/>
  <c r="K75" i="1"/>
  <c r="K84" i="1"/>
  <c r="J51" i="1"/>
  <c r="K51" i="1"/>
  <c r="K70" i="1"/>
  <c r="J92" i="1"/>
  <c r="J70" i="1"/>
  <c r="J69" i="1"/>
  <c r="K92" i="1"/>
  <c r="K69" i="1"/>
  <c r="J91" i="1"/>
  <c r="K91" i="1"/>
  <c r="J33" i="1"/>
  <c r="K33" i="1"/>
  <c r="J64" i="1"/>
  <c r="K64" i="1"/>
  <c r="K7" i="1"/>
  <c r="J7" i="1"/>
  <c r="J79" i="1"/>
  <c r="K79" i="1"/>
  <c r="J72" i="1"/>
  <c r="J82" i="1"/>
  <c r="K72" i="1"/>
  <c r="J60" i="1"/>
  <c r="K82" i="1"/>
  <c r="J54" i="1"/>
  <c r="K60" i="1"/>
  <c r="K54" i="1"/>
  <c r="J12" i="1"/>
  <c r="J71" i="1"/>
  <c r="K12" i="1"/>
  <c r="J10" i="1"/>
  <c r="K71" i="1"/>
  <c r="K10" i="1"/>
  <c r="K34" i="1"/>
  <c r="J46" i="1"/>
  <c r="K46" i="1"/>
  <c r="J34" i="1"/>
  <c r="J39" i="1"/>
  <c r="K39" i="1"/>
  <c r="J62" i="1"/>
  <c r="J32" i="1"/>
  <c r="K62" i="1"/>
  <c r="J73" i="1"/>
  <c r="K32" i="1"/>
  <c r="J59" i="1"/>
  <c r="K73" i="1"/>
  <c r="J80" i="1"/>
  <c r="K59" i="1"/>
  <c r="J66" i="1"/>
  <c r="K80" i="1"/>
  <c r="K66" i="1"/>
  <c r="J78" i="1"/>
  <c r="J74" i="1"/>
  <c r="K78" i="1"/>
  <c r="J53" i="1"/>
  <c r="K74" i="1"/>
  <c r="K53" i="1"/>
  <c r="J87" i="1"/>
  <c r="K76" i="1"/>
  <c r="K87" i="1"/>
  <c r="J76" i="1"/>
  <c r="J81" i="1"/>
  <c r="J49" i="1"/>
  <c r="K81" i="1"/>
  <c r="K49" i="1"/>
  <c r="J77" i="1"/>
  <c r="K77" i="1"/>
  <c r="J25" i="1"/>
  <c r="K25" i="1"/>
  <c r="J67" i="1"/>
  <c r="K63" i="1"/>
  <c r="K67" i="1"/>
  <c r="J63" i="1"/>
  <c r="J88" i="1"/>
  <c r="K88" i="1"/>
  <c r="J52" i="1"/>
  <c r="K52" i="1"/>
  <c r="J48" i="1"/>
  <c r="K48" i="1"/>
  <c r="J61" i="1"/>
  <c r="J56" i="1"/>
  <c r="K56" i="1"/>
  <c r="J65" i="1"/>
  <c r="K61" i="1"/>
  <c r="J83" i="1"/>
  <c r="K65" i="1"/>
  <c r="K83" i="1"/>
  <c r="J57" i="1"/>
  <c r="K57" i="1"/>
  <c r="K26" i="1"/>
  <c r="J26" i="1"/>
  <c r="J89" i="1"/>
  <c r="K89" i="1"/>
  <c r="J58" i="1"/>
  <c r="K58" i="1"/>
  <c r="J85" i="1"/>
  <c r="K85" i="1"/>
  <c r="J86" i="1"/>
  <c r="K86" i="1"/>
  <c r="J94" i="1"/>
  <c r="J50" i="1"/>
  <c r="K94" i="1"/>
  <c r="K50" i="1"/>
  <c r="J90" i="1"/>
  <c r="J55" i="1"/>
  <c r="K90" i="1"/>
  <c r="K55" i="1"/>
  <c r="J36" i="1"/>
  <c r="K36" i="1"/>
  <c r="K93" i="1"/>
  <c r="J93" i="1"/>
  <c r="B2" i="1" l="1" a="1"/>
  <c r="B2" i="1" s="1"/>
  <c r="F2" i="1" a="1"/>
  <c r="F2" i="1" s="1"/>
  <c r="G2" i="1" a="1"/>
  <c r="G2" i="1" s="1"/>
  <c r="H2" i="1" a="1"/>
  <c r="H2" i="1" s="1"/>
  <c r="L2" i="1" a="1"/>
  <c r="L2" i="1" s="1"/>
  <c r="B9" i="1" a="1"/>
  <c r="B9" i="1" s="1"/>
  <c r="F9" i="1" a="1"/>
  <c r="F9" i="1" s="1"/>
  <c r="G9" i="1" a="1"/>
  <c r="G9" i="1" s="1"/>
  <c r="H9" i="1" a="1"/>
  <c r="H9" i="1" s="1"/>
  <c r="L9" i="1" a="1"/>
  <c r="L9" i="1" s="1"/>
  <c r="B4" i="1" a="1"/>
  <c r="B4" i="1" s="1"/>
  <c r="F4" i="1" a="1"/>
  <c r="F4" i="1" s="1"/>
  <c r="G4" i="1" a="1"/>
  <c r="G4" i="1" s="1"/>
  <c r="H4" i="1" a="1"/>
  <c r="H4" i="1" s="1"/>
  <c r="L4" i="1" a="1"/>
  <c r="L4" i="1" s="1"/>
  <c r="F28" i="1" a="1"/>
  <c r="F28" i="1" s="1"/>
  <c r="F20" i="1" a="1"/>
  <c r="F20" i="1" s="1"/>
  <c r="F24" i="1" a="1"/>
  <c r="F24" i="1" s="1"/>
  <c r="F14" i="1" a="1"/>
  <c r="F14" i="1" s="1"/>
  <c r="F43" i="1" a="1"/>
  <c r="F43" i="1" s="1"/>
  <c r="F22" i="1" a="1"/>
  <c r="F22" i="1" s="1"/>
  <c r="F8" i="1" a="1"/>
  <c r="F8" i="1" s="1"/>
  <c r="F11" i="1" a="1"/>
  <c r="F11" i="1" s="1"/>
  <c r="F29" i="1" a="1"/>
  <c r="F29" i="1" s="1"/>
  <c r="F19" i="1" a="1"/>
  <c r="F19" i="1" s="1"/>
  <c r="L6" i="1" a="1"/>
  <c r="L6" i="1" s="1"/>
  <c r="L18" i="1" a="1"/>
  <c r="L18" i="1" s="1"/>
  <c r="L5" i="1" a="1"/>
  <c r="L5" i="1" s="1"/>
  <c r="L45" i="1" a="1"/>
  <c r="L45" i="1" s="1"/>
  <c r="L44" i="1" a="1"/>
  <c r="L44" i="1" s="1"/>
  <c r="L27" i="1" a="1"/>
  <c r="L27" i="1" s="1"/>
  <c r="L13" i="1" a="1"/>
  <c r="L13" i="1" s="1"/>
  <c r="L42" i="1" a="1"/>
  <c r="L42" i="1" s="1"/>
  <c r="L47" i="1" a="1"/>
  <c r="L47" i="1" s="1"/>
  <c r="L38" i="1" a="1"/>
  <c r="L38" i="1" s="1"/>
  <c r="L16" i="1" a="1"/>
  <c r="L16" i="1" s="1"/>
  <c r="L31" i="1" a="1"/>
  <c r="L31" i="1" s="1"/>
  <c r="L21" i="1" a="1"/>
  <c r="L21" i="1" s="1"/>
  <c r="L40" i="1" a="1"/>
  <c r="L40" i="1" s="1"/>
  <c r="L17" i="1" a="1"/>
  <c r="L17" i="1" s="1"/>
  <c r="L30" i="1" a="1"/>
  <c r="L30" i="1" s="1"/>
  <c r="L37" i="1" a="1"/>
  <c r="L37" i="1" s="1"/>
  <c r="L41" i="1" a="1"/>
  <c r="L41" i="1" s="1"/>
  <c r="L23" i="1" a="1"/>
  <c r="L23" i="1" s="1"/>
  <c r="L3" i="1" a="1"/>
  <c r="L3" i="1" s="1"/>
  <c r="L28" i="1" a="1"/>
  <c r="L28" i="1" s="1"/>
  <c r="L20" i="1" a="1"/>
  <c r="L20" i="1" s="1"/>
  <c r="L24" i="1" a="1"/>
  <c r="L24" i="1" s="1"/>
  <c r="L14" i="1" a="1"/>
  <c r="L14" i="1" s="1"/>
  <c r="L43" i="1" a="1"/>
  <c r="L43" i="1" s="1"/>
  <c r="L22" i="1" a="1"/>
  <c r="L22" i="1" s="1"/>
  <c r="L8" i="1" a="1"/>
  <c r="L8" i="1" s="1"/>
  <c r="L35" i="1" a="1"/>
  <c r="L35" i="1" s="1"/>
  <c r="L15" i="1" a="1"/>
  <c r="L15" i="1" s="1"/>
  <c r="L11" i="1" a="1"/>
  <c r="L11" i="1" s="1"/>
  <c r="L29" i="1" a="1"/>
  <c r="L29" i="1" s="1"/>
  <c r="L19" i="1" a="1"/>
  <c r="L19" i="1" s="1"/>
  <c r="H6" i="1" a="1"/>
  <c r="H6" i="1" s="1"/>
  <c r="H18" i="1" a="1"/>
  <c r="H18" i="1" s="1"/>
  <c r="H5" i="1" a="1"/>
  <c r="H5" i="1" s="1"/>
  <c r="H45" i="1" a="1"/>
  <c r="H45" i="1" s="1"/>
  <c r="H44" i="1" a="1"/>
  <c r="H44" i="1" s="1"/>
  <c r="H27" i="1" a="1"/>
  <c r="H27" i="1" s="1"/>
  <c r="H13" i="1" a="1"/>
  <c r="H13" i="1" s="1"/>
  <c r="H42" i="1" a="1"/>
  <c r="H42" i="1" s="1"/>
  <c r="H47" i="1" a="1"/>
  <c r="H47" i="1" s="1"/>
  <c r="H38" i="1" a="1"/>
  <c r="H38" i="1" s="1"/>
  <c r="H16" i="1" a="1"/>
  <c r="H16" i="1" s="1"/>
  <c r="H31" i="1" a="1"/>
  <c r="H31" i="1" s="1"/>
  <c r="H21" i="1" a="1"/>
  <c r="H21" i="1" s="1"/>
  <c r="H40" i="1" a="1"/>
  <c r="H40" i="1" s="1"/>
  <c r="H17" i="1" a="1"/>
  <c r="H17" i="1" s="1"/>
  <c r="H30" i="1" a="1"/>
  <c r="H30" i="1" s="1"/>
  <c r="H37" i="1" a="1"/>
  <c r="H37" i="1" s="1"/>
  <c r="H41" i="1" a="1"/>
  <c r="H41" i="1" s="1"/>
  <c r="H23" i="1" a="1"/>
  <c r="H23" i="1" s="1"/>
  <c r="H3" i="1" a="1"/>
  <c r="H3" i="1" s="1"/>
  <c r="H28" i="1" a="1"/>
  <c r="H28" i="1" s="1"/>
  <c r="H20" i="1" a="1"/>
  <c r="H20" i="1" s="1"/>
  <c r="H24" i="1" a="1"/>
  <c r="H24" i="1" s="1"/>
  <c r="H14" i="1" a="1"/>
  <c r="H14" i="1" s="1"/>
  <c r="H43" i="1" a="1"/>
  <c r="H43" i="1" s="1"/>
  <c r="H22" i="1" a="1"/>
  <c r="H22" i="1" s="1"/>
  <c r="H8" i="1" a="1"/>
  <c r="H8" i="1" s="1"/>
  <c r="H35" i="1" a="1"/>
  <c r="H35" i="1" s="1"/>
  <c r="H15" i="1" a="1"/>
  <c r="H15" i="1" s="1"/>
  <c r="H11" i="1" a="1"/>
  <c r="H11" i="1" s="1"/>
  <c r="H29" i="1" a="1"/>
  <c r="H29" i="1" s="1"/>
  <c r="H19" i="1" a="1"/>
  <c r="H19" i="1" s="1"/>
  <c r="G6" i="1" a="1"/>
  <c r="G6" i="1" s="1"/>
  <c r="G18" i="1" a="1"/>
  <c r="G18" i="1" s="1"/>
  <c r="G5" i="1" a="1"/>
  <c r="G5" i="1" s="1"/>
  <c r="G45" i="1" a="1"/>
  <c r="G45" i="1" s="1"/>
  <c r="G44" i="1" a="1"/>
  <c r="G44" i="1" s="1"/>
  <c r="G27" i="1" a="1"/>
  <c r="G27" i="1" s="1"/>
  <c r="G13" i="1" a="1"/>
  <c r="G13" i="1" s="1"/>
  <c r="G42" i="1" a="1"/>
  <c r="G42" i="1" s="1"/>
  <c r="G47" i="1" a="1"/>
  <c r="G47" i="1" s="1"/>
  <c r="G38" i="1" a="1"/>
  <c r="G38" i="1" s="1"/>
  <c r="G16" i="1" a="1"/>
  <c r="G16" i="1" s="1"/>
  <c r="G31" i="1" a="1"/>
  <c r="G31" i="1" s="1"/>
  <c r="G21" i="1" a="1"/>
  <c r="G21" i="1" s="1"/>
  <c r="G40" i="1" a="1"/>
  <c r="G40" i="1" s="1"/>
  <c r="G17" i="1" a="1"/>
  <c r="G17" i="1" s="1"/>
  <c r="G30" i="1" a="1"/>
  <c r="G30" i="1" s="1"/>
  <c r="G37" i="1" a="1"/>
  <c r="G37" i="1" s="1"/>
  <c r="G41" i="1" a="1"/>
  <c r="G41" i="1" s="1"/>
  <c r="G23" i="1" a="1"/>
  <c r="G23" i="1" s="1"/>
  <c r="G3" i="1" a="1"/>
  <c r="G3" i="1" s="1"/>
  <c r="G28" i="1" a="1"/>
  <c r="G28" i="1" s="1"/>
  <c r="G20" i="1" a="1"/>
  <c r="G20" i="1" s="1"/>
  <c r="G24" i="1" a="1"/>
  <c r="G24" i="1" s="1"/>
  <c r="G14" i="1" a="1"/>
  <c r="G14" i="1" s="1"/>
  <c r="G43" i="1" a="1"/>
  <c r="G43" i="1" s="1"/>
  <c r="G22" i="1" a="1"/>
  <c r="G22" i="1" s="1"/>
  <c r="G8" i="1" a="1"/>
  <c r="G8" i="1" s="1"/>
  <c r="G35" i="1" a="1"/>
  <c r="G35" i="1" s="1"/>
  <c r="G15" i="1" a="1"/>
  <c r="G15" i="1" s="1"/>
  <c r="G11" i="1" a="1"/>
  <c r="G11" i="1" s="1"/>
  <c r="G29" i="1" a="1"/>
  <c r="G29" i="1" s="1"/>
  <c r="G19" i="1" a="1"/>
  <c r="G19" i="1" s="1"/>
  <c r="F6" i="1" a="1"/>
  <c r="F6" i="1" s="1"/>
  <c r="F18" i="1" a="1"/>
  <c r="F18" i="1" s="1"/>
  <c r="F5" i="1" a="1"/>
  <c r="F5" i="1" s="1"/>
  <c r="F45" i="1" a="1"/>
  <c r="F45" i="1" s="1"/>
  <c r="F44" i="1" a="1"/>
  <c r="F44" i="1" s="1"/>
  <c r="F27" i="1" a="1"/>
  <c r="F27" i="1" s="1"/>
  <c r="F13" i="1" a="1"/>
  <c r="F13" i="1" s="1"/>
  <c r="F42" i="1" a="1"/>
  <c r="F42" i="1" s="1"/>
  <c r="F47" i="1" a="1"/>
  <c r="F47" i="1" s="1"/>
  <c r="F38" i="1" a="1"/>
  <c r="F38" i="1" s="1"/>
  <c r="F16" i="1" a="1"/>
  <c r="F16" i="1" s="1"/>
  <c r="F31" i="1" a="1"/>
  <c r="F31" i="1" s="1"/>
  <c r="F21" i="1" a="1"/>
  <c r="F21" i="1" s="1"/>
  <c r="F40" i="1" a="1"/>
  <c r="F40" i="1" s="1"/>
  <c r="F17" i="1" a="1"/>
  <c r="F17" i="1" s="1"/>
  <c r="F30" i="1" a="1"/>
  <c r="F30" i="1" s="1"/>
  <c r="F37" i="1" a="1"/>
  <c r="F37" i="1" s="1"/>
  <c r="F41" i="1" a="1"/>
  <c r="F41" i="1" s="1"/>
  <c r="F23" i="1" a="1"/>
  <c r="F23" i="1" s="1"/>
  <c r="F3" i="1" a="1"/>
  <c r="F3" i="1" s="1"/>
  <c r="B19" i="1" a="1"/>
  <c r="B19" i="1" s="1"/>
  <c r="B29" i="1" a="1"/>
  <c r="B29" i="1" s="1"/>
  <c r="B11" i="1" a="1"/>
  <c r="B11" i="1" s="1"/>
  <c r="B15" i="1" a="1"/>
  <c r="B15" i="1" s="1"/>
  <c r="B35" i="1" a="1"/>
  <c r="B35" i="1" s="1"/>
  <c r="B8" i="1" a="1"/>
  <c r="B8" i="1" s="1"/>
  <c r="B22" i="1" a="1"/>
  <c r="B22" i="1" s="1"/>
  <c r="B43" i="1" a="1"/>
  <c r="B43" i="1" s="1"/>
  <c r="B14" i="1" a="1"/>
  <c r="B14" i="1" s="1"/>
  <c r="B24" i="1" a="1"/>
  <c r="B24" i="1" s="1"/>
  <c r="B20" i="1" a="1"/>
  <c r="B20" i="1" s="1"/>
  <c r="B28" i="1" a="1"/>
  <c r="B28" i="1" s="1"/>
  <c r="B3" i="1" a="1"/>
  <c r="B3" i="1" s="1"/>
  <c r="B23" i="1" a="1"/>
  <c r="B23" i="1" s="1"/>
  <c r="B41" i="1" a="1"/>
  <c r="B41" i="1" s="1"/>
  <c r="B37" i="1" a="1"/>
  <c r="B37" i="1" s="1"/>
  <c r="B30" i="1" a="1"/>
  <c r="B30" i="1" s="1"/>
  <c r="B17" i="1" a="1"/>
  <c r="B17" i="1" s="1"/>
  <c r="B40" i="1" a="1"/>
  <c r="B40" i="1" s="1"/>
  <c r="B21" i="1" a="1"/>
  <c r="B21" i="1" s="1"/>
  <c r="B31" i="1" a="1"/>
  <c r="B31" i="1" s="1"/>
  <c r="B16" i="1" a="1"/>
  <c r="B16" i="1" s="1"/>
  <c r="B38" i="1" a="1"/>
  <c r="B38" i="1" s="1"/>
  <c r="B47" i="1" a="1"/>
  <c r="B47" i="1" s="1"/>
  <c r="B42" i="1" a="1"/>
  <c r="B42" i="1" s="1"/>
  <c r="B13" i="1" a="1"/>
  <c r="B13" i="1" s="1"/>
  <c r="B27" i="1" a="1"/>
  <c r="B27" i="1" s="1"/>
  <c r="B44" i="1" a="1"/>
  <c r="B44" i="1" s="1"/>
  <c r="B45" i="1" a="1"/>
  <c r="B45" i="1" s="1"/>
  <c r="B5" i="1" a="1"/>
  <c r="B5" i="1" s="1"/>
  <c r="B18" i="1" a="1"/>
  <c r="B18" i="1" s="1"/>
  <c r="B6" i="1" a="1"/>
  <c r="B6" i="1" s="1"/>
  <c r="J2" i="1" l="1"/>
  <c r="J9" i="1"/>
  <c r="K2" i="1"/>
  <c r="K9" i="1"/>
  <c r="J4" i="1"/>
  <c r="K4" i="1"/>
  <c r="K40" i="1"/>
  <c r="K44" i="1"/>
  <c r="K19" i="1"/>
  <c r="K24" i="1"/>
  <c r="K35" i="1"/>
  <c r="K3" i="1"/>
  <c r="K18" i="1"/>
  <c r="J43" i="1"/>
  <c r="J37" i="1"/>
  <c r="J42" i="1"/>
  <c r="K38" i="1"/>
  <c r="K14" i="1"/>
  <c r="K30" i="1"/>
  <c r="J13" i="1"/>
  <c r="K8" i="1"/>
  <c r="K23" i="1"/>
  <c r="K6" i="1"/>
  <c r="K29" i="1"/>
  <c r="K20" i="1"/>
  <c r="K21" i="1"/>
  <c r="K45" i="1"/>
  <c r="K5" i="1"/>
  <c r="J22" i="1"/>
  <c r="J41" i="1"/>
  <c r="K11" i="1"/>
  <c r="K31" i="1"/>
  <c r="J47" i="1"/>
  <c r="K17" i="1"/>
  <c r="K27" i="1"/>
  <c r="K15" i="1"/>
  <c r="K28" i="1"/>
  <c r="K16" i="1"/>
  <c r="K22" i="1"/>
  <c r="K41" i="1"/>
  <c r="K47" i="1"/>
  <c r="K43" i="1"/>
  <c r="K37" i="1"/>
  <c r="K42" i="1"/>
  <c r="J6" i="1"/>
  <c r="K13" i="1"/>
  <c r="J14" i="1"/>
  <c r="J30" i="1"/>
  <c r="J40" i="1"/>
  <c r="J19" i="1"/>
  <c r="J24" i="1"/>
  <c r="J44" i="1"/>
  <c r="J8" i="1"/>
  <c r="J23" i="1"/>
  <c r="J38" i="1"/>
  <c r="J35" i="1"/>
  <c r="J3" i="1"/>
  <c r="J18" i="1"/>
  <c r="J17" i="1"/>
  <c r="J27" i="1"/>
  <c r="J29" i="1"/>
  <c r="J20" i="1"/>
  <c r="J21" i="1"/>
  <c r="J45" i="1"/>
  <c r="J31" i="1"/>
  <c r="J5" i="1"/>
  <c r="J11" i="1"/>
  <c r="J15" i="1"/>
  <c r="J28" i="1"/>
  <c r="J16"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4">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5"/>
        </ext>
      </extLst>
    </bk>
  </futureMetadata>
  <cellMetadata count="1">
    <bk>
      <rc t="1" v="0"/>
    </bk>
  </cellMetadata>
  <valueMetadata count="9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<sst xmlns="http://schemas.openxmlformats.org/spreadsheetml/2006/main" count="12" uniqueCount="12">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</sst>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96">
  <rv s="0">
    <v>https://www.bing.com/financeapi/forcetrigger?t=a1slm7&amp;q=XNAS%3aMETA&amp;form=skydnc</v>
    <v>Learn more on Bing</v>
  </rv>
  <rv s="1">
    <v>0</v>
    <v>META PLATFORMS, INC. (XNAS:META)</v>
    <v>2</v>
    <v>3</v>
    <v>Finance</v>
    <v>4</v>
    <v>en-US</v>
    <v>a1slm7</v>
    <v>268435456</v>
    <v>1</v>
    <v>Powered by Refinitiv</v>
    <v>796.25</v>
    <v>479.8</v>
    <v>1.2904</v>
    <v>14.205</v>
    <v>2.3927999999999998E-2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608.64</v>
    <v>Software &amp; IT Services</v>
    <v>Stock</v>
    <v>46104.65163765</v>
    <v>0</v>
    <v>599.01</v>
    <v>1537627950075</v>
    <v>META PLATFORMS, INC.</v>
    <v>META PLATFORMS, INC.</v>
    <v>605.38</v>
    <v>20.795500000000001</v>
    <v>593.66</v>
    <v>607.86500000000001</v>
    <v>2529555000</v>
    <v>META</v>
    <v>META PLATFORMS, INC. (XNAS:META)</v>
    <v>5747526</v>
    <v>12570279</v>
    <v>2004</v>
  </rv>
  <rv s="2">
    <v>1</v>
  </rv>
  <rv s="0">
    <v>http://en.wikipedia.org/wiki/Public_domain</v>
    <v>Public domain</v>
  </rv>
  <rv s="0">
    <v>https://en.wikipedia.org/wiki/Microsoft</v>
    <v>Wikipedia</v>
  </rv>
  <rv s="3">
    <v>3</v>
    <v>4</v>
  </rv>
  <rv s="4">
    <v>9</v>
    <v>https://www.bing.com/th?id=AMMS_e6e837c7bf3a77408619758b7447855a&amp;qlt=95</v>
    <v>5</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1.0891999999999999</v>
    <v>3.4750000000000001</v>
    <v>9.1000000000000004E-3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387.21</v>
    <v>6</v>
    <v>Software &amp; IT Services</v>
    <v>Stock</v>
    <v>46104.651715555468</v>
    <v>7</v>
    <v>383.52</v>
    <v>2861429007005</v>
    <v>MICROSOFT CORPORATION</v>
    <v>MICROSOFT CORPORATION</v>
    <v>383.84</v>
    <v>24.110600000000002</v>
    <v>381.87</v>
    <v>385.34500000000003</v>
    <v>7425629000</v>
    <v>MSFT</v>
    <v>MICROSOFT CORPORATION (XNAS:MSFT)</v>
    <v>9942534</v>
    <v>33403857</v>
    <v>1993</v>
  </rv>
  <rv s="2">
    <v>8</v>
  </rv>
  <rv s="0">
    <v>https://www.bing.com/financeapi/forcetrigger?t=a1u3rw&amp;q=XNAS%3aGOOGL&amp;form=skydnc</v>
    <v>Learn more on Bing</v>
  </rv>
  <rv s="1">
    <v>0</v>
    <v>ALPHABET INC. (XNAS:GOOGL)</v>
    <v>2</v>
    <v>3</v>
    <v>Finance</v>
    <v>4</v>
    <v>en-US</v>
    <v>a1u3rw</v>
    <v>268435456</v>
    <v>1</v>
    <v>Powered by Refinitiv</v>
    <v>349</v>
    <v>140.53</v>
    <v>1.1034999999999999</v>
    <v>4.33</v>
    <v>1.4384999999999998E-2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305.97000000000003</v>
    <v>Software &amp; IT Services</v>
    <v>Stock</v>
    <v>46104.651618240627</v>
    <v>10</v>
    <v>301.91000000000003</v>
    <v>3693577010000</v>
    <v>ALPHABET INC.</v>
    <v>ALPHABET INC.</v>
    <v>301.91000000000003</v>
    <v>28.245100000000001</v>
    <v>301</v>
    <v>305.33</v>
    <v>12097000000</v>
    <v>GOOGL</v>
    <v>ALPHABET INC. (XNAS:GOOGL)</v>
    <v>11559761</v>
    <v>30988994</v>
    <v>2015</v>
  </rv>
  <rv s="2">
    <v>11</v>
  </rv>
  <rv s="0">
    <v>https://www.bing.com/financeapi/forcetrigger?t=a1nhlh&amp;q=XNAS%3aAMZN&amp;form=skydnc</v>
    <v>Learn more on Bing</v>
  </rv>
  <rv s="1">
    <v>0</v>
    <v>AMAZON.COM, INC. (XNAS:AMZN)</v>
    <v>2</v>
    <v>3</v>
    <v>Finance</v>
    <v>4</v>
    <v>en-US</v>
    <v>a1nhlh</v>
    <v>268435456</v>
    <v>1</v>
    <v>Powered by Refinitiv</v>
    <v>258.60000000000002</v>
    <v>161.38</v>
    <v>1.3867</v>
    <v>6.5250000000000004</v>
    <v>3.1772000000000002E-2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212.8</v>
    <v>Diversified Retail</v>
    <v>Stock</v>
    <v>46104.651701099217</v>
    <v>13</v>
    <v>209.51</v>
    <v>2274675873400</v>
    <v>AMAZON.COM, INC.</v>
    <v>AMAZON.COM, INC.</v>
    <v>209.92</v>
    <v>29.543900000000001</v>
    <v>205.37</v>
    <v>211.89500000000001</v>
    <v>10734920000</v>
    <v>AMZN</v>
    <v>AMAZON.COM, INC. (XNAS:AMZN)</v>
    <v>19209485</v>
    <v>48628277</v>
    <v>1996</v>
  </rv>
  <rv s="2">
    <v>14</v>
  </rv>
  <rv s="0">
    <v>https://www.bing.com/financeapi/forcetrigger?t=a1mou2&amp;q=XNAS%3aAAPL&amp;form=skydnc</v>
    <v>Learn more on Bing</v>
  </rv>
  <rv s="1">
    <v>0</v>
    <v>APPLE INC. (XNAS:AAPL)</v>
    <v>2</v>
    <v>3</v>
    <v>Finance</v>
    <v>4</v>
    <v>en-US</v>
    <v>a1mou2</v>
    <v>268435456</v>
    <v>1</v>
    <v>Powered by Refinitiv</v>
    <v>288.62</v>
    <v>169.21010000000001</v>
    <v>1.1186</v>
    <v>4.54</v>
    <v>1.8307E-2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254.56</v>
    <v>Computers, Phones &amp; Household Electronics</v>
    <v>Stock</v>
    <v>46104.651710138278</v>
    <v>16</v>
    <v>251.02</v>
    <v>3712872831000</v>
    <v>APPLE INC.</v>
    <v>APPLE INC.</v>
    <v>254</v>
    <v>32.083199999999998</v>
    <v>247.99</v>
    <v>252.53</v>
    <v>14702700000</v>
    <v>AAPL</v>
    <v>APPLE INC. (XNAS:AAPL)</v>
    <v>13892827</v>
    <v>42069895</v>
    <v>1977</v>
  </rv>
  <rv s="2">
    <v>17</v>
  </rv>
  <rv s="0">
    <v>https://www.bing.com/financeapi/forcetrigger?t=a24kjc&amp;q=XNYS%3aTSM&amp;form=skydnc</v>
    <v>Learn more on Bing</v>
  </rv>
  <rv s="1">
    <v>0</v>
    <v>Taiwan Semiconductor Manufacturing Company Limited (XNYS:TSM)</v>
    <v>2</v>
    <v>3</v>
    <v>Finance</v>
    <v>4</v>
    <v>en-US</v>
    <v>a24kjc</v>
    <v>268435456</v>
    <v>1</v>
    <v>Powered by Refinitiv</v>
    <v>390.20499999999998</v>
    <v>134.25</v>
    <v>1.3638999999999999</v>
    <v>11.494999999999999</v>
    <v>3.4914000000000001E-2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343.41</v>
    <v>Semiconductors &amp; Semiconductor Equipment</v>
    <v>Stock</v>
    <v>46104.651718888279</v>
    <v>19</v>
    <v>331.1</v>
    <v>1767223781175</v>
    <v>Taiwan Semiconductor Manufacturing Company Limited</v>
    <v>Taiwan Semiconductor Manufacturing Company Limited</v>
    <v>331.16</v>
    <v>32.2303</v>
    <v>329.24</v>
    <v>340.73500000000001</v>
    <v>5186505000</v>
    <v>TSM</v>
    <v>Taiwan Semiconductor Manufacturing Company Limited (XNYS:TSM)</v>
    <v>8179101</v>
    <v>12790068</v>
    <v>1987</v>
  </rv>
  <rv s="2">
    <v>20</v>
  </rv>
  <rv s="0">
    <v>https://www.bing.com/financeapi/forcetrigger?t=a24p1h&amp;q=XNAS%3aTXN&amp;form=skydnc</v>
    <v>Learn more on Bing</v>
  </rv>
  <rv s="1">
    <v>0</v>
    <v>TEXAS INSTRUMENTS INCORPORATED (XNAS:TXN)</v>
    <v>2</v>
    <v>3</v>
    <v>Finance</v>
    <v>4</v>
    <v>en-US</v>
    <v>a24p1h</v>
    <v>268435456</v>
    <v>1</v>
    <v>Powered by Refinitiv</v>
    <v>231.32</v>
    <v>139.94999999999999</v>
    <v>1.0118</v>
    <v>4.6100000000000003</v>
    <v>2.4627E-2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194.97</v>
    <v>Semiconductors &amp; Semiconductor Equipment</v>
    <v>Stock</v>
    <v>46104.65163164297</v>
    <v>22</v>
    <v>189.07</v>
    <v>174626880120</v>
    <v>TEXAS INSTRUMENTS INCORPORATED</v>
    <v>TEXAS INSTRUMENTS INCORPORATED</v>
    <v>194.6</v>
    <v>34.999400000000001</v>
    <v>187.19</v>
    <v>191.8</v>
    <v>910463400</v>
    <v>TXN</v>
    <v>TEXAS INSTRUMENTS INCORPORATED (XNAS:TXN)</v>
    <v>1938202</v>
    <v>6631445</v>
    <v>1938</v>
  </rv>
  <rv s="2">
    <v>23</v>
  </rv>
  <rv s="0">
    <v>https://www.bing.com/financeapi/forcetrigger?t=a1yv52&amp;q=XNAS%3aNVDA&amp;form=skydnc</v>
    <v>Learn more on Bing</v>
  </rv>
  <rv s="1">
    <v>0</v>
    <v>NVIDIA CORPORATION (XNAS:NVDA)</v>
    <v>2</v>
    <v>3</v>
    <v>Finance</v>
    <v>4</v>
    <v>en-US</v>
    <v>a1yv52</v>
    <v>268435456</v>
    <v>1</v>
    <v>Powered by Refinitiv</v>
    <v>212.18989999999999</v>
    <v>86.62</v>
    <v>2.3338999999999999</v>
    <v>4.22</v>
    <v>2.4434999999999998E-2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178.37</v>
    <v>Semiconductors &amp; Semiconductor Equipment</v>
    <v>Stock</v>
    <v>46104.651708344529</v>
    <v>25</v>
    <v>175.87010000000001</v>
    <v>4299155999999</v>
    <v>NVIDIA CORPORATION</v>
    <v>NVIDIA CORPORATION</v>
    <v>177.38</v>
    <v>36.0929</v>
    <v>172.7</v>
    <v>176.92</v>
    <v>24300000000</v>
    <v>NVDA</v>
    <v>NVIDIA CORPORATION (XNAS:NVDA)</v>
    <v>82709044</v>
    <v>192142095</v>
    <v>1998</v>
  </rv>
  <rv s="2">
    <v>26</v>
  </rv>
  <rv s="0">
    <v>https://www.bing.com/financeapi/forcetrigger?t=a1ntlh&amp;q=XNAS%3aASML&amp;form=skydnc</v>
    <v>Learn more on Bing</v>
  </rv>
  <rv s="1">
    <v>0</v>
    <v>ASML Holding NV (XNAS:ASML)</v>
    <v>2</v>
    <v>3</v>
    <v>Finance</v>
    <v>4</v>
    <v>en-US</v>
    <v>a1ntlh</v>
    <v>268435456</v>
    <v>1</v>
    <v>Powered by Refinitiv</v>
    <v>1547.22</v>
    <v>578.51</v>
    <v>1.8769</v>
    <v>68.17</v>
    <v>5.1751999999999999E-2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1400.39</v>
    <v>Semiconductors &amp; Semiconductor Equipment</v>
    <v>Stock</v>
    <v>46104.651688957812</v>
    <v>28</v>
    <v>1348.11</v>
    <v>537747586534</v>
    <v>ASML Holding NV</v>
    <v>ASML Holding NV</v>
    <v>1357.78</v>
    <v>47.7303</v>
    <v>1317.25</v>
    <v>1385.42</v>
    <v>388147700</v>
    <v>ASML</v>
    <v>ASML Holding NV (XNAS:ASML)</v>
    <v>976262</v>
    <v>1519025</v>
    <v>1994</v>
  </rv>
  <rv s="2">
    <v>29</v>
  </rv>
  <rv s="0">
    <v>https://www.bing.com/financeapi/forcetrigger?t=a1x4f2&amp;q=XNAS%3aLRCX&amp;form=skydnc</v>
    <v>Learn more on Bing</v>
  </rv>
  <rv s="1">
    <v>0</v>
    <v>LAM RESEARCH CORPORATION (XNAS:LRCX)</v>
    <v>2</v>
    <v>3</v>
    <v>Finance</v>
    <v>4</v>
    <v>en-US</v>
    <v>a1x4f2</v>
    <v>268435456</v>
    <v>1</v>
    <v>Powered by Refinitiv</v>
    <v>256.68</v>
    <v>56.32</v>
    <v>1.7527999999999999</v>
    <v>7.14</v>
    <v>3.1265999999999995E-2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239.52</v>
    <v>Semiconductors &amp; Semiconductor Equipment</v>
    <v>Stock</v>
    <v>46104.651687210157</v>
    <v>31</v>
    <v>227.065</v>
    <v>294085570500</v>
    <v>LAM RESEARCH CORPORATION</v>
    <v>LAM RESEARCH CORPORATION</v>
    <v>230.6</v>
    <v>48.265099999999997</v>
    <v>228.36</v>
    <v>235.5</v>
    <v>1248771000</v>
    <v>LRCX</v>
    <v>LAM RESEARCH CORPORATION (XNAS:LRCX)</v>
    <v>3378670</v>
    <v>10723939</v>
    <v>1989</v>
  </rv>
  <rv s="2">
    <v>32</v>
  </rv>
  <rv s="0">
    <v>https://www.bing.com/financeapi/forcetrigger?t=a1ndww&amp;q=XNAS%3aAMD&amp;form=skydnc</v>
    <v>Learn more on Bing</v>
  </rv>
  <rv s="1">
    <v>0</v>
    <v>ADVANCED MICRO DEVICES, INC. (XNAS:AMD)</v>
    <v>2</v>
    <v>3</v>
    <v>Finance</v>
    <v>4</v>
    <v>en-US</v>
    <v>a1ndww</v>
    <v>268435456</v>
    <v>1</v>
    <v>Powered by Refinitiv</v>
    <v>267.07990000000001</v>
    <v>76.48</v>
    <v>1.9626999999999999</v>
    <v>4.7549999999999999</v>
    <v>2.3618E-2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209.1</v>
    <v>Semiconductors &amp; Semiconductor Equipment</v>
    <v>Stock</v>
    <v>46104.651684548437</v>
    <v>34</v>
    <v>205.71</v>
    <v>336003250935</v>
    <v>ADVANCED MICRO DEVICES, INC.</v>
    <v>ADVANCED MICRO DEVICES, INC.</v>
    <v>206.39</v>
    <v>79.129499999999993</v>
    <v>201.33</v>
    <v>206.08500000000001</v>
    <v>1630411000</v>
    <v>AMD</v>
    <v>ADVANCED MICRO DEVICES, INC. (XNAS:AMD)</v>
    <v>14795045</v>
    <v>34382170</v>
    <v>1969</v>
  </rv>
  <rv s="2">
    <v>35</v>
  </rv>
  <rv s="0">
    <v>https://www.bing.com/financeapi/forcetrigger?t=a1pwqh&amp;q=XNAS%3aCMCSA&amp;form=skydnc</v>
    <v>Learn more on Bing</v>
  </rv>
  <rv s="1">
    <v>0</v>
    <v>COMCAST CORPORATION (XNAS:CMCSA)</v>
    <v>2</v>
    <v>3</v>
    <v>Finance</v>
    <v>4</v>
    <v>en-US</v>
    <v>a1pwqh</v>
    <v>268435456</v>
    <v>1</v>
    <v>Powered by Refinitiv</v>
    <v>35.337299999999999</v>
    <v>24.1234</v>
    <v>0.78590000000000004</v>
    <v>0.155</v>
    <v>5.3410000000000003E-3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29.385000000000002</v>
    <v>Telecommunications Services</v>
    <v>Stock</v>
    <v>46104.651722765622</v>
    <v>37</v>
    <v>28.86</v>
    <v>104967157050</v>
    <v>COMCAST CORPORATION</v>
    <v>COMCAST CORPORATION</v>
    <v>29.1</v>
    <v>5.4272</v>
    <v>29.02</v>
    <v>29.175000000000001</v>
    <v>3597846000</v>
    <v>CMCSA</v>
    <v>COMCAST CORPORATION (XNAS:CMCSA)</v>
    <v>5559296</v>
    <v>35373298</v>
    <v>2001</v>
  </rv>
  <rv s="2">
    <v>38</v>
  </rv>
  <rv s="0">
    <v>https://www.bing.com/financeapi/forcetrigger?t=a23www&amp;q=XNYS%3aT&amp;form=skydnc</v>
    <v>Learn more on Bing</v>
  </rv>
  <rv s="1">
    <v>0</v>
    <v>AT&amp;T INC. (XNYS:T)</v>
    <v>2</v>
    <v>3</v>
    <v>Finance</v>
    <v>4</v>
    <v>en-US</v>
    <v>a23www</v>
    <v>268435456</v>
    <v>1</v>
    <v>Powered by Refinitiv</v>
    <v>29.79</v>
    <v>22.95</v>
    <v>0.33079999999999998</v>
    <v>0.191</v>
    <v>6.7469999999999995E-3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28.855</v>
    <v>Telecommunications Services</v>
    <v>Stock</v>
    <v>46104.651644178128</v>
    <v>40</v>
    <v>27.87</v>
    <v>199523445077</v>
    <v>AT&amp;T INC.</v>
    <v>AT&amp;T INC.</v>
    <v>28.245000000000001</v>
    <v>9.3397000000000006</v>
    <v>28.31</v>
    <v>28.501000000000001</v>
    <v>7000577000</v>
    <v>T</v>
    <v>AT&amp;T INC. (XNYS:T)</v>
    <v>12811702</v>
    <v>42771297</v>
    <v>1983</v>
  </rv>
  <rv s="2">
    <v>41</v>
  </rv>
  <rv s="0">
    <v>https://www.bing.com/financeapi/forcetrigger?t=a25obh&amp;q=XNYS%3aVZ&amp;form=skydnc</v>
    <v>Learn more on Bing</v>
  </rv>
  <rv s="1">
    <v>0</v>
    <v>VERIZON COMMUNICATIONS INC. (XNYS:VZ)</v>
    <v>2</v>
    <v>3</v>
    <v>Finance</v>
    <v>4</v>
    <v>en-US</v>
    <v>a25obh</v>
    <v>268435456</v>
    <v>1</v>
    <v>Powered by Refinitiv</v>
    <v>51.664999999999999</v>
    <v>38.39</v>
    <v>0.27239999999999998</v>
    <v>0.34499999999999997</v>
    <v>6.9030000000000003E-3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50.6</v>
    <v>Telecommunications Services</v>
    <v>Stock</v>
    <v>46104.651672789063</v>
    <v>43</v>
    <v>49.62</v>
    <v>212254947300</v>
    <v>VERIZON COMMUNICATIONS INC.</v>
    <v>VERIZON COMMUNICATIONS INC.</v>
    <v>49.84</v>
    <v>12.395300000000001</v>
    <v>49.98</v>
    <v>50.325000000000003</v>
    <v>4217684000</v>
    <v>VZ</v>
    <v>VERIZON COMMUNICATIONS INC. (XNYS:VZ)</v>
    <v>8166644</v>
    <v>27794917</v>
    <v>1983</v>
  </rv>
  <rv s="2">
    <v>44</v>
  </rv>
  <rv s="0">
    <v>https://www.bing.com/financeapi/forcetrigger?t=a1tppr&amp;q=XNYS%3aGD&amp;form=skydnc</v>
    <v>Learn more on Bing</v>
  </rv>
  <rv s="1">
    <v>0</v>
    <v>GENERAL DYNAMICS CORPORATION (XNYS:GD)</v>
    <v>2</v>
    <v>3</v>
    <v>Finance</v>
    <v>4</v>
    <v>en-US</v>
    <v>a1tppr</v>
    <v>268435456</v>
    <v>1</v>
    <v>Powered by Refinitiv</v>
    <v>369.7</v>
    <v>239.2</v>
    <v>0.38340000000000002</v>
    <v>4.8150000000000004</v>
    <v>1.3925E-2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351.28</v>
    <v>Aerospace &amp; Defense</v>
    <v>Stock</v>
    <v>46104.651688471873</v>
    <v>46</v>
    <v>342.82</v>
    <v>94797311931</v>
    <v>GENERAL DYNAMICS CORPORATION</v>
    <v>GENERAL DYNAMICS CORPORATION</v>
    <v>349.28</v>
    <v>22.686699999999998</v>
    <v>345.78</v>
    <v>350.59500000000003</v>
    <v>270389800</v>
    <v>GD</v>
    <v>GENERAL DYNAMICS CORPORATION (XNYS:GD)</v>
    <v>255417</v>
    <v>1266644</v>
    <v>1952</v>
  </rv>
  <rv s="2">
    <v>47</v>
  </rv>
  <rv s="0">
    <v>https://www.bing.com/financeapi/forcetrigger?t=a1wzw7&amp;q=XNYS%3aLMT&amp;form=skydnc</v>
    <v>Learn more on Bing</v>
  </rv>
  <rv s="1">
    <v>0</v>
    <v>LOCKHEED MARTIN CORPORATION (XNYS:LMT)</v>
    <v>2</v>
    <v>3</v>
    <v>Finance</v>
    <v>4</v>
    <v>en-US</v>
    <v>a1wzw7</v>
    <v>268435456</v>
    <v>1</v>
    <v>Powered by Refinitiv</v>
    <v>692</v>
    <v>410.11</v>
    <v>0.22259999999999999</v>
    <v>-0.91500000000000004</v>
    <v>-1.4580000000000001E-3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629.65790000000004</v>
    <v>Aerospace &amp; Defense</v>
    <v>Stock</v>
    <v>46104.651636770315</v>
    <v>49</v>
    <v>610.63</v>
    <v>144148696503</v>
    <v>LOCKHEED MARTIN CORPORATION</v>
    <v>LOCKHEED MARTIN CORPORATION</v>
    <v>627.46</v>
    <v>29.159099999999999</v>
    <v>627.42999999999995</v>
    <v>626.51499999999999</v>
    <v>230080200</v>
    <v>LMT</v>
    <v>LOCKHEED MARTIN CORPORATION (XNYS:LMT)</v>
    <v>540460</v>
    <v>1803800</v>
    <v>1994</v>
  </rv>
  <rv s="2">
    <v>50</v>
  </rv>
  <rv s="0">
    <v>https://www.bing.com/financeapi/forcetrigger?t=a1mvm7&amp;q=XNYS%3aADM&amp;form=skydnc</v>
    <v>Learn more on Bing</v>
  </rv>
  <rv s="1">
    <v>0</v>
    <v>ARCHER-DANIELS-MIDLAND COMPANY. (XNYS:ADM)</v>
    <v>2</v>
    <v>3</v>
    <v>Finance</v>
    <v>4</v>
    <v>en-US</v>
    <v>a1mvm7</v>
    <v>268435456</v>
    <v>1</v>
    <v>Powered by Refinitiv</v>
    <v>73.72</v>
    <v>40.98</v>
    <v>0.68500000000000005</v>
    <v>1.77</v>
    <v>2.6749000000000002E-2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68.44</v>
    <v>Food &amp; Tobacco</v>
    <v>Stock</v>
    <v>46104.651660253905</v>
    <v>52</v>
    <v>65.94</v>
    <v>32692850292</v>
    <v>ARCHER-DANIELS-MIDLAND COMPANY.</v>
    <v>ARCHER-DANIELS-MIDLAND COMPANY.</v>
    <v>66.14</v>
    <v>30.486899999999999</v>
    <v>66.17</v>
    <v>67.94</v>
    <v>481201800</v>
    <v>ADM</v>
    <v>ARCHER-DANIELS-MIDLAND COMPANY. (XNYS:ADM)</v>
    <v>827277</v>
    <v>4174193</v>
    <v>1923</v>
  </rv>
  <rv s="2">
    <v>53</v>
  </rv>
  <rv s="0">
    <v>https://www.bing.com/financeapi/forcetrigger?t=a1wjz2&amp;q=XNYS%3aKMB&amp;form=skydnc</v>
    <v>Learn more on Bing</v>
  </rv>
  <rv s="1">
    <v>0</v>
    <v>KIMBERLY-CLARK CORPORATION (XNAS:KMB)</v>
    <v>2</v>
    <v>3</v>
    <v>Finance</v>
    <v>4</v>
    <v>en-US</v>
    <v>a1wjz2</v>
    <v>268435456</v>
    <v>1</v>
    <v>Powered by Refinitiv</v>
    <v>147.12</v>
    <v>96.26</v>
    <v>0.28989999999999999</v>
    <v>2.2000000000000002</v>
    <v>2.2402999999999999E-2</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100.64</v>
    <v>Personal &amp; Household Products &amp; Services</v>
    <v>Stock</v>
    <v>46104.651695983594</v>
    <v>55</v>
    <v>98.56</v>
    <v>33325008960</v>
    <v>KIMBERLY-CLARK CORPORATION</v>
    <v>KIMBERLY-CLARK CORPORATION</v>
    <v>99.69</v>
    <v>20.551500000000001</v>
    <v>98.2</v>
    <v>100.4</v>
    <v>331922400</v>
    <v>KMB</v>
    <v>KIMBERLY-CLARK CORPORATION (XNAS:KMB)</v>
    <v>1483467</v>
    <v>5081106</v>
    <v>1928</v>
  </rv>
  <rv s="2">
    <v>56</v>
  </rv>
  <rv s="0">
    <v>https://www.bing.com/financeapi/forcetrigger?t=axyhnm&amp;q=XNAS%3aPEP&amp;form=skydnc</v>
    <v>Learn more on Bing</v>
  </rv>
  <rv s="1">
    <v>0</v>
    <v>Pepsico, Inc. (XNAS:PEP)</v>
    <v>2</v>
    <v>3</v>
    <v>Finance</v>
    <v>4</v>
    <v>en-US</v>
    <v>axyhnm</v>
    <v>268435456</v>
    <v>1</v>
    <v>Powered by Refinitiv</v>
    <v>171.48</v>
    <v>127.6</v>
    <v>0.42799999999999999</v>
    <v>1.0549999999999999</v>
    <v>7.0309999999999991E-3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152.30000000000001</v>
    <v>Beverages</v>
    <v>Stock</v>
    <v>46104.651660995311</v>
    <v>58</v>
    <v>150.06</v>
    <v>206493830655</v>
    <v>Pepsico, Inc.</v>
    <v>Pepsico, Inc.</v>
    <v>152.30000000000001</v>
    <v>25.176200000000001</v>
    <v>150.04</v>
    <v>151.095</v>
    <v>1366649000</v>
    <v>PEP</v>
    <v>Pepsico, Inc. (XNAS:PEP)</v>
    <v>1459377</v>
    <v>6799685</v>
    <v>1986</v>
  </rv>
  <rv s="2">
    <v>59</v>
  </rv>
  <rv s="0">
    <v>https://www.bing.com/financeapi/forcetrigger?t=a1uwu2&amp;q=XNYS%3aHSY&amp;form=skydnc</v>
    <v>Learn more on Bing</v>
  </rv>
  <rv s="1">
    <v>0</v>
    <v>THE HERSHEY COMPANY (XNYS:HSY)</v>
    <v>2</v>
    <v>3</v>
    <v>Finance</v>
    <v>4</v>
    <v>en-US</v>
    <v>a1uwu2</v>
    <v>268435456</v>
    <v>1</v>
    <v>Powered by Refinitiv</v>
    <v>239.48</v>
    <v>150.04</v>
    <v>0.1734</v>
    <v>5.21</v>
    <v>2.4792999999999999E-2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215.65</v>
    <v>Food &amp; Tobacco</v>
    <v>Stock</v>
    <v>46104.651683251563</v>
    <v>61</v>
    <v>210.26</v>
    <v>43649485315</v>
    <v>THE HERSHEY COMPANY</v>
    <v>THE HERSHEY COMPANY</v>
    <v>210.95</v>
    <v>49.6004</v>
    <v>210.14</v>
    <v>215.35</v>
    <v>202690900</v>
    <v>HSY</v>
    <v>THE HERSHEY COMPANY (XNYS:HSY)</v>
    <v>390881</v>
    <v>1882822</v>
    <v>1927</v>
  </rv>
  <rv s="2">
    <v>62</v>
  </rv>
  <rv s="0">
    <v>https://www.bing.com/financeapi/forcetrigger?t=a24km7&amp;q=XNYS%3aTSN&amp;form=skydnc</v>
    <v>Learn more on Bing</v>
  </rv>
  <rv s="1">
    <v>0</v>
    <v>TYSON FOODS, INCORPORATED (XNYS:TSN)</v>
    <v>2</v>
    <v>3</v>
    <v>Finance</v>
    <v>4</v>
    <v>en-US</v>
    <v>a24km7</v>
    <v>268435456</v>
    <v>1</v>
    <v>Powered by Refinitiv</v>
    <v>66.41</v>
    <v>50.56</v>
    <v>0.48349999999999999</v>
    <v>1.429</v>
    <v>2.4562E-2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59.82</v>
    <v>Food &amp; Tobacco</v>
    <v>Stock</v>
    <v>46104.651615485935</v>
    <v>64</v>
    <v>57.9</v>
    <v>20987077111</v>
    <v>TYSON FOODS, INCORPORATED</v>
    <v>TYSON FOODS, INCORPORATED</v>
    <v>58.7</v>
    <v>104.5222</v>
    <v>58.18</v>
    <v>59.609000000000002</v>
    <v>352079000</v>
    <v>TSN</v>
    <v>TYSON FOODS, INCORPORATED (XNYS:TSN)</v>
    <v>967404</v>
    <v>3333022</v>
    <v>1986</v>
  </rv>
  <rv s="2">
    <v>65</v>
  </rv>
  <rv s="0">
    <v>http://zh.wikipedia.org/wiki/味可美</v>
    <v>Wikipedia</v>
  </rv>
  <rv s="3">
    <v>3</v>
    <v>67</v>
  </rv>
  <rv s="4">
    <v>9</v>
    <v>https://www.bing.com/th?id=AMMS_8d96836a886471f7120ce0135f3ca8bd&amp;qlt=95</v>
    <v>68</v>
    <v>0</v>
    <v>https://www.bing.com/images/search?form=xlimg&amp;q=mccormick+%26+company</v>
    <v>Image of MCCORMICK &amp; COMPANY, INCORPORATED</v>
  </rv>
  <rv s="0">
    <v>https://www.bing.com/financeapi/forcetrigger?t=a1xof2&amp;q=XNYS%3aMKC.V&amp;form=skydnc</v>
    <v>Learn more on Bing</v>
  </rv>
  <rv s="5">
    <v>5</v>
    <v>MCCORMICK &amp; COMPANY, INCORPORATED (XNYS:MKC.V)</v>
    <v>7</v>
    <v>8</v>
    <v>Finance</v>
    <v>4</v>
    <v>en-US</v>
    <v>a1xof2</v>
    <v>268435456</v>
    <v>1</v>
    <v>Powered by Refinitiv</v>
    <v>82.53</v>
    <v>53.25</v>
    <v>0.69079999999999997</v>
    <v>0.28999999999999998</v>
    <v>5.4459999999999995E-3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54.11</v>
    <v>69</v>
    <v>Food &amp; Tobacco</v>
    <v>Stock</v>
    <v>46104.650448946093</v>
    <v>70</v>
    <v>53.305</v>
    <v>14372181228</v>
    <v>MCCORMICK &amp; COMPANY, INCORPORATED</v>
    <v>MCCORMICK &amp; COMPANY, INCORPORATED</v>
    <v>53.305</v>
    <v>0</v>
    <v>53.25</v>
    <v>53.54</v>
    <v>268438200</v>
    <v>MKC.V</v>
    <v>MCCORMICK &amp; COMPANY, INCORPORATED (XNYS:MKC.V)</v>
    <v>1257</v>
    <v>7791</v>
    <v>1915</v>
  </rv>
  <rv s="2">
    <v>71</v>
  </rv>
  <rv s="0">
    <v>https://www.bing.com/financeapi/forcetrigger?t=a2319c&amp;q=XNYS%3aSJM&amp;form=skydnc</v>
    <v>Learn more on Bing</v>
  </rv>
  <rv s="1">
    <v>0</v>
    <v>THE J. M. SMUCKER COMPANY (XNYS:SJM)</v>
    <v>2</v>
    <v>3</v>
    <v>Finance</v>
    <v>4</v>
    <v>en-US</v>
    <v>a2319c</v>
    <v>268435456</v>
    <v>1</v>
    <v>Powered by Refinitiv</v>
    <v>120.76</v>
    <v>93.3</v>
    <v>0.24890000000000001</v>
    <v>-0.29499999999999998</v>
    <v>-2.9689999999999999E-3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100.81</v>
    <v>Food &amp; Tobacco</v>
    <v>Stock</v>
    <v>46104.651656885937</v>
    <v>73</v>
    <v>97.751000000000005</v>
    <v>10566180322</v>
    <v>THE J. M. SMUCKER COMPANY</v>
    <v>THE J. M. SMUCKER COMPANY</v>
    <v>100.81</v>
    <v>0</v>
    <v>99.37</v>
    <v>99.075000000000003</v>
    <v>106648300</v>
    <v>SJM</v>
    <v>THE J. M. SMUCKER COMPANY (XNYS:SJM)</v>
    <v>384689</v>
    <v>2746715</v>
    <v>1921</v>
  </rv>
  <rv s="2">
    <v>74</v>
  </rv>
  <rv s="0">
    <v>https://www.bing.com/financeapi/forcetrigger?t=a1tvzr&amp;q=XNYS%3aGIS&amp;form=skydnc</v>
    <v>Learn more on Bing</v>
  </rv>
  <rv s="1">
    <v>0</v>
    <v>GENERAL MILLS, INC. (XNYS:GIS)</v>
    <v>2</v>
    <v>3</v>
    <v>Finance</v>
    <v>4</v>
    <v>en-US</v>
    <v>a1tvzr</v>
    <v>268435456</v>
    <v>1</v>
    <v>Powered by Refinitiv</v>
    <v>62.61</v>
    <v>36.765000000000001</v>
    <v>7.3000000000000001E-3</v>
    <v>0.55000000000000004</v>
    <v>1.4860999999999999E-2</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37.65</v>
    <v>Food &amp; Tobacco</v>
    <v>Stock</v>
    <v>46104.651677742972</v>
    <v>76</v>
    <v>36.765000000000001</v>
    <v>20045065872</v>
    <v>GENERAL MILLS, INC.</v>
    <v>GENERAL MILLS, INC.</v>
    <v>37.299999999999997</v>
    <v>8.0581999999999994</v>
    <v>37.01</v>
    <v>37.56</v>
    <v>533681200</v>
    <v>GIS</v>
    <v>GENERAL MILLS, INC. (XNYS:GIS)</v>
    <v>3319491</v>
    <v>9756970</v>
    <v>1928</v>
  </rv>
  <rv s="2">
    <v>77</v>
  </rv>
  <rv s="0">
    <v>https://www.bing.com/financeapi/forcetrigger?t=a1q7jc&amp;q=XNYS%3aCPB&amp;form=skydnc</v>
    <v>Learn more on Bing</v>
  </rv>
  <rv s="1">
    <v>0</v>
    <v>THE CAMPBELL'S COMPANY (XNAS:CPB)</v>
    <v>2</v>
    <v>3</v>
    <v>Finance</v>
    <v>4</v>
    <v>en-US</v>
    <v>a1q7jc</v>
    <v>268435456</v>
    <v>1</v>
    <v>Powered by Refinitiv</v>
    <v>40.590000000000003</v>
    <v>20.8</v>
    <v>5.3900000000000003E-2</v>
    <v>1.4999999999999999E-2</v>
    <v>7.1190000000000001E-4</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21.27</v>
    <v>Food &amp; Tobacco</v>
    <v>Stock</v>
    <v>46104.65162898125</v>
    <v>79</v>
    <v>20.84</v>
    <v>6286418952</v>
    <v>THE CAMPBELL'S COMPANY</v>
    <v>THE CAMPBELL'S COMPANY</v>
    <v>21.27</v>
    <v>10.9175</v>
    <v>21.07</v>
    <v>21.085000000000001</v>
    <v>298146500</v>
    <v>CPB</v>
    <v>THE CAMPBELL'S COMPANY (XNAS:CPB)</v>
    <v>2763657</v>
    <v>9748827</v>
    <v>1922</v>
  </rv>
  <rv s="2">
    <v>80</v>
  </rv>
  <rv s="0">
    <v>https://www.bing.com/financeapi/forcetrigger?t=a1pvu2&amp;q=XNYS%3aCLX&amp;form=skydnc</v>
    <v>Learn more on Bing</v>
  </rv>
  <rv s="1">
    <v>0</v>
    <v>THE CLOROX COMPANY (XNYS:CLX)</v>
    <v>2</v>
    <v>3</v>
    <v>Finance</v>
    <v>4</v>
    <v>en-US</v>
    <v>a1pvu2</v>
    <v>268435456</v>
    <v>1</v>
    <v>Powered by Refinitiv</v>
    <v>150.84</v>
    <v>96.6601</v>
    <v>0.63670000000000004</v>
    <v>1.6</v>
    <v>1.5073000000000001E-2</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108.75</v>
    <v>Personal &amp; Household Products &amp; Services</v>
    <v>Stock</v>
    <v>46104.651596875003</v>
    <v>82</v>
    <v>106.74</v>
    <v>13028257225</v>
    <v>THE CLOROX COMPANY</v>
    <v>THE CLOROX COMPANY</v>
    <v>108.15</v>
    <v>17.6053</v>
    <v>106.15</v>
    <v>107.75</v>
    <v>120911900</v>
    <v>CLX</v>
    <v>THE CLOROX COMPANY (XNYS:CLX)</v>
    <v>486873</v>
    <v>2071277</v>
    <v>1986</v>
  </rv>
  <rv s="2">
    <v>83</v>
  </rv>
  <rv s="0">
    <v>https://www.bing.com/financeapi/forcetrigger?t=a1yjxm&amp;q=XNYS%3aNKE&amp;form=skydnc</v>
    <v>Learn more on Bing</v>
  </rv>
  <rv s="1">
    <v>0</v>
    <v>NIKE, INC. (XNYS:NKE)</v>
    <v>2</v>
    <v>3</v>
    <v>Finance</v>
    <v>4</v>
    <v>en-US</v>
    <v>a1yjxm</v>
    <v>268435456</v>
    <v>1</v>
    <v>Powered by Refinitiv</v>
    <v>80.165000000000006</v>
    <v>52.174999999999997</v>
    <v>1.3226</v>
    <v>0.81</v>
    <v>1.5467E-2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53.56</v>
    <v>Textiles &amp; Apparel</v>
    <v>Stock</v>
    <v>46104.651644907033</v>
    <v>85</v>
    <v>52.579500000000003</v>
    <v>78726767940</v>
    <v>NIKE, INC.</v>
    <v>NIKE, INC.</v>
    <v>53.29</v>
    <v>31.183299999999999</v>
    <v>52.37</v>
    <v>53.18</v>
    <v>1480383000</v>
    <v>NKE</v>
    <v>NIKE, INC. (XNYS:NKE)</v>
    <v>5562883</v>
    <v>16146060</v>
    <v>1969</v>
  </rv>
  <rv s="2">
    <v>86</v>
  </rv>
  <rv s="0">
    <v>http://en.wikipedia.org/wiki/McDonald's</v>
    <v>Wikipedia</v>
  </rv>
  <rv s="3">
    <v>3</v>
    <v>88</v>
  </rv>
  <rv s="4">
    <v>9</v>
    <v>https://www.bing.com/th?id=AMMS_7d8255243964a8970376f8dd41121106&amp;qlt=95</v>
    <v>89</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0.5353</v>
    <v>1.74</v>
    <v>5.6340000000000001E-3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313.99</v>
    <v>90</v>
    <v>Hotels &amp; Entertainment Services</v>
    <v>Stock</v>
    <v>46104.651613113281</v>
    <v>91</v>
    <v>309.06</v>
    <v>220642701173</v>
    <v>MCDONALD'S CORPORATION</v>
    <v>MCDONALD'S CORPORATION</v>
    <v>313.60000000000002</v>
    <v>25.9834</v>
    <v>308.85000000000002</v>
    <v>310.58999999999997</v>
    <v>710398600</v>
    <v>MCD</v>
    <v>MCDONALD'S CORPORATION (XNYS:MCD)</v>
    <v>803737</v>
    <v>3324464</v>
    <v>1964</v>
  </rv>
  <rv s="2">
    <v>92</v>
  </rv>
  <rv s="0">
    <v>https://www.bing.com/financeapi/forcetrigger?t=a1x2ur&amp;q=XNYS%3aLOW&amp;form=skydnc</v>
    <v>Learn more on Bing</v>
  </rv>
  <rv s="1">
    <v>0</v>
    <v>LOWE'S COMPANIES, INC. (XNYS:LOW)</v>
    <v>2</v>
    <v>3</v>
    <v>Finance</v>
    <v>4</v>
    <v>en-US</v>
    <v>a1x2ur</v>
    <v>268435456</v>
    <v>1</v>
    <v>Powered by Refinitiv</v>
    <v>293.06</v>
    <v>206.38499999999999</v>
    <v>0.98970000000000002</v>
    <v>10.82</v>
    <v>4.8167999999999996E-2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236.74</v>
    <v>Specialty Retailers</v>
    <v>Stock</v>
    <v>46104.651576608594</v>
    <v>94</v>
    <v>230.51</v>
    <v>132087450000</v>
    <v>LOWE'S COMPANIES, INC.</v>
    <v>LOWE'S COMPANIES, INC.</v>
    <v>231.7</v>
    <v>19.874600000000001</v>
    <v>224.63</v>
    <v>235.45</v>
    <v>561000000</v>
    <v>LOW</v>
    <v>LOWE'S COMPANIES, INC. (XNYS:LOW)</v>
    <v>1473914</v>
    <v>2830825</v>
    <v>1952</v>
  </rv>
  <rv s="2">
    <v>95</v>
  </rv>
  <rv s="0">
    <v>https://www.bing.com/financeapi/forcetrigger?t=a1uj52&amp;q=XNYS%3aHD&amp;form=skydnc</v>
    <v>Learn more on Bing</v>
  </rv>
  <rv s="1">
    <v>0</v>
    <v>THE HOME DEPOT, INC. (XNYS:HD)</v>
    <v>2</v>
    <v>3</v>
    <v>Finance</v>
    <v>4</v>
    <v>en-US</v>
    <v>a1uj52</v>
    <v>268435456</v>
    <v>1</v>
    <v>Powered by Refinitiv</v>
    <v>426.75</v>
    <v>320.2645</v>
    <v>1.0974999999999999</v>
    <v>12.89</v>
    <v>4.0187E-2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334.72</v>
    <v>Specialty Retailers</v>
    <v>Stock</v>
    <v>46104.6516825</v>
    <v>97</v>
    <v>328.2106</v>
    <v>332309276860</v>
    <v>THE HOME DEPOT, INC.</v>
    <v>THE HOME DEPOT, INC.</v>
    <v>331.87</v>
    <v>23.4377</v>
    <v>320.75</v>
    <v>333.64</v>
    <v>996011500</v>
    <v>HD</v>
    <v>THE HOME DEPOT, INC. (XNYS:HD)</v>
    <v>1885490</v>
    <v>4125767</v>
    <v>1978</v>
  </rv>
  <rv s="2">
    <v>98</v>
  </rv>
  <rv s="0">
    <v>https://www.bing.com/financeapi/forcetrigger?t=a246z2&amp;q=XNYS%3aTGT&amp;form=skydnc</v>
    <v>Learn more on Bing</v>
  </rv>
  <rv s="1">
    <v>0</v>
    <v>TARGET CORPORATION (XNYS:TGT)</v>
    <v>2</v>
    <v>3</v>
    <v>Finance</v>
    <v>4</v>
    <v>en-US</v>
    <v>a246z2</v>
    <v>268435456</v>
    <v>1</v>
    <v>Powered by Refinitiv</v>
    <v>126</v>
    <v>83.44</v>
    <v>1.0646</v>
    <v>2.2400000000000002</v>
    <v>1.9778E-2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116.49</v>
    <v>Diversified Retail</v>
    <v>Stock</v>
    <v>46104.651625902341</v>
    <v>100</v>
    <v>114.01</v>
    <v>52304821800</v>
    <v>TARGET CORPORATION</v>
    <v>TARGET CORPORATION</v>
    <v>115.31</v>
    <v>14.014799999999999</v>
    <v>113.26</v>
    <v>115.5</v>
    <v>452855600</v>
    <v>TGT</v>
    <v>TARGET CORPORATION (XNYS:TGT)</v>
    <v>2037092</v>
    <v>6792817</v>
    <v>1902</v>
  </rv>
  <rv s="2">
    <v>101</v>
  </rv>
  <rv s="0">
    <v>https://www.bing.com/financeapi/forcetrigger?t=a25ya2&amp;q=XNYS%3aWMT&amp;form=skydnc</v>
    <v>Learn more on Bing</v>
  </rv>
  <rv s="1">
    <v>0</v>
    <v>WALMART INC. (XNAS:WMT)</v>
    <v>2</v>
    <v>3</v>
    <v>Finance</v>
    <v>4</v>
    <v>en-US</v>
    <v>a25ya2</v>
    <v>268435456</v>
    <v>1</v>
    <v>Powered by Refinitiv</v>
    <v>134.69</v>
    <v>79.81</v>
    <v>0.68330000000000002</v>
    <v>1.8</v>
    <v>1.5124E-2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121.12</v>
    <v>Food &amp; Drug Retailing</v>
    <v>Stock</v>
    <v>46104.651649745312</v>
    <v>103</v>
    <v>119.045</v>
    <v>963225609640</v>
    <v>WALMART INC.</v>
    <v>WALMART INC.</v>
    <v>120.8</v>
    <v>44.261299999999999</v>
    <v>119.02</v>
    <v>120.82</v>
    <v>7972402000</v>
    <v>WMT</v>
    <v>WALMART INC. (XNAS:WMT)</v>
    <v>6249566</v>
    <v>24671677</v>
    <v>1969</v>
  </rv>
  <rv s="2">
    <v>104</v>
  </rv>
  <rv s="0">
    <v>https://www.bing.com/financeapi/forcetrigger?t=a256cw&amp;q=XNYS%3aV&amp;form=skydnc</v>
    <v>Learn more on Bing</v>
  </rv>
  <rv s="1">
    <v>0</v>
    <v>VISA INC. (XNYS:V)</v>
    <v>2</v>
    <v>3</v>
    <v>Finance</v>
    <v>4</v>
    <v>en-US</v>
    <v>a256cw</v>
    <v>268435456</v>
    <v>1</v>
    <v>Powered by Refinitiv</v>
    <v>375.51</v>
    <v>297.03219999999999</v>
    <v>0.79910000000000003</v>
    <v>5.37</v>
    <v>1.7804E-2</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307.78500000000003</v>
    <v>Professional &amp; Commercial Services</v>
    <v>Stock</v>
    <v>46104.651613911716</v>
    <v>106</v>
    <v>302.86500000000001</v>
    <v>585125702910</v>
    <v>VISA INC.</v>
    <v>VISA INC.</v>
    <v>305</v>
    <v>28.8064</v>
    <v>301.62</v>
    <v>306.99</v>
    <v>1906009000</v>
    <v>V</v>
    <v>VISA INC. (XNYS:V)</v>
    <v>2330480</v>
    <v>7889889</v>
    <v>2007</v>
  </rv>
  <rv s="2">
    <v>107</v>
  </rv>
  <rv s="0">
    <v>https://www.bing.com/financeapi/forcetrigger?t=a24ynm&amp;q=XNYS%3aUPS&amp;form=skydnc</v>
    <v>Learn more on Bing</v>
  </rv>
  <rv s="1">
    <v>0</v>
    <v>UNITED PARCEL SERVICE, INC. (XNYS:UPS)</v>
    <v>2</v>
    <v>3</v>
    <v>Finance</v>
    <v>4</v>
    <v>en-US</v>
    <v>a24ynm</v>
    <v>268435456</v>
    <v>1</v>
    <v>Powered by Refinitiv</v>
    <v>122.41</v>
    <v>82</v>
    <v>1.1105</v>
    <v>3.13</v>
    <v>3.2652E-2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99.37</v>
    <v>Freight &amp; Logistics Services</v>
    <v>Stock</v>
    <v>46104.65164508047</v>
    <v>109</v>
    <v>96.92</v>
    <v>84109120371</v>
    <v>UNITED PARCEL SERVICE, INC.</v>
    <v>UNITED PARCEL SERVICE, INC.</v>
    <v>97.69</v>
    <v>15.089</v>
    <v>95.86</v>
    <v>98.99</v>
    <v>849672900</v>
    <v>UPS</v>
    <v>UNITED PARCEL SERVICE, INC. (XNYS:UPS)</v>
    <v>1639918</v>
    <v>7000742</v>
    <v>1999</v>
  </rv>
  <rv s="2">
    <v>110</v>
  </rv>
  <rv s="0">
    <v>https://www.bing.com/financeapi/forcetrigger?t=a1mw4c&amp;q=XNAS%3aADP&amp;form=skydnc</v>
    <v>Learn more on Bing</v>
  </rv>
  <rv s="1">
    <v>0</v>
    <v>AUTOMATIC DATA PROCESSING, INC. (XNAS:ADP)</v>
    <v>2</v>
    <v>3</v>
    <v>Finance</v>
    <v>4</v>
    <v>en-US</v>
    <v>a1mw4c</v>
    <v>268435456</v>
    <v>1</v>
    <v>Powered by Refinitiv</v>
    <v>329.92950000000002</v>
    <v>203.26</v>
    <v>0.84050000000000002</v>
    <v>2.2599999999999998</v>
    <v>1.0829E-2</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211.73</v>
    <v>Software &amp; IT Services</v>
    <v>Stock</v>
    <v>46104.651626631246</v>
    <v>112</v>
    <v>208.59</v>
    <v>84937815085</v>
    <v>AUTOMATIC DATA PROCESSING, INC.</v>
    <v>AUTOMATIC DATA PROCESSING, INC.</v>
    <v>209.58</v>
    <v>20.264600000000002</v>
    <v>208.69</v>
    <v>210.95</v>
    <v>402644300</v>
    <v>ADP</v>
    <v>AUTOMATIC DATA PROCESSING, INC. (XNAS:ADP)</v>
    <v>798466</v>
    <v>4493591</v>
    <v>1961</v>
  </rv>
  <rv s="2">
    <v>113</v>
  </rv>
  <rv s="0">
    <v>https://www.bing.com/financeapi/forcetrigger?t=a1x8c7&amp;q=XNYS%3aLYB&amp;form=skydnc</v>
    <v>Learn more on Bing</v>
  </rv>
  <rv s="1">
    <v>0</v>
    <v>LyondellBasell Industries NV (XNYS:LYB)</v>
    <v>2</v>
    <v>3</v>
    <v>Finance</v>
    <v>4</v>
    <v>en-US</v>
    <v>a1x8c7</v>
    <v>268435456</v>
    <v>1</v>
    <v>Powered by Refinitiv</v>
    <v>77.36</v>
    <v>41.58</v>
    <v>0.46479999999999999</v>
    <v>-2.42</v>
    <v>-3.3006000000000001E-2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72.73</v>
    <v>Chemicals</v>
    <v>Stock</v>
    <v>46104.651628020314</v>
    <v>115</v>
    <v>70.22</v>
    <v>22841853000</v>
    <v>LyondellBasell Industries NV</v>
    <v>LyondellBasell Industries NV</v>
    <v>70.59</v>
    <v>0</v>
    <v>73.319999999999993</v>
    <v>70.900000000000006</v>
    <v>322170000</v>
    <v>LYB</v>
    <v>LyondellBasell Industries NV (XNYS:LYB)</v>
    <v>3008344</v>
    <v>9647734</v>
    <v>2009</v>
  </rv>
  <rv s="2">
    <v>116</v>
  </rv>
  <rv s="0">
    <v>https://www.bing.com/financeapi/forcetrigger?t=a1rxu2&amp;q=XNYS%3aEMN&amp;form=skydnc</v>
    <v>Learn more on Bing</v>
  </rv>
  <rv s="1">
    <v>0</v>
    <v>EASTMAN CHEMICAL COMPANY (XNYS:EMN)</v>
    <v>2</v>
    <v>3</v>
    <v>Finance</v>
    <v>4</v>
    <v>en-US</v>
    <v>a1rxu2</v>
    <v>268435456</v>
    <v>1</v>
    <v>Powered by Refinitiv</v>
    <v>90.95</v>
    <v>56.11</v>
    <v>1.2499</v>
    <v>3.07</v>
    <v>4.6992000000000006E-2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68.88</v>
    <v>Chemicals</v>
    <v>Stock</v>
    <v>46104.651629282031</v>
    <v>118</v>
    <v>66.7</v>
    <v>7804255320</v>
    <v>EASTMAN CHEMICAL COMPANY</v>
    <v>EASTMAN CHEMICAL COMPANY</v>
    <v>66.944999999999993</v>
    <v>17.982500000000002</v>
    <v>65.33</v>
    <v>68.400000000000006</v>
    <v>114097300</v>
    <v>EMN</v>
    <v>EASTMAN CHEMICAL COMPANY (XNYS:EMN)</v>
    <v>408996</v>
    <v>1726584</v>
    <v>1993</v>
  </rv>
  <rv s="2">
    <v>119</v>
  </rv>
  <rv s="0">
    <v>https://www.bing.com/financeapi/forcetrigger?t=a24xlh&amp;q=XNYS%3aUNH&amp;form=skydnc</v>
    <v>Learn more on Bing</v>
  </rv>
  <rv s="1">
    <v>0</v>
    <v>UNITEDHEALTH GROUP INCORPORATED (XNYS:UNH)</v>
    <v>2</v>
    <v>3</v>
    <v>Finance</v>
    <v>4</v>
    <v>en-US</v>
    <v>a24xlh</v>
    <v>268435456</v>
    <v>1</v>
    <v>Powered by Refinitiv</v>
    <v>606.36</v>
    <v>234.6</v>
    <v>0.39989999999999998</v>
    <v>-1.62</v>
    <v>-5.8779999999999995E-3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280.745</v>
    <v>Healthcare Providers &amp; Services</v>
    <v>Stock</v>
    <v>46104.651646457809</v>
    <v>121</v>
    <v>273.73</v>
    <v>248675938926</v>
    <v>UNITEDHEALTH GROUP INCORPORATED</v>
    <v>UNITEDHEALTH GROUP INCORPORATED</v>
    <v>279.45999999999998</v>
    <v>20.7651</v>
    <v>275.58999999999997</v>
    <v>273.97000000000003</v>
    <v>907675800</v>
    <v>UNH</v>
    <v>UNITEDHEALTH GROUP INCORPORATED (XNYS:UNH)</v>
    <v>2495305</v>
    <v>8660365</v>
    <v>2015</v>
  </rv>
  <rv s="2">
    <v>122</v>
  </rv>
  <rv s="0">
    <v>https://www.bing.com/financeapi/forcetrigger?t=a1w8ec&amp;q=XNYS%3aJNJ&amp;form=skydnc</v>
    <v>Learn more on Bing</v>
  </rv>
  <rv s="1">
    <v>0</v>
    <v>JOHNSON &amp; JOHNSON (XNYS:JNJ)</v>
    <v>2</v>
    <v>3</v>
    <v>Finance</v>
    <v>4</v>
    <v>en-US</v>
    <v>a1w8ec</v>
    <v>268435456</v>
    <v>1</v>
    <v>Powered by Refinitiv</v>
    <v>251.71</v>
    <v>141.5</v>
    <v>0.34849999999999998</v>
    <v>0.16</v>
    <v>6.7979999999999994E-4</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238.31</v>
    <v>Pharmaceuticals</v>
    <v>Stock</v>
    <v>46104.651617615622</v>
    <v>124</v>
    <v>234.25</v>
    <v>567300619890</v>
    <v>JOHNSON &amp; JOHNSON</v>
    <v>JOHNSON &amp; JOHNSON</v>
    <v>236.86</v>
    <v>21.33</v>
    <v>235.37</v>
    <v>235.53</v>
    <v>2408613000</v>
    <v>JNJ</v>
    <v>JOHNSON &amp; JOHNSON (XNYS:JNJ)</v>
    <v>2048785</v>
    <v>8935422</v>
    <v>1887</v>
  </rv>
  <rv s="2">
    <v>125</v>
  </rv>
  <rv s="0">
    <v>https://www.bing.com/financeapi/forcetrigger?t=a1xg3m&amp;q=XNYS%3aMDT&amp;form=skydnc</v>
    <v>Learn more on Bing</v>
  </rv>
  <rv s="1">
    <v>0</v>
    <v>MEDTRONIC PUBLIC LIMITED COMPANY (XNYS:MDT)</v>
    <v>2</v>
    <v>3</v>
    <v>Finance</v>
    <v>4</v>
    <v>en-US</v>
    <v>a1xg3m</v>
    <v>268435456</v>
    <v>1</v>
    <v>Powered by Refinitiv</v>
    <v>106.33</v>
    <v>79.55</v>
    <v>0.76729999999999998</v>
    <v>1.2050000000000001</v>
    <v>1.3986E-2</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87.66</v>
    <v>Healthcare Equipment &amp; Supplies</v>
    <v>Stock</v>
    <v>46104.651639756252</v>
    <v>127</v>
    <v>86.36</v>
    <v>112166613025</v>
    <v>MEDTRONIC PUBLIC LIMITED COMPANY</v>
    <v>MEDTRONIC PUBLIC LIMITED COMPANY</v>
    <v>87.39</v>
    <v>24.395499999999998</v>
    <v>86.16</v>
    <v>87.364999999999995</v>
    <v>1283885000</v>
    <v>MDT</v>
    <v>MEDTRONIC PUBLIC LIMITED COMPANY (XNYS:MDT)</v>
    <v>1607798</v>
    <v>8660726</v>
    <v>2014</v>
  </rv>
  <rv s="2">
    <v>128</v>
  </rv>
  <rv s="0">
    <v>https://www.bing.com/financeapi/forcetrigger?t=a1qlnm&amp;q=XNYS%3aCVS&amp;form=skydnc</v>
    <v>Learn more on Bing</v>
  </rv>
  <rv s="1">
    <v>0</v>
    <v>CVS HEALTH CORPORATION (XNYS:CVS)</v>
    <v>2</v>
    <v>3</v>
    <v>Finance</v>
    <v>4</v>
    <v>en-US</v>
    <v>a1qlnm</v>
    <v>268435456</v>
    <v>1</v>
    <v>Powered by Refinitiv</v>
    <v>85.15</v>
    <v>58.35</v>
    <v>0.50849999999999995</v>
    <v>-0.3</v>
    <v>-4.1970000000000002E-3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72.459999999999994</v>
    <v>Healthcare Providers &amp; Services</v>
    <v>Stock</v>
    <v>46104.651630428125</v>
    <v>130</v>
    <v>70.87</v>
    <v>90555978980</v>
    <v>CVS HEALTH CORPORATION</v>
    <v>CVS HEALTH CORPORATION</v>
    <v>72.33</v>
    <v>52.051200000000001</v>
    <v>71.48</v>
    <v>71.180000000000007</v>
    <v>1272211000</v>
    <v>CVS</v>
    <v>CVS HEALTH CORPORATION (XNYS:CVS)</v>
    <v>2001286</v>
    <v>8023573</v>
    <v>1996</v>
  </rv>
  <rv s="2">
    <v>131</v>
  </rv>
  <rv s="0">
    <v>http://it.wikipedia.org/wiki/T._Rowe_Price</v>
    <v>Wikipedia</v>
  </rv>
  <rv s="3">
    <v>3</v>
    <v>133</v>
  </rv>
  <rv s="4">
    <v>9</v>
    <v>https://www.bing.com/th?id=AMMS_4c600be848f66590834841f27e6f786d&amp;qlt=95</v>
    <v>134</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77.849999999999994</v>
    <v>1.5442</v>
    <v>2.2200000000000002</v>
    <v>2.5756999999999999E-2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88.76</v>
    <v>135</v>
    <v>Investment Banking &amp; Investment Services</v>
    <v>Stock</v>
    <v>46104.651573321091</v>
    <v>136</v>
    <v>86.73</v>
    <v>19238537619</v>
    <v>T. ROWE PRICE GROUP, INC.</v>
    <v>T. ROWE PRICE GROUP, INC.</v>
    <v>87.4</v>
    <v>9.5632000000000001</v>
    <v>86.19</v>
    <v>88.41</v>
    <v>217605900</v>
    <v>TROW</v>
    <v>T. ROWE PRICE GROUP, INC. (XNAS:TROW)</v>
    <v>470626</v>
    <v>2448532</v>
    <v>2000</v>
  </rv>
  <rv s="2">
    <v>137</v>
  </rv>
  <rv s="0">
    <v>https://www.bing.com/financeapi/forcetrigger?t=a1ook2&amp;q=XNYS%3aBMY&amp;form=skydnc</v>
    <v>Learn more on Bing</v>
  </rv>
  <rv s="1">
    <v>0</v>
    <v>BRISTOL-MYERS SQUIBB COMPANY (XNYS:BMY)</v>
    <v>2</v>
    <v>3</v>
    <v>Finance</v>
    <v>4</v>
    <v>en-US</v>
    <v>a1ook2</v>
    <v>268435456</v>
    <v>1</v>
    <v>Powered by Refinitiv</v>
    <v>62.886400000000002</v>
    <v>42.52</v>
    <v>0.3009</v>
    <v>0.13</v>
    <v>2.2620000000000001E-3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58.25</v>
    <v>Pharmaceuticals</v>
    <v>Stock</v>
    <v>46104.651640763281</v>
    <v>139</v>
    <v>57.11</v>
    <v>117321267140</v>
    <v>BRISTOL-MYERS SQUIBB COMPANY</v>
    <v>BRISTOL-MYERS SQUIBB COMPANY</v>
    <v>58.19</v>
    <v>16.683599999999998</v>
    <v>57.48</v>
    <v>57.61</v>
    <v>2036474000</v>
    <v>BMY</v>
    <v>BRISTOL-MYERS SQUIBB COMPANY (XNYS:BMY)</v>
    <v>2910473</v>
    <v>14391774</v>
    <v>1933</v>
  </rv>
  <rv s="2">
    <v>140</v>
  </rv>
  <rv s="0">
    <v>https://www.bing.com/financeapi/forcetrigger?t=a1om4c&amp;q=XNYS%3aBLK&amp;form=skydnc</v>
    <v>Learn more on Bing</v>
  </rv>
  <rv s="1">
    <v>0</v>
    <v>BLACKROCK, INC. (XNYS:BLK)</v>
    <v>2</v>
    <v>3</v>
    <v>Finance</v>
    <v>4</v>
    <v>en-US</v>
    <v>a1om4c</v>
    <v>268435456</v>
    <v>1</v>
    <v>Powered by Refinitiv</v>
    <v>1219.9399000000001</v>
    <v>773.74009999999998</v>
    <v>1.4930000000000001</v>
    <v>25.4</v>
    <v>2.6516000000000001E-2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988.30340000000001</v>
    <v>Investment Banking &amp; Investment Services</v>
    <v>Stock</v>
    <v>46104.651554733595</v>
    <v>142</v>
    <v>965</v>
    <v>152945512365</v>
    <v>BLACKROCK, INC.</v>
    <v>BLACKROCK, INC.</v>
    <v>976.89</v>
    <v>28.373000000000001</v>
    <v>957.91</v>
    <v>983.31</v>
    <v>155541500</v>
    <v>BLK</v>
    <v>BLACKROCK, INC. (XNYS:BLK)</v>
    <v>254599</v>
    <v>970964</v>
    <v>2024</v>
  </rv>
  <rv s="2">
    <v>143</v>
  </rv>
  <rv s="0">
    <v>https://www.bing.com/financeapi/forcetrigger?t=a269ec&amp;q=XNYS%3aXOM&amp;form=skydnc</v>
    <v>Learn more on Bing</v>
  </rv>
  <rv s="1">
    <v>0</v>
    <v>EXXON MOBIL CORPORATION (XNYS:XOM)</v>
    <v>2</v>
    <v>3</v>
    <v>Finance</v>
    <v>4</v>
    <v>en-US</v>
    <v>a269ec</v>
    <v>268435456</v>
    <v>1</v>
    <v>Powered by Refinitiv</v>
    <v>162.44</v>
    <v>97.8</v>
    <v>0.32100000000000001</v>
    <v>0.19</v>
    <v>1.1899999999999999E-3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161.34</v>
    <v>Oil &amp; Gas</v>
    <v>Stock</v>
    <v>46104.651628738284</v>
    <v>145</v>
    <v>155.06</v>
    <v>666098893040</v>
    <v>EXXON MOBIL CORPORATION</v>
    <v>EXXON MOBIL CORPORATION</v>
    <v>155.78</v>
    <v>23.929300000000001</v>
    <v>159.66999999999999</v>
    <v>159.86000000000001</v>
    <v>4166764000</v>
    <v>XOM</v>
    <v>EXXON MOBIL CORPORATION (XNYS:XOM)</v>
    <v>11178535</v>
    <v>22730614</v>
    <v>1882</v>
  </rv>
  <rv s="2">
    <v>146</v>
  </rv>
  <rv s="0">
    <v>https://www.bing.com/financeapi/forcetrigger?t=a1qlz2&amp;q=XNYS%3aCVX&amp;form=skydnc</v>
    <v>Learn more on Bing</v>
  </rv>
  <rv s="1">
    <v>0</v>
    <v>CHEVRON CORPORATION (XNYS:CVX)</v>
    <v>2</v>
    <v>3</v>
    <v>Finance</v>
    <v>4</v>
    <v>en-US</v>
    <v>a1qlz2</v>
    <v>268435456</v>
    <v>1</v>
    <v>Powered by Refinitiv</v>
    <v>205.08</v>
    <v>132.04</v>
    <v>0.5978</v>
    <v>1.4650000000000001</v>
    <v>7.2619999999999994E-3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204.85</v>
    <v>Oil &amp; Gas</v>
    <v>Stock</v>
    <v>46104.651616747658</v>
    <v>148</v>
    <v>197.45</v>
    <v>405452255075</v>
    <v>CHEVRON CORPORATION</v>
    <v>CHEVRON CORPORATION</v>
    <v>197.6</v>
    <v>30.5745</v>
    <v>201.73</v>
    <v>203.19499999999999</v>
    <v>1995385000</v>
    <v>CVX</v>
    <v>CHEVRON CORPORATION (XNYS:CVX)</v>
    <v>6003958</v>
    <v>13298266</v>
    <v>1926</v>
  </rv>
  <rv s="2">
    <v>149</v>
  </rv>
  <rv s="0">
    <v>https://www.bing.com/financeapi/forcetrigger?t=bpifbh&amp;q=XNYS%3aDOW&amp;form=skydnc</v>
    <v>Learn more on Bing</v>
  </rv>
  <rv s="1">
    <v>0</v>
    <v>Dow Inc. (XNYS:DOW)</v>
    <v>2</v>
    <v>3</v>
    <v>Finance</v>
    <v>4</v>
    <v>en-US</v>
    <v>bpifbh</v>
    <v>268435456</v>
    <v>1</v>
    <v>Powered by Refinitiv</v>
    <v>38.58</v>
    <v>20.401900000000001</v>
    <v>0.57330000000000003</v>
    <v>-0.8</v>
    <v>-2.1828E-2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36.685000000000002</v>
    <v>Chemicals</v>
    <v>Stock</v>
    <v>46104.65162094844</v>
    <v>151</v>
    <v>35.549999999999997</v>
    <v>25798355490</v>
    <v>Dow Inc.</v>
    <v>Dow Inc.</v>
    <v>35.869999999999997</v>
    <v>0</v>
    <v>36.65</v>
    <v>35.85</v>
    <v>719619400</v>
    <v>DOW</v>
    <v>Dow Inc. (XNYS:DOW)</v>
    <v>5996483</v>
    <v>14689655</v>
    <v>2018</v>
  </rv>
  <rv s="2">
    <v>152</v>
  </rv>
  <rv s="0">
    <v>https://www.bing.com/financeapi/forcetrigger?t=a1vmf2&amp;q=XNAS%3aINTC&amp;form=skydnc</v>
    <v>Learn more on Bing</v>
  </rv>
  <rv s="1">
    <v>0</v>
    <v>INTEL CORPORATION (XNAS:INTC)</v>
    <v>2</v>
    <v>3</v>
    <v>Finance</v>
    <v>4</v>
    <v>en-US</v>
    <v>a1vmf2</v>
    <v>268435456</v>
    <v>1</v>
    <v>Powered by Refinitiv</v>
    <v>54.6</v>
    <v>17.664999999999999</v>
    <v>1.3486</v>
    <v>0.66879999999999995</v>
    <v>1.5245E-2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45.46</v>
    <v>Semiconductors &amp; Semiconductor Equipment</v>
    <v>Stock</v>
    <v>46104.651676168753</v>
    <v>154</v>
    <v>44.3001</v>
    <v>222471306000</v>
    <v>INTEL CORPORATION</v>
    <v>INTEL CORPORATION</v>
    <v>44.4</v>
    <v>0</v>
    <v>43.87</v>
    <v>44.538800000000002</v>
    <v>4995000000</v>
    <v>INTC</v>
    <v>INTEL CORPORATION (XNAS:INTC)</v>
    <v>36272942</v>
    <v>82132514</v>
    <v>1989</v>
  </rv>
  <rv s="2">
    <v>155</v>
  </rv>
  <rv s="0">
    <v>https://www.bing.com/financeapi/forcetrigger?t=a1o9gh&amp;q=XNYS%3aBBY&amp;form=skydnc</v>
    <v>Learn more on Bing</v>
  </rv>
  <rv s="1">
    <v>0</v>
    <v>Best Buy Co., Inc. (XNYS:BBY)</v>
    <v>2</v>
    <v>3</v>
    <v>Finance</v>
    <v>4</v>
    <v>en-US</v>
    <v>a1o9gh</v>
    <v>268435456</v>
    <v>1</v>
    <v>Powered by Refinitiv</v>
    <v>84.99</v>
    <v>54.99</v>
    <v>1.3809</v>
    <v>1.28</v>
    <v>2.0381999999999997E-2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64.599999999999994</v>
    <v>Specialty Retailers</v>
    <v>Stock</v>
    <v>46104.651583390623</v>
    <v>157</v>
    <v>63.06</v>
    <v>13399935408</v>
    <v>Best Buy Co., Inc.</v>
    <v>Best Buy Co., Inc.</v>
    <v>63.93</v>
    <v>12.6959</v>
    <v>62.8</v>
    <v>64.08</v>
    <v>209112600</v>
    <v>BBY</v>
    <v>Best Buy Co., Inc. (XNYS:BBY)</v>
    <v>1204384</v>
    <v>5437231</v>
    <v>1966</v>
  </rv>
  <rv s="2">
    <v>158</v>
  </rv>
  <rv s="0">
    <v>https://www.bing.com/financeapi/forcetrigger?t=a214h7&amp;q=XNYS%3aPPG&amp;form=skydnc</v>
    <v>Learn more on Bing</v>
  </rv>
  <rv s="1">
    <v>0</v>
    <v>PPG INDUSTRIES, INC. (XNYS:PPG)</v>
    <v>2</v>
    <v>3</v>
    <v>Finance</v>
    <v>4</v>
    <v>en-US</v>
    <v>a214h7</v>
    <v>268435456</v>
    <v>1</v>
    <v>Powered by Refinitiv</v>
    <v>133.43</v>
    <v>90.24</v>
    <v>1.1990000000000001</v>
    <v>5.5</v>
    <v>5.6573000000000005E-2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103.125</v>
    <v>Chemicals</v>
    <v>Stock</v>
    <v>46104.651583228908</v>
    <v>160</v>
    <v>99.68</v>
    <v>22988592192</v>
    <v>PPG INDUSTRIES, INC.</v>
    <v>PPG INDUSTRIES, INC.</v>
    <v>100.5</v>
    <v>14.854200000000001</v>
    <v>97.22</v>
    <v>102.72</v>
    <v>223798600</v>
    <v>PPG</v>
    <v>PPG INDUSTRIES, INC. (XNYS:PPG)</v>
    <v>1204541</v>
    <v>2261249</v>
    <v>1883</v>
  </rv>
  <rv s="2">
    <v>161</v>
  </rv>
  <rv s="0">
    <v>https://www.bing.com/financeapi/forcetrigger?t=a1s24c&amp;q=XNYS%3aEOG&amp;form=skydnc</v>
    <v>Learn more on Bing</v>
  </rv>
  <rv s="1">
    <v>0</v>
    <v>EOG RESOURCES, INC. (XNYS:EOG)</v>
    <v>2</v>
    <v>3</v>
    <v>Finance</v>
    <v>4</v>
    <v>en-US</v>
    <v>a1s24c</v>
    <v>268435456</v>
    <v>1</v>
    <v>Powered by Refinitiv</v>
    <v>140.91990000000001</v>
    <v>101.5936</v>
    <v>0.34439999999999998</v>
    <v>0.34499999999999997</v>
    <v>2.4870000000000001E-3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140.72999999999999</v>
    <v>Oil &amp; Gas</v>
    <v>Stock</v>
    <v>46104.651576885939</v>
    <v>163</v>
    <v>135.30000000000001</v>
    <v>74612555362</v>
    <v>EOG RESOURCES, INC.</v>
    <v>EOG RESOURCES, INC.</v>
    <v>136</v>
    <v>15.2643</v>
    <v>138.72999999999999</v>
    <v>139.07499999999999</v>
    <v>536491500</v>
    <v>EOG</v>
    <v>EOG RESOURCES, INC. (XNYS:EOG)</v>
    <v>1732900</v>
    <v>6251406</v>
    <v>1985</v>
  </rv>
  <rv s="2">
    <v>164</v>
  </rv>
  <rv s="0">
    <v>https://www.bing.com/financeapi/forcetrigger?t=a1xtpr&amp;q=XNYS%3aMO&amp;form=skydnc</v>
    <v>Learn more on Bing</v>
  </rv>
  <rv s="1">
    <v>0</v>
    <v>Altria Group, Inc. (XNYS:MO)</v>
    <v>2</v>
    <v>3</v>
    <v>Finance</v>
    <v>4</v>
    <v>en-US</v>
    <v>a1xtpr</v>
    <v>268435456</v>
    <v>1</v>
    <v>Powered by Refinitiv</v>
    <v>70.510000000000005</v>
    <v>52.82</v>
    <v>0.45900000000000002</v>
    <v>0.115</v>
    <v>1.784E-3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65.158900000000003</v>
    <v>Food &amp; Tobacco</v>
    <v>Stock</v>
    <v>46104.651606145315</v>
    <v>166</v>
    <v>64.08</v>
    <v>107979532329</v>
    <v>Altria Group, Inc.</v>
    <v>Altria Group, Inc.</v>
    <v>64.734999999999999</v>
    <v>15.688499999999999</v>
    <v>64.47</v>
    <v>64.584999999999994</v>
    <v>1671898000</v>
    <v>MO</v>
    <v>Altria Group, Inc. (XNYS:MO)</v>
    <v>3343471</v>
    <v>9567582</v>
    <v>1985</v>
  </rv>
  <rv s="2">
    <v>167</v>
  </rv>
  <rv s="0">
    <v>https://www.bing.com/financeapi/forcetrigger?t=a1xxmw&amp;q=XNYS%3aMRK&amp;form=skydnc</v>
    <v>Learn more on Bing</v>
  </rv>
  <rv s="1">
    <v>0</v>
    <v>MERCK &amp; CO., INC. (XNYS:MRK)</v>
    <v>2</v>
    <v>3</v>
    <v>Finance</v>
    <v>4</v>
    <v>en-US</v>
    <v>a1xxmw</v>
    <v>268435456</v>
    <v>1</v>
    <v>Powered by Refinitiv</v>
    <v>125.14</v>
    <v>73.31</v>
    <v>0.30869999999999997</v>
    <v>2.0099999999999998</v>
    <v>1.7603999999999998E-2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116.47</v>
    <v>Pharmaceuticals</v>
    <v>Stock</v>
    <v>46104.651599803125</v>
    <v>169</v>
    <v>114.77</v>
    <v>287267226480</v>
    <v>MERCK &amp; CO., INC.</v>
    <v>MERCK &amp; CO., INC.</v>
    <v>115.24</v>
    <v>15.9687</v>
    <v>114.18</v>
    <v>116.19</v>
    <v>2472392000</v>
    <v>MRK</v>
    <v>MERCK &amp; CO., INC. (XNYS:MRK)</v>
    <v>2495472</v>
    <v>10671473</v>
    <v>1970</v>
  </rv>
  <rv s="2">
    <v>170</v>
  </rv>
  <rv s="0">
    <v>https://www.bing.com/financeapi/forcetrigger?t=a1nkm7&amp;q=XNYS%3aAOS&amp;form=skydnc</v>
    <v>Learn more on Bing</v>
  </rv>
  <rv s="1">
    <v>0</v>
    <v>A. O. SMITH CORPORATION (XNYS:AOS)</v>
    <v>2</v>
    <v>3</v>
    <v>Finance</v>
    <v>4</v>
    <v>en-US</v>
    <v>a1nkm7</v>
    <v>268435456</v>
    <v>1</v>
    <v>Powered by Refinitiv</v>
    <v>81.864999999999995</v>
    <v>58.83</v>
    <v>1.3592</v>
    <v>1.345</v>
    <v>2.0985999999999998E-2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65.650000000000006</v>
    <v>Machinery, Equipment &amp; Components</v>
    <v>Stock</v>
    <v>46104.651556214842</v>
    <v>172</v>
    <v>64.67</v>
    <v>9045721313</v>
    <v>A. O. SMITH CORPORATION</v>
    <v>A. O. SMITH CORPORATION</v>
    <v>65.52</v>
    <v>17.007999999999999</v>
    <v>64.09</v>
    <v>65.435000000000002</v>
    <v>138239800</v>
    <v>AOS</v>
    <v>A. O. SMITH CORPORATION (XNYS:AOS)</v>
    <v>494979</v>
    <v>1377895</v>
    <v>1986</v>
  </rv>
  <rv s="2">
    <v>173</v>
  </rv>
  <rv s="0">
    <v>https://www.bing.com/financeapi/forcetrigger?t=a1qwoc&amp;q=XNYS%3aDEO&amp;form=skydnc</v>
    <v>Learn more on Bing</v>
  </rv>
  <rv s="1">
    <v>0</v>
    <v>DIAGEO PLC (XNYS:DEO)</v>
    <v>2</v>
    <v>3</v>
    <v>Finance</v>
    <v>4</v>
    <v>en-US</v>
    <v>a1qwoc</v>
    <v>268435456</v>
    <v>1</v>
    <v>Powered by Refinitiv</v>
    <v>116.69</v>
    <v>73.64</v>
    <v>0.498</v>
    <v>0.87329999999999997</v>
    <v>1.1821999999999999E-2</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75.31</v>
    <v>Beverages</v>
    <v>Stock</v>
    <v>46104.651462025002</v>
    <v>175</v>
    <v>73.739999999999995</v>
    <v>41603092442</v>
    <v>DIAGEO PLC</v>
    <v>DIAGEO PLC</v>
    <v>74.040000000000006</v>
    <v>17.2653</v>
    <v>73.87</v>
    <v>74.743300000000005</v>
    <v>556613000</v>
    <v>DEO</v>
    <v>DIAGEO PLC (XNYS:DEO)</v>
    <v>532925</v>
    <v>2305522</v>
    <v>1886</v>
  </rv>
  <rv s="2">
    <v>176</v>
  </rv>
  <rv s="0">
    <v>https://www.bing.com/financeapi/forcetrigger?t=a1qpw7&amp;q=XNYS%3aD&amp;form=skydnc</v>
    <v>Learn more on Bing</v>
  </rv>
  <rv s="1">
    <v>0</v>
    <v>Dominion Energy, Inc. (XNYS:D)</v>
    <v>2</v>
    <v>3</v>
    <v>Finance</v>
    <v>4</v>
    <v>en-US</v>
    <v>a1qpw7</v>
    <v>268435456</v>
    <v>1</v>
    <v>Powered by Refinitiv</v>
    <v>67.569900000000004</v>
    <v>48.07</v>
    <v>0.67810000000000004</v>
    <v>0.24</v>
    <v>4.0420000000000005E-3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60.59</v>
    <v>Electrical Utilities &amp; IPPs</v>
    <v>Stock</v>
    <v>46104.651587939064</v>
    <v>178</v>
    <v>59.46</v>
    <v>52403875414</v>
    <v>Dominion Energy, Inc.</v>
    <v>Dominion Energy, Inc.</v>
    <v>60.08</v>
    <v>17.269100000000002</v>
    <v>59.38</v>
    <v>59.62</v>
    <v>878964700</v>
    <v>D</v>
    <v>Dominion Energy, Inc. (XNYS:D)</v>
    <v>1498937</v>
    <v>5813805</v>
    <v>1983</v>
  </rv>
  <rv s="2">
    <v>179</v>
  </rv>
  <rv s="0">
    <v>https://www.bing.com/financeapi/forcetrigger?t=a1q19c&amp;q=XNYS%3aCNI&amp;form=skydnc</v>
    <v>Learn more on Bing</v>
  </rv>
  <rv s="1">
    <v>0</v>
    <v>Canadian National Railway Company (XNYS:CNI)</v>
    <v>2</v>
    <v>10</v>
    <v>Finance</v>
    <v>4</v>
    <v>en-US</v>
    <v>a1q19c</v>
    <v>268435456</v>
    <v>1</v>
    <v>Powered by Refinitiv</v>
    <v>113.08499999999999</v>
    <v>90.74</v>
    <v>0.91359999999999997</v>
    <v>2.4275000000000002</v>
    <v>2.4666999999999998E-2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101.48</v>
    <v>Freight &amp; Logistics Services</v>
    <v>Stock</v>
    <v>46104.651481515626</v>
    <v>181</v>
    <v>99.56</v>
    <v>64942908000</v>
    <v>Canadian National Railway Company</v>
    <v>Canadian National Railway Company</v>
    <v>99.91</v>
    <v>18.286899999999999</v>
    <v>98.41</v>
    <v>100.83750000000001</v>
    <v>611400000</v>
    <v>CNI</v>
    <v>Canadian National Railway Company (XNYS:CNI)</v>
    <v>295749</v>
    <v>2016419</v>
    <v>1995</v>
  </rv>
  <rv s="2">
    <v>182</v>
  </rv>
  <rv s="0">
    <v>https://www.bing.com/financeapi/forcetrigger?t=a237gh&amp;q=XNYS%3aSNA&amp;form=skydnc</v>
    <v>Learn more on Bing</v>
  </rv>
  <rv s="1">
    <v>0</v>
    <v>SNAP-ON INCORPORATED (XNYS:SNA)</v>
    <v>2</v>
    <v>3</v>
    <v>Finance</v>
    <v>4</v>
    <v>en-US</v>
    <v>a237gh</v>
    <v>268435456</v>
    <v>1</v>
    <v>Powered by Refinitiv</v>
    <v>390.13</v>
    <v>289.81</v>
    <v>0.76859999999999995</v>
    <v>11.994999999999999</v>
    <v>3.3609E-2</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370.13</v>
    <v>Machinery, Equipment &amp; Components</v>
    <v>Stock</v>
    <v>46104.65168039297</v>
    <v>184</v>
    <v>358.66500000000002</v>
    <v>19203692439</v>
    <v>SNAP-ON INCORPORATED</v>
    <v>SNAP-ON INCORPORATED</v>
    <v>363.5</v>
    <v>19.226500000000001</v>
    <v>356.9</v>
    <v>368.89499999999998</v>
    <v>52057340</v>
    <v>SNA</v>
    <v>SNAP-ON INCORPORATED (XNYS:SNA)</v>
    <v>83192</v>
    <v>402794</v>
    <v>1930</v>
  </rv>
  <rv s="2">
    <v>185</v>
  </rv>
  <rv s="0">
    <v>https://www.bing.com/financeapi/forcetrigger?t=a26hyc&amp;q=XNYS%3aZTS&amp;form=skydnc</v>
    <v>Learn more on Bing</v>
  </rv>
  <rv s="1">
    <v>0</v>
    <v>ZOETIS INC. (XNYS:ZTS)</v>
    <v>2</v>
    <v>3</v>
    <v>Finance</v>
    <v>4</v>
    <v>en-US</v>
    <v>a26hyc</v>
    <v>268435456</v>
    <v>1</v>
    <v>Powered by Refinitiv</v>
    <v>172.23</v>
    <v>114.36</v>
    <v>0.98419999999999996</v>
    <v>0.98</v>
    <v>8.4720000000000004E-3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117.33</v>
    <v>Pharmaceuticals</v>
    <v>Stock</v>
    <v>46104.651666816404</v>
    <v>187</v>
    <v>115.96</v>
    <v>49241196205</v>
    <v>ZOETIS INC.</v>
    <v>ZOETIS INC.</v>
    <v>116.4</v>
    <v>19.3706</v>
    <v>115.67</v>
    <v>116.65</v>
    <v>422127700</v>
    <v>ZTS</v>
    <v>ZOETIS INC. (XNYS:ZTS)</v>
    <v>919706</v>
    <v>4404844</v>
    <v>2012</v>
  </rv>
  <rv s="2">
    <v>188</v>
  </rv>
  <rv s="0">
    <v>https://www.bing.com/financeapi/forcetrigger?t=a1rmkr&amp;q=XNYS%3aED&amp;form=skydnc</v>
    <v>Learn more on Bing</v>
  </rv>
  <rv s="1">
    <v>0</v>
    <v>CONSOLIDATED EDISON, INC. (XNYS:ED)</v>
    <v>2</v>
    <v>3</v>
    <v>Finance</v>
    <v>4</v>
    <v>en-US</v>
    <v>a1rmkr</v>
    <v>268435456</v>
    <v>1</v>
    <v>Powered by Refinitiv</v>
    <v>116.23</v>
    <v>94.96</v>
    <v>0.35249999999999998</v>
    <v>-0.04</v>
    <v>-3.6549999999999999E-4</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109.83</v>
    <v>Electrical Utilities &amp; IPPs</v>
    <v>Stock</v>
    <v>46104.651572395313</v>
    <v>190</v>
    <v>108.80500000000001</v>
    <v>39530128407</v>
    <v>CONSOLIDATED EDISON, INC.</v>
    <v>CONSOLIDATED EDISON, INC.</v>
    <v>109.52</v>
    <v>19.353300000000001</v>
    <v>109.45</v>
    <v>109.41</v>
    <v>361302700</v>
    <v>ED</v>
    <v>CONSOLIDATED EDISON, INC. (XNYS:ED)</v>
    <v>370012</v>
    <v>2658699</v>
    <v>1997</v>
  </rv>
  <rv s="2">
    <v>191</v>
  </rv>
  <rv s="0">
    <v>https://www.bing.com/financeapi/forcetrigger?t=a24xww&amp;q=XNYS%3aUNP&amp;form=skydnc</v>
    <v>Learn more on Bing</v>
  </rv>
  <rv s="1">
    <v>0</v>
    <v>UNION PACIFIC CORPORATION (XNYS:UNP)</v>
    <v>2</v>
    <v>3</v>
    <v>Finance</v>
    <v>4</v>
    <v>en-US</v>
    <v>a24xww</v>
    <v>268435456</v>
    <v>1</v>
    <v>Powered by Refinitiv</v>
    <v>268.14</v>
    <v>204.66</v>
    <v>0.9839</v>
    <v>5.03</v>
    <v>2.1412E-2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240.97</v>
    <v>Freight &amp; Logistics Services</v>
    <v>Stock</v>
    <v>46104.65157336797</v>
    <v>193</v>
    <v>237.6</v>
    <v>142384290425</v>
    <v>UNION PACIFIC CORPORATION</v>
    <v>UNION PACIFIC CORPORATION</v>
    <v>239.22</v>
    <v>20.023700000000002</v>
    <v>234.92</v>
    <v>239.95</v>
    <v>593391500</v>
    <v>UNP</v>
    <v>UNION PACIFIC CORPORATION (XNYS:UNP)</v>
    <v>660960</v>
    <v>3131687</v>
    <v>1969</v>
  </rv>
  <rv s="2">
    <v>194</v>
  </rv>
  <rv s="0">
    <v>https://www.bing.com/financeapi/forcetrigger?t=a1sqr7&amp;q=XNYS%3aFDX&amp;form=skydnc</v>
    <v>Learn more on Bing</v>
  </rv>
  <rv s="1">
    <v>0</v>
    <v>FEDEX CORPORATION (XNYS:FDX)</v>
    <v>2</v>
    <v>3</v>
    <v>Finance</v>
    <v>4</v>
    <v>en-US</v>
    <v>a1sqr7</v>
    <v>268435456</v>
    <v>1</v>
    <v>Powered by Refinitiv</v>
    <v>392.86</v>
    <v>194.29499999999999</v>
    <v>1.2805</v>
    <v>5.31</v>
    <v>1.4796999999999999E-2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369.87</v>
    <v>Freight &amp; Logistics Services</v>
    <v>Stock</v>
    <v>46104.651701503906</v>
    <v>196</v>
    <v>363.6</v>
    <v>86891052288</v>
    <v>FEDEX CORPORATION</v>
    <v>FEDEX CORPORATION</v>
    <v>366.2</v>
    <v>20.102699999999999</v>
    <v>358.85</v>
    <v>364.16</v>
    <v>238606800</v>
    <v>FDX</v>
    <v>FEDEX CORPORATION (XNYS:FDX)</v>
    <v>1081236</v>
    <v>1956448</v>
    <v>1997</v>
  </rv>
  <rv s="2">
    <v>197</v>
  </rv>
  <rv s="0">
    <v>https://www.bing.com/financeapi/forcetrigger?t=a1zqnm&amp;q=XNYS%3aPFE&amp;form=skydnc</v>
    <v>Learn more on Bing</v>
  </rv>
  <rv s="1">
    <v>0</v>
    <v>PFIZER INC. (XNYS:PFE)</v>
    <v>2</v>
    <v>3</v>
    <v>Finance</v>
    <v>4</v>
    <v>en-US</v>
    <v>a1zqnm</v>
    <v>268435456</v>
    <v>1</v>
    <v>Powered by Refinitiv</v>
    <v>27.94</v>
    <v>20.914999999999999</v>
    <v>0.40899999999999997</v>
    <v>-0.15</v>
    <v>-5.5620000000000001E-3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27.19</v>
    <v>Pharmaceuticals</v>
    <v>Stock</v>
    <v>46104.651716029686</v>
    <v>199</v>
    <v>26.75</v>
    <v>152561707920</v>
    <v>PFIZER INC.</v>
    <v>PFIZER INC.</v>
    <v>27.01</v>
    <v>19.780200000000001</v>
    <v>26.97</v>
    <v>26.82</v>
    <v>5688356000</v>
    <v>PFE</v>
    <v>PFIZER INC. (XNYS:PFE)</v>
    <v>10147881</v>
    <v>40342106</v>
    <v>1942</v>
  </rv>
  <rv s="2">
    <v>200</v>
  </rv>
  <rv s="0">
    <v>https://www.bing.com/financeapi/forcetrigger?t=a1rdzr&amp;q=XNYS%3aDUK&amp;form=skydnc</v>
    <v>Learn more on Bing</v>
  </rv>
  <rv s="1">
    <v>0</v>
    <v>DUKE ENERGY CORPORATION (XNYS:DUK)</v>
    <v>2</v>
    <v>3</v>
    <v>Finance</v>
    <v>4</v>
    <v>en-US</v>
    <v>a1rdzr</v>
    <v>268435456</v>
    <v>1</v>
    <v>Powered by Refinitiv</v>
    <v>134.49</v>
    <v>111.22</v>
    <v>0.47039999999999998</v>
    <v>0.52</v>
    <v>4.1010000000000005E-3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128.11500000000001</v>
    <v>Electrical Utilities &amp; IPPs</v>
    <v>Stock</v>
    <v>46104.651588089844</v>
    <v>202</v>
    <v>126.95</v>
    <v>99020835697</v>
    <v>DUKE ENERGY CORPORATION</v>
    <v>DUKE ENERGY CORPORATION</v>
    <v>127.715</v>
    <v>20.142700000000001</v>
    <v>126.81</v>
    <v>127.33</v>
    <v>777670900</v>
    <v>DUK</v>
    <v>DUKE ENERGY CORPORATION (XNYS:DUK)</v>
    <v>1047617</v>
    <v>4947423</v>
    <v>2005</v>
  </rv>
  <rv s="2">
    <v>203</v>
  </rv>
  <rv s="0">
    <v>https://www.bing.com/financeapi/forcetrigger?t=a22n4c&amp;q=XNYS%3aSCHW&amp;form=skydnc</v>
    <v>Learn more on Bing</v>
  </rv>
  <rv s="1">
    <v>0</v>
    <v>THE CHARLES SCHWAB CORPORATION (XNYS:SCHW)</v>
    <v>2</v>
    <v>3</v>
    <v>Finance</v>
    <v>4</v>
    <v>en-US</v>
    <v>a22n4c</v>
    <v>268435456</v>
    <v>1</v>
    <v>Powered by Refinitiv</v>
    <v>107.5</v>
    <v>65.88</v>
    <v>0.89529999999999998</v>
    <v>0.875</v>
    <v>9.2440000000000005E-3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96.254999999999995</v>
    <v>Investment Banking &amp; Investment Services</v>
    <v>Stock</v>
    <v>46104.651578240628</v>
    <v>205</v>
    <v>93.99</v>
    <v>167397382350</v>
    <v>THE CHARLES SCHWAB CORPORATION</v>
    <v>THE CHARLES SCHWAB CORPORATION</v>
    <v>95.534999999999997</v>
    <v>20.488800000000001</v>
    <v>94.66</v>
    <v>95.534999999999997</v>
    <v>1752210000</v>
    <v>SCHW</v>
    <v>THE CHARLES SCHWAB CORPORATION (XNYS:SCHW)</v>
    <v>2063206</v>
    <v>10195293</v>
    <v>1986</v>
  </rv>
  <rv s="2">
    <v>206</v>
  </rv>
  <rv s="0">
    <v>https://www.bing.com/financeapi/forcetrigger?t=a1t227&amp;q=XNYS%3aFLO&amp;form=skydnc</v>
    <v>Learn more on Bing</v>
  </rv>
  <rv s="1">
    <v>0</v>
    <v>FLOWERS FOODS, INC. (XNYS:FLO)</v>
    <v>2</v>
    <v>3</v>
    <v>Finance</v>
    <v>4</v>
    <v>en-US</v>
    <v>a1t227</v>
    <v>268435456</v>
    <v>1</v>
    <v>Powered by Refinitiv</v>
    <v>20.23</v>
    <v>8.17</v>
    <v>0.3952</v>
    <v>0.19</v>
    <v>2.3227000000000001E-2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8.43</v>
    <v>Food &amp; Tobacco</v>
    <v>Stock</v>
    <v>46104.651581793747</v>
    <v>208</v>
    <v>8.2100000000000009</v>
    <v>1770709490</v>
    <v>FLOWERS FOODS, INC.</v>
    <v>FLOWERS FOODS, INC.</v>
    <v>8.31</v>
    <v>21.179099999999998</v>
    <v>8.18</v>
    <v>8.3699999999999992</v>
    <v>211554300</v>
    <v>FLO</v>
    <v>FLOWERS FOODS, INC. (XNYS:FLO)</v>
    <v>1596200</v>
    <v>6419941</v>
    <v>2000</v>
  </rv>
  <rv s="2">
    <v>209</v>
  </rv>
  <rv s="0">
    <v>https://www.bing.com/financeapi/forcetrigger?t=a2qdbh&amp;q=OTCM%3aNSRGY&amp;form=skydnc</v>
    <v>Learn more on Bing</v>
  </rv>
  <rv s="1">
    <v>0</v>
    <v>Nestle Ltd. (OTCM:NSRGY)</v>
    <v>2</v>
    <v>3</v>
    <v>Finance</v>
    <v>11</v>
    <v>en-US</v>
    <v>a2qdbh</v>
    <v>268435456</v>
    <v>1</v>
    <v>Powered by Refinitiv</v>
    <v>109.59</v>
    <v>86.98</v>
    <v>0.54449999999999998</v>
    <v>0.79</v>
    <v>8.2640000000000005E-3</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96.513000000000005</v>
    <v>Food &amp; Tobacco</v>
    <v>Stock</v>
    <v>46104.641137060156</v>
    <v>211</v>
    <v>95.44</v>
    <v>248350762800</v>
    <v>Nestle Ltd.</v>
    <v>Nestle Ltd.</v>
    <v>95.76</v>
    <v>21.753499999999999</v>
    <v>95.6</v>
    <v>96.39</v>
    <v>2576520000</v>
    <v>NSRGY</v>
    <v>Nestle Ltd. (OTCM:NSRGY)</v>
    <v>82873</v>
    <v>382850</v>
    <v>1905</v>
  </rv>
  <rv s="2">
    <v>212</v>
  </rv>
  <rv s="0">
    <v>https://www.bing.com/financeapi/forcetrigger?t=a24jvh&amp;q=XNAS%3aTSCO&amp;form=skydnc</v>
    <v>Learn more on Bing</v>
  </rv>
  <rv s="1">
    <v>0</v>
    <v>TRACTOR SUPPLY COMPANY (XNAS:TSCO)</v>
    <v>2</v>
    <v>3</v>
    <v>Finance</v>
    <v>4</v>
    <v>en-US</v>
    <v>a24jvh</v>
    <v>268435456</v>
    <v>1</v>
    <v>Powered by Refinitiv</v>
    <v>63.989899999999999</v>
    <v>45.45</v>
    <v>0.74270000000000003</v>
    <v>0.26</v>
    <v>5.6810000000000003E-3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46.64</v>
    <v>Specialty Retailers</v>
    <v>Stock</v>
    <v>46104.651687279686</v>
    <v>214</v>
    <v>45.98</v>
    <v>24227950339</v>
    <v>TRACTOR SUPPLY COMPANY</v>
    <v>TRACTOR SUPPLY COMPANY</v>
    <v>46.6</v>
    <v>22.345700000000001</v>
    <v>45.77</v>
    <v>46.03</v>
    <v>526351300</v>
    <v>TSCO</v>
    <v>TRACTOR SUPPLY COMPANY (XNAS:TSCO)</v>
    <v>1305571</v>
    <v>5806134</v>
    <v>1982</v>
  </rv>
  <rv s="2">
    <v>215</v>
  </rv>
  <rv s="0">
    <v>https://www.bing.com/financeapi/forcetrigger?t=a1zzmw&amp;q=XNYS%3aPM&amp;form=skydnc</v>
    <v>Learn more on Bing</v>
  </rv>
  <rv s="1">
    <v>0</v>
    <v>Philip Morris International Inc. (XNYS:PM)</v>
    <v>2</v>
    <v>3</v>
    <v>Finance</v>
    <v>4</v>
    <v>en-US</v>
    <v>a1zzmw</v>
    <v>268435456</v>
    <v>1</v>
    <v>Powered by Refinitiv</v>
    <v>191.3</v>
    <v>142.11000000000001</v>
    <v>0.45939999999999998</v>
    <v>1.01</v>
    <v>6.1919999999999996E-3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164.96</v>
    <v>Food &amp; Tobacco</v>
    <v>Stock</v>
    <v>46104.65164357578</v>
    <v>217</v>
    <v>162.44</v>
    <v>255482321600</v>
    <v>Philip Morris International Inc.</v>
    <v>Philip Morris International Inc.</v>
    <v>164.2</v>
    <v>22.5961</v>
    <v>163.11000000000001</v>
    <v>164.12</v>
    <v>1556680000</v>
    <v>PM</v>
    <v>Philip Morris International Inc. (XNYS:PM)</v>
    <v>809291</v>
    <v>5190529</v>
    <v>2007</v>
  </rv>
  <rv s="2">
    <v>218</v>
  </rv>
  <rv s="0">
    <v>https://www.bing.com/financeapi/forcetrigger?t=a1xroc&amp;q=XNYS%3aMMM&amp;form=skydnc</v>
    <v>Learn more on Bing</v>
  </rv>
  <rv s="1">
    <v>0</v>
    <v>3M COMPANY (XNYS:MMM)</v>
    <v>2</v>
    <v>3</v>
    <v>Finance</v>
    <v>4</v>
    <v>en-US</v>
    <v>a1xroc</v>
    <v>268435456</v>
    <v>1</v>
    <v>Powered by Refinitiv</v>
    <v>177.41</v>
    <v>121.97709999999999</v>
    <v>1.0921000000000001</v>
    <v>6.3692000000000002</v>
    <v>4.5107999999999995E-2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148.215</v>
    <v>Consumer Goods Conglomerates</v>
    <v>Stock</v>
    <v>46104.651640428128</v>
    <v>220</v>
    <v>143.18</v>
    <v>77724697640</v>
    <v>3M COMPANY</v>
    <v>3M COMPANY</v>
    <v>144.435</v>
    <v>24.6129</v>
    <v>141.19999999999999</v>
    <v>147.5692</v>
    <v>526700000</v>
    <v>MMM</v>
    <v>3M COMPANY (XNYS:MMM)</v>
    <v>1350113</v>
    <v>4268408</v>
    <v>1929</v>
  </rv>
  <rv s="2">
    <v>221</v>
  </rv>
  <rv s="0">
    <v>https://www.bing.com/financeapi/forcetrigger?t=a1o1jc&amp;q=XNYS%3aAWK&amp;form=skydnc</v>
    <v>Learn more on Bing</v>
  </rv>
  <rv s="1">
    <v>0</v>
    <v>AMERICAN WATER WORKS COMPANY, INC. (XNYS:AWK)</v>
    <v>2</v>
    <v>3</v>
    <v>Finance</v>
    <v>4</v>
    <v>en-US</v>
    <v>a1o1jc</v>
    <v>268435456</v>
    <v>1</v>
    <v>Powered by Refinitiv</v>
    <v>155.5</v>
    <v>121.27500000000001</v>
    <v>0.73309999999999997</v>
    <v>0.3</v>
    <v>2.209E-3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136.60499999999999</v>
    <v>Water Utilities</v>
    <v>Stock</v>
    <v>46104.651557892968</v>
    <v>223</v>
    <v>135.245</v>
    <v>26565951983</v>
    <v>AMERICAN WATER WORKS COMPANY, INC.</v>
    <v>AMERICAN WATER WORKS COMPANY, INC.</v>
    <v>135.37</v>
    <v>23.886299999999999</v>
    <v>135.79</v>
    <v>136.09</v>
    <v>195208700</v>
    <v>AWK</v>
    <v>AMERICAN WATER WORKS COMPANY, INC. (XNYS:AWK)</v>
    <v>380380</v>
    <v>2038361</v>
    <v>1936</v>
  </rv>
  <rv s="2">
    <v>224</v>
  </rv>
  <rv s="0">
    <v>https://www.bing.com/financeapi/forcetrigger?t=a23a5r&amp;q=XNYS%3aSO&amp;form=skydnc</v>
    <v>Learn more on Bing</v>
  </rv>
  <rv s="1">
    <v>0</v>
    <v>THE SOUTHERN COMPANY (XNYS:SO)</v>
    <v>2</v>
    <v>3</v>
    <v>Finance</v>
    <v>4</v>
    <v>en-US</v>
    <v>a23a5r</v>
    <v>268435456</v>
    <v>1</v>
    <v>Powered by Refinitiv</v>
    <v>100.83499999999999</v>
    <v>83.09</v>
    <v>0.42299999999999999</v>
    <v>0.75</v>
    <v>8.0309999999999999E-3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94.38</v>
    <v>Electrical Utilities &amp; IPPs</v>
    <v>Stock</v>
    <v>46104.651580381251</v>
    <v>226</v>
    <v>93.58</v>
    <v>105379468740</v>
    <v>THE SOUTHERN COMPANY</v>
    <v>THE SOUTHERN COMPANY</v>
    <v>94.38</v>
    <v>24.0337</v>
    <v>93.39</v>
    <v>94.14</v>
    <v>1119391000</v>
    <v>SO</v>
    <v>THE SOUTHERN COMPANY (XNYS:SO)</v>
    <v>1141484</v>
    <v>6880379</v>
    <v>1945</v>
  </rv>
  <rv s="2">
    <v>227</v>
  </rv>
  <rv s="0">
    <v>https://www.bing.com/financeapi/forcetrigger?t=a1yngh&amp;q=XNYS%3aNOC&amp;form=skydnc</v>
    <v>Learn more on Bing</v>
  </rv>
  <rv s="1">
    <v>0</v>
    <v>NORTHROP GRUMMAN CORPORATION (XNYS:NOC)</v>
    <v>2</v>
    <v>3</v>
    <v>Finance</v>
    <v>4</v>
    <v>en-US</v>
    <v>a1yngh</v>
    <v>268435456</v>
    <v>1</v>
    <v>Powered by Refinitiv</v>
    <v>774</v>
    <v>450.13</v>
    <v>2.9399999999999999E-2</v>
    <v>-6.45</v>
    <v>-9.1240000000000002E-3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705.85</v>
    <v>Aerospace &amp; Defense</v>
    <v>Stock</v>
    <v>46104.651545092187</v>
    <v>229</v>
    <v>688.12729999999999</v>
    <v>99416080800</v>
    <v>NORTHROP GRUMMAN CORPORATION</v>
    <v>NORTHROP GRUMMAN CORPORATION</v>
    <v>703.73</v>
    <v>24.087</v>
    <v>706.95</v>
    <v>700.5</v>
    <v>141921600</v>
    <v>NOC</v>
    <v>NORTHROP GRUMMAN CORPORATION (XNYS:NOC)</v>
    <v>255075</v>
    <v>889213</v>
    <v>2010</v>
  </rv>
  <rv s="2">
    <v>230</v>
  </rv>
  <rv s="0">
    <v>https://www.bing.com/financeapi/forcetrigger?t=a1vv8m&amp;q=XNYS%3aITW&amp;form=skydnc</v>
    <v>Learn more on Bing</v>
  </rv>
  <rv s="1">
    <v>0</v>
    <v>ILLINOIS TOOL WORKS INC. (XNYS:ITW)</v>
    <v>2</v>
    <v>3</v>
    <v>Finance</v>
    <v>4</v>
    <v>en-US</v>
    <v>a1vv8m</v>
    <v>268435456</v>
    <v>1</v>
    <v>Powered by Refinitiv</v>
    <v>303.15499999999997</v>
    <v>214.66</v>
    <v>1.1487000000000001</v>
    <v>7.24</v>
    <v>2.8096999999999997E-2</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265.39999999999998</v>
    <v>Consumer Goods Conglomerates</v>
    <v>Stock</v>
    <v>46104.651527615628</v>
    <v>232</v>
    <v>261</v>
    <v>76349944000</v>
    <v>ILLINOIS TOOL WORKS INC.</v>
    <v>ILLINOIS TOOL WORKS INC.</v>
    <v>264.57</v>
    <v>25.251200000000001</v>
    <v>257.68</v>
    <v>264.92</v>
    <v>288200000</v>
    <v>ITW</v>
    <v>ILLINOIS TOOL WORKS INC. (XNYS:ITW)</v>
    <v>279090</v>
    <v>1351748</v>
    <v>1961</v>
  </rv>
  <rv s="2">
    <v>233</v>
  </rv>
  <rv s="0">
    <v>https://www.bing.com/financeapi/forcetrigger?t=a1wljc&amp;q=XNYS%3aKO&amp;form=skydnc</v>
    <v>Learn more on Bing</v>
  </rv>
  <rv s="1">
    <v>0</v>
    <v>THE COCA-COLA COMPANY (XNYS:KO)</v>
    <v>2</v>
    <v>3</v>
    <v>Finance</v>
    <v>4</v>
    <v>en-US</v>
    <v>a1wljc</v>
    <v>268435456</v>
    <v>1</v>
    <v>Powered by Refinitiv</v>
    <v>82</v>
    <v>65.353800000000007</v>
    <v>0.37130000000000002</v>
    <v>0.44500000000000001</v>
    <v>5.9530000000000008E-3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75.459999999999994</v>
    <v>Beverages</v>
    <v>Stock</v>
    <v>46104.651591678128</v>
    <v>235</v>
    <v>74.55</v>
    <v>323650784835</v>
    <v>THE COCA-COLA COMPANY</v>
    <v>THE COCA-COLA COMPANY</v>
    <v>75.459999999999994</v>
    <v>24.743300000000001</v>
    <v>74.75</v>
    <v>75.194999999999993</v>
    <v>4304153000</v>
    <v>KO</v>
    <v>THE COCA-COLA COMPANY (XNYS:KO)</v>
    <v>4804465</v>
    <v>17402411</v>
    <v>1919</v>
  </rv>
  <rv s="2">
    <v>236</v>
  </rv>
  <rv s="0">
    <v>https://www.bing.com/financeapi/forcetrigger?t=a1uv7w&amp;q=XNYS%3aHRL&amp;form=skydnc</v>
    <v>Learn more on Bing</v>
  </rv>
  <rv s="1">
    <v>0</v>
    <v>HORMEL FOODS CORPORATION (XNYS:HRL)</v>
    <v>2</v>
    <v>3</v>
    <v>Finance</v>
    <v>4</v>
    <v>en-US</v>
    <v>a1uv7w</v>
    <v>268435456</v>
    <v>1</v>
    <v>Powered by Refinitiv</v>
    <v>32.07</v>
    <v>21.03</v>
    <v>0.37090000000000001</v>
    <v>0.17499999999999999</v>
    <v>7.9039999999999996E-3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22.454599999999999</v>
    <v>Food &amp; Tobacco</v>
    <v>Stock</v>
    <v>46104.651557500001</v>
    <v>238</v>
    <v>22.1</v>
    <v>12279591923</v>
    <v>HORMEL FOODS CORPORATION</v>
    <v>HORMEL FOODS CORPORATION</v>
    <v>22.35</v>
    <v>25.1097</v>
    <v>22.14</v>
    <v>22.315000000000001</v>
    <v>550284200</v>
    <v>HRL</v>
    <v>HORMEL FOODS CORPORATION (XNYS:HRL)</v>
    <v>762132</v>
    <v>4830663</v>
    <v>1928</v>
  </rv>
  <rv s="2">
    <v>239</v>
  </rv>
  <rv s="0">
    <v>http://en.wikipedia.org/wiki/Qualcomm</v>
    <v>Wikipedia</v>
  </rv>
  <rv s="3">
    <v>3</v>
    <v>241</v>
  </rv>
  <rv s="4">
    <v>9</v>
    <v>https://www.bing.com/th?id=AMMS_2b1c176dae370ecc0d55a1517537f595&amp;qlt=95</v>
    <v>242</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120.8019</v>
    <v>1.2734000000000001</v>
    <v>0.34</v>
    <v>2.617E-3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133.97</v>
    <v>243</v>
    <v>Semiconductors &amp; Semiconductor Equipment</v>
    <v>Stock</v>
    <v>46104.651593055467</v>
    <v>244</v>
    <v>130.16</v>
    <v>138966080000</v>
    <v>QUALCOMM INCORPORATED</v>
    <v>QUALCOMM INCORPORATED</v>
    <v>133.12</v>
    <v>26.9069</v>
    <v>129.9</v>
    <v>130.24</v>
    <v>1067000000</v>
    <v>QCOM</v>
    <v>QUALCOMM INCORPORATED (XNAS:QCOM)</v>
    <v>3131146</v>
    <v>12534883</v>
    <v>1991</v>
  </rv>
  <rv s="2">
    <v>245</v>
  </rv>
  <rv s="0">
    <v>https://www.bing.com/financeapi/forcetrigger?t=a23d9c&amp;q=XNYS%3aSPGI&amp;form=skydnc</v>
    <v>Learn more on Bing</v>
  </rv>
  <rv s="1">
    <v>0</v>
    <v>S&amp;P GLOBAL INC. (XNYS:SPGI)</v>
    <v>2</v>
    <v>3</v>
    <v>Finance</v>
    <v>4</v>
    <v>en-US</v>
    <v>a23d9c</v>
    <v>268435456</v>
    <v>1</v>
    <v>Powered by Refinitiv</v>
    <v>579.04999999999995</v>
    <v>381.60500000000002</v>
    <v>1.2021999999999999</v>
    <v>5.07</v>
    <v>1.1944999999999999E-2</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433.6</v>
    <v>Professional &amp; Commercial Services</v>
    <v>Stock</v>
    <v>46104.651643668753</v>
    <v>247</v>
    <v>426.86099999999999</v>
    <v>128334600000</v>
    <v>S&amp;P GLOBAL INC.</v>
    <v>S&amp;P GLOBAL INC.</v>
    <v>429.88</v>
    <v>29.296800000000001</v>
    <v>424.43</v>
    <v>429.5</v>
    <v>298800000</v>
    <v>SPGI</v>
    <v>S&amp;P GLOBAL INC. (XNYS:SPGI)</v>
    <v>442237</v>
    <v>2647873</v>
    <v>1925</v>
  </rv>
  <rv s="2">
    <v>248</v>
  </rv>
  <rv s="0">
    <v>https://www.bing.com/financeapi/forcetrigger?t=a22xk2&amp;q=XNYS%3aSHW&amp;form=skydnc</v>
    <v>Learn more on Bing</v>
  </rv>
  <rv s="1">
    <v>0</v>
    <v>THE SHERWIN-WILLIAMS COMPANY (XNYS:SHW)</v>
    <v>2</v>
    <v>3</v>
    <v>Finance</v>
    <v>4</v>
    <v>en-US</v>
    <v>a22xk2</v>
    <v>268435456</v>
    <v>1</v>
    <v>Powered by Refinitiv</v>
    <v>379.65</v>
    <v>301.58</v>
    <v>1.2948</v>
    <v>13.97</v>
    <v>4.6025000000000003E-2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318.54000000000002</v>
    <v>Chemicals</v>
    <v>Stock</v>
    <v>46104.651577881254</v>
    <v>250</v>
    <v>306.26499999999999</v>
    <v>78537562000</v>
    <v>THE SHERWIN-WILLIAMS COMPANY</v>
    <v>THE SHERWIN-WILLIAMS COMPANY</v>
    <v>306.26499999999999</v>
    <v>30.9527</v>
    <v>303.52999999999997</v>
    <v>317.5</v>
    <v>247362400</v>
    <v>SHW</v>
    <v>THE SHERWIN-WILLIAMS COMPANY (XNYS:SHW)</v>
    <v>662952</v>
    <v>1696672</v>
    <v>1884</v>
  </rv>
  <rv s="2">
    <v>251</v>
  </rv>
  <rv s="0">
    <v>https://www.bing.com/financeapi/forcetrigger?t=a1vmtc&amp;q=XNAS%3aINTU&amp;form=skydnc</v>
    <v>Learn more on Bing</v>
  </rv>
  <rv s="1">
    <v>0</v>
    <v>INTUIT INC. (XNAS:INTU)</v>
    <v>2</v>
    <v>3</v>
    <v>Finance</v>
    <v>4</v>
    <v>en-US</v>
    <v>a1vmtc</v>
    <v>268435456</v>
    <v>1</v>
    <v>Powered by Refinitiv</v>
    <v>813.7</v>
    <v>349</v>
    <v>1.1761999999999999</v>
    <v>0.57999999999999996</v>
    <v>1.273E-3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464.99</v>
    <v>Financial Technology (Fintech) &amp; Infrastructure</v>
    <v>Stock</v>
    <v>46104.651564478903</v>
    <v>253</v>
    <v>455.01</v>
    <v>126145517000</v>
    <v>INTUIT INC.</v>
    <v>INTUIT INC.</v>
    <v>456</v>
    <v>29.671099999999999</v>
    <v>455.56</v>
    <v>456.14</v>
    <v>276550000</v>
    <v>INTU</v>
    <v>INTUIT INC. (XNAS:INTU)</v>
    <v>711287</v>
    <v>4765615</v>
    <v>1993</v>
  </rv>
  <rv s="2">
    <v>254</v>
  </rv>
  <rv s="0">
    <v>https://www.bing.com/financeapi/forcetrigger?t=a1xfoc&amp;q=XNAS%3aMDLZ&amp;form=skydnc</v>
    <v>Learn more on Bing</v>
  </rv>
  <rv s="1">
    <v>0</v>
    <v>Mondelez International, Inc. (XNAS:MDLZ)</v>
    <v>2</v>
    <v>3</v>
    <v>Finance</v>
    <v>4</v>
    <v>en-US</v>
    <v>a1xfoc</v>
    <v>268435456</v>
    <v>1</v>
    <v>Powered by Refinitiv</v>
    <v>71.150000000000006</v>
    <v>51.200800000000001</v>
    <v>0.40279999999999999</v>
    <v>0.93</v>
    <v>1.6545000000000001E-2</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57.19</v>
    <v>Food &amp; Tobacco</v>
    <v>Stock</v>
    <v>46104.651695810157</v>
    <v>256</v>
    <v>55.92</v>
    <v>73244680440</v>
    <v>Mondelez International, Inc.</v>
    <v>Mondelez International, Inc.</v>
    <v>56.74</v>
    <v>30.2408</v>
    <v>56.21</v>
    <v>57.14</v>
    <v>1281846000</v>
    <v>MDLZ</v>
    <v>Mondelez International, Inc. (XNAS:MDLZ)</v>
    <v>3224247</v>
    <v>10460854</v>
    <v>2000</v>
  </rv>
  <rv s="2">
    <v>257</v>
  </rv>
  <rv s="0">
    <v>https://www.bing.com/financeapi/forcetrigger?t=a1qvjc&amp;q=XNYS%3aDE&amp;form=skydnc</v>
    <v>Learn more on Bing</v>
  </rv>
  <rv s="1">
    <v>0</v>
    <v>DEERE &amp; COMPANY (XNYS:DE)</v>
    <v>2</v>
    <v>3</v>
    <v>Finance</v>
    <v>4</v>
    <v>en-US</v>
    <v>a1qvjc</v>
    <v>268435456</v>
    <v>1</v>
    <v>Powered by Refinitiv</v>
    <v>674.18989999999997</v>
    <v>404.42</v>
    <v>0.99450000000000005</v>
    <v>7.74</v>
    <v>1.3828E-2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571.94000000000005</v>
    <v>Machinery, Equipment &amp; Components</v>
    <v>Stock</v>
    <v>46104.651570971873</v>
    <v>259</v>
    <v>564.66999999999996</v>
    <v>153277789531</v>
    <v>DEERE &amp; COMPANY</v>
    <v>DEERE &amp; COMPANY</v>
    <v>570.45000000000005</v>
    <v>31.9941</v>
    <v>559.73</v>
    <v>567.47</v>
    <v>270107300</v>
    <v>DE</v>
    <v>DEERE &amp; COMPANY (XNYS:DE)</v>
    <v>276373</v>
    <v>1818228</v>
    <v>1958</v>
  </rv>
  <rv s="2">
    <v>260</v>
  </rv>
  <rv s="0">
    <v>https://www.bing.com/financeapi/forcetrigger?t=a1xear&amp;q=XNYS%3aMCO&amp;form=skydnc</v>
    <v>Learn more on Bing</v>
  </rv>
  <rv s="1">
    <v>0</v>
    <v>MOODY'S CORPORATION (XNYS:MCO)</v>
    <v>2</v>
    <v>3</v>
    <v>Finance</v>
    <v>4</v>
    <v>en-US</v>
    <v>a1xear</v>
    <v>268435456</v>
    <v>1</v>
    <v>Powered by Refinitiv</v>
    <v>546.88</v>
    <v>378.71</v>
    <v>1.4452</v>
    <v>7.64</v>
    <v>1.7558000000000001E-2</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445.7</v>
    <v>Professional &amp; Commercial Services</v>
    <v>Stock</v>
    <v>46104.651632858593</v>
    <v>262</v>
    <v>439.875</v>
    <v>78813006764</v>
    <v>MOODY'S CORPORATION</v>
    <v>MOODY'S CORPORATION</v>
    <v>442.745</v>
    <v>32.392299999999999</v>
    <v>435.12</v>
    <v>442.76</v>
    <v>178003900</v>
    <v>MCO</v>
    <v>MOODY'S CORPORATION (XNYS:MCO)</v>
    <v>347786</v>
    <v>1623495</v>
    <v>2000</v>
  </rv>
  <rv s="2">
    <v>263</v>
  </rv>
  <rv s="0">
    <v>https://www.bing.com/financeapi/forcetrigger?t=a1pshw&amp;q=XNYS%3aCL&amp;form=skydnc</v>
    <v>Learn more on Bing</v>
  </rv>
  <rv s="1">
    <v>0</v>
    <v>COLGATE-PALMOLIVE COMPANY (XNYS:CL)</v>
    <v>2</v>
    <v>3</v>
    <v>Finance</v>
    <v>4</v>
    <v>en-US</v>
    <v>a1pshw</v>
    <v>268435456</v>
    <v>1</v>
    <v>Powered by Refinitiv</v>
    <v>99.33</v>
    <v>74.545000000000002</v>
    <v>0.33510000000000001</v>
    <v>0.82</v>
    <v>9.6330000000000009E-3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86.6</v>
    <v>Personal &amp; Household Products &amp; Services</v>
    <v>Stock</v>
    <v>46104.65157430547</v>
    <v>265</v>
    <v>85.19</v>
    <v>68885035120</v>
    <v>COLGATE-PALMOLIVE COMPANY</v>
    <v>COLGATE-PALMOLIVE COMPANY</v>
    <v>86.59</v>
    <v>32.783999999999999</v>
    <v>85.12</v>
    <v>85.94</v>
    <v>801548000</v>
    <v>CL</v>
    <v>COLGATE-PALMOLIVE COMPANY (XNYS:CL)</v>
    <v>2100000</v>
    <v>6635466</v>
    <v>1923</v>
  </rv>
  <rv s="2">
    <v>266</v>
  </rv>
  <rv s="0">
    <v>https://www.bing.com/financeapi/forcetrigger?t=a1p7zr&amp;q=XNYS%3aCAT&amp;form=skydnc</v>
    <v>Learn more on Bing</v>
  </rv>
  <rv s="1">
    <v>0</v>
    <v>CATERPILLAR INC. (XNYS:CAT)</v>
    <v>2</v>
    <v>3</v>
    <v>Finance</v>
    <v>4</v>
    <v>en-US</v>
    <v>a1p7zr</v>
    <v>268435456</v>
    <v>1</v>
    <v>Powered by Refinitiv</v>
    <v>789.81</v>
    <v>267.3</v>
    <v>1.5362</v>
    <v>23.7681</v>
    <v>3.4908000000000002E-2</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712</v>
    <v>Machinery, Equipment &amp; Components</v>
    <v>Stock</v>
    <v>46104.651621932811</v>
    <v>268</v>
    <v>695.00030000000004</v>
    <v>327863811899</v>
    <v>CATERPILLAR INC.</v>
    <v>CATERPILLAR INC.</v>
    <v>698.83</v>
    <v>37.4285</v>
    <v>680.88</v>
    <v>704.6481</v>
    <v>465287300</v>
    <v>CAT</v>
    <v>CATERPILLAR INC. (XNYS:CAT)</v>
    <v>994756</v>
    <v>2860273</v>
    <v>1986</v>
  </rv>
  <rv s="2">
    <v>269</v>
  </rv>
  <rv s="0">
    <v>https://www.bing.com/financeapi/forcetrigger?t=a1wyu2&amp;q=XNYS%3aLLY&amp;form=skydnc</v>
    <v>Learn more on Bing</v>
  </rv>
  <rv s="1">
    <v>0</v>
    <v>ELI LILLY AND COMPANY (XNYS:LLY)</v>
    <v>2</v>
    <v>3</v>
    <v>Finance</v>
    <v>4</v>
    <v>en-US</v>
    <v>a1wyu2</v>
    <v>268435456</v>
    <v>1</v>
    <v>Powered by Refinitiv</v>
    <v>1133.95</v>
    <v>623.78</v>
    <v>0.51329999999999998</v>
    <v>18.22</v>
    <v>2.0095000000000002E-2</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925.03499999999997</v>
    <v>Pharmaceuticals</v>
    <v>Stock</v>
    <v>46104.651603784376</v>
    <v>271</v>
    <v>907.23</v>
    <v>872530126408</v>
    <v>ELI LILLY AND COMPANY</v>
    <v>ELI LILLY AND COMPANY</v>
    <v>913</v>
    <v>40.289900000000003</v>
    <v>906.7</v>
    <v>924.92</v>
    <v>943357400</v>
    <v>LLY</v>
    <v>ELI LILLY AND COMPANY (XNYS:LLY)</v>
    <v>875709</v>
    <v>2979025</v>
    <v>1901</v>
  </rv>
  <rv s="2">
    <v>272</v>
  </rv>
  <rv s="0">
    <v>https://www.bing.com/financeapi/forcetrigger?t=a1sl52&amp;q=XNAS%3aFAST&amp;form=skydnc</v>
    <v>Learn more on Bing</v>
  </rv>
  <rv s="1">
    <v>0</v>
    <v>FASTENAL COMPANY (XNAS:FAST)</v>
    <v>2</v>
    <v>3</v>
    <v>Finance</v>
    <v>4</v>
    <v>en-US</v>
    <v>a1sl52</v>
    <v>268435456</v>
    <v>1</v>
    <v>Powered by Refinitiv</v>
    <v>50.63</v>
    <v>35.305</v>
    <v>0.86770000000000003</v>
    <v>1.43</v>
    <v>3.2677999999999999E-2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45.29</v>
    <v>Machinery, Equipment &amp; Components</v>
    <v>Stock</v>
    <v>46104.651667916405</v>
    <v>274</v>
    <v>44.36</v>
    <v>51892942320</v>
    <v>FASTENAL COMPANY</v>
    <v>FASTENAL COMPANY</v>
    <v>44.63</v>
    <v>41.303400000000003</v>
    <v>43.76</v>
    <v>45.19</v>
    <v>1148328000</v>
    <v>FAST</v>
    <v>FASTENAL COMPANY (XNAS:FAST)</v>
    <v>1562908</v>
    <v>8360573</v>
    <v>1968</v>
  </rv>
  <rv s="2">
    <v>275</v>
  </rv>
  <rv s="0">
    <v>https://www.bing.com/financeapi/forcetrigger?t=a1q6k2&amp;q=XNAS%3aCOST&amp;form=skydnc</v>
    <v>Learn more on Bing</v>
  </rv>
  <rv s="1">
    <v>0</v>
    <v>COSTCO WHOLESALE CORPORATION (XNAS:COST)</v>
    <v>2</v>
    <v>3</v>
    <v>Finance</v>
    <v>4</v>
    <v>en-US</v>
    <v>a1q6k2</v>
    <v>268435456</v>
    <v>1</v>
    <v>Powered by Refinitiv</v>
    <v>1067.08</v>
    <v>844.06</v>
    <v>0.997</v>
    <v>1.345</v>
    <v>1.3830000000000001E-3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986.64</v>
    <v>Diversified Retail</v>
    <v>Stock</v>
    <v>46104.651664698438</v>
    <v>277</v>
    <v>964.53</v>
    <v>431973347937</v>
    <v>COSTCO WHOLESALE CORPORATION</v>
    <v>COSTCO WHOLESALE CORPORATION</v>
    <v>986.64</v>
    <v>52.1569</v>
    <v>972.33</v>
    <v>973.67499999999995</v>
    <v>443652500</v>
    <v>COST</v>
    <v>COSTCO WHOLESALE CORPORATION (XNAS:COST)</v>
    <v>465079</v>
    <v>1904962</v>
    <v>1987</v>
  </rv>
  <rv s="2">
    <v>278</v>
  </rv>
  <rv s="0">
    <v>https://www.bing.com/financeapi/forcetrigger?t=a1nz8m&amp;q=XNAS%3aAVGO&amp;form=skydnc</v>
    <v>Learn more on Bing</v>
  </rv>
  <rv s="1">
    <v>0</v>
    <v>BROADCOM INC. (XNAS:AVGO)</v>
    <v>2</v>
    <v>3</v>
    <v>Finance</v>
    <v>4</v>
    <v>en-US</v>
    <v>a1nz8m</v>
    <v>268435456</v>
    <v>1</v>
    <v>Powered by Refinitiv</v>
    <v>414.61</v>
    <v>138.1</v>
    <v>1.2487999999999999</v>
    <v>12.030099999999999</v>
    <v>3.8823999999999997E-2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326.48</v>
    <v>Semiconductors &amp; Semiconductor Equipment</v>
    <v>Stock</v>
    <v>46104.651652557812</v>
    <v>280</v>
    <v>314.93</v>
    <v>1524042755986</v>
    <v>BROADCOM INC.</v>
    <v>BROADCOM INC.</v>
    <v>318</v>
    <v>67.482200000000006</v>
    <v>309.86</v>
    <v>321.89010000000002</v>
    <v>4734668000</v>
    <v>AVGO</v>
    <v>BROADCOM INC. (XNAS:AVGO)</v>
    <v>10058860</v>
    <v>27629551</v>
    <v>2018</v>
  </rv>
  <rv s="2">
    <v>281</v>
  </rv>
  <rv s="0">
    <v>https://www.bing.com/financeapi/forcetrigger?t=a1s4mw&amp;q=XNAS%3aEQIX&amp;form=skydnc</v>
    <v>Learn more on Bing</v>
  </rv>
  <rv s="1">
    <v>0</v>
    <v>EQUINIX, INC. (XNAS:EQIX)</v>
    <v>2</v>
    <v>3</v>
    <v>Finance</v>
    <v>4</v>
    <v>en-US</v>
    <v>a1s4mw</v>
    <v>268435456</v>
    <v>1</v>
    <v>Powered by Refinitiv</v>
    <v>992.9</v>
    <v>701.41</v>
    <v>1.0073000000000001</v>
    <v>2.7650000000000001</v>
    <v>2.8830000000000001E-3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974.91</v>
    <v>Residential &amp; Commercial REIT</v>
    <v>Stock</v>
    <v>46104.651569524998</v>
    <v>283</v>
    <v>955</v>
    <v>94513873540</v>
    <v>EQUINIX, INC.</v>
    <v>EQUINIX, INC.</v>
    <v>965.8</v>
    <v>69.905299999999997</v>
    <v>959.16</v>
    <v>961.92499999999995</v>
    <v>98254930</v>
    <v>EQIX</v>
    <v>EQUINIX, INC. (XNAS:EQIX)</v>
    <v>115883</v>
    <v>730001</v>
    <v>1998</v>
  </rv>
  <rv s="2">
    <v>284</v>
  </rv>
  <rv s="0">
    <v>https://www.bing.com/financeapi/forcetrigger?t=a22k9c&amp;q=XNAS%3aSBUX&amp;form=skydnc</v>
    <v>Learn more on Bing</v>
  </rv>
  <rv s="1">
    <v>0</v>
    <v>STARBUCKS CORPORATION (XNAS:SBUX)</v>
    <v>2</v>
    <v>3</v>
    <v>Finance</v>
    <v>4</v>
    <v>en-US</v>
    <v>a22k9c</v>
    <v>268435456</v>
    <v>1</v>
    <v>Powered by Refinitiv</v>
    <v>104.82</v>
    <v>75.5</v>
    <v>0.92700000000000005</v>
    <v>2.31</v>
    <v>2.4958999999999999E-2</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95.02</v>
    <v>Hotels &amp; Entertainment Services</v>
    <v>Stock</v>
    <v>46104.651682615622</v>
    <v>286</v>
    <v>93.59</v>
    <v>108073998000</v>
    <v>STARBUCKS CORPORATION</v>
    <v>STARBUCKS CORPORATION</v>
    <v>93.86</v>
    <v>79.023700000000005</v>
    <v>92.55</v>
    <v>94.86</v>
    <v>1139300000</v>
    <v>SBUX</v>
    <v>STARBUCKS CORPORATION (XNAS:SBUX)</v>
    <v>1409562</v>
    <v>8220579</v>
    <v>1985</v>
  </rv>
  <rv s="2">
    <v>287</v>
  </rv>
  <rv s="0">
    <v>https://www.bing.com/financeapi/forcetrigger?t=a1mpqh&amp;q=XNYS%3aABBV&amp;form=skydnc</v>
    <v>Learn more on Bing</v>
  </rv>
  <rv s="1">
    <v>0</v>
    <v>ABBVIE INC. (XNYS:ABBV)</v>
    <v>2</v>
    <v>3</v>
    <v>Finance</v>
    <v>4</v>
    <v>en-US</v>
    <v>a1mpqh</v>
    <v>268435456</v>
    <v>1</v>
    <v>Powered by Refinitiv</v>
    <v>244.81</v>
    <v>164.39</v>
    <v>0.3952</v>
    <v>-0.47</v>
    <v>-2.2919999999999998E-3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208.61500000000001</v>
    <v>Pharmaceuticals</v>
    <v>Stock</v>
    <v>46104.651569791407</v>
    <v>289</v>
    <v>203.7801</v>
    <v>361767377400</v>
    <v>ABBVIE INC.</v>
    <v>ABBVIE INC.</v>
    <v>208.06</v>
    <v>86.683899999999994</v>
    <v>205.07</v>
    <v>204.6</v>
    <v>1768169000</v>
    <v>ABBV</v>
    <v>ABBVIE INC. (XNYS:ABBV)</v>
    <v>1346455</v>
    <v>7294625</v>
    <v>2012</v>
  </rv>
  <rv s="2">
    <v>290</v>
  </rv>
  <rv s="0">
    <v>https://www.bing.com/financeapi/forcetrigger?t=a1odur&amp;q=XNYS%3aBF.A&amp;form=skydnc</v>
    <v>Learn more on Bing</v>
  </rv>
  <rv s="6">
    <v>12</v>
    <v>BROWN-FORMAN CORPORATION (XNYS:BF.A)</v>
    <v>2</v>
    <v>13</v>
    <v>Finance</v>
    <v>4</v>
    <v>en-US</v>
    <v>a1odur</v>
    <v>268435456</v>
    <v>1</v>
    <v>Powered by Refinitiv</v>
    <v>35.954999999999998</v>
    <v>23.01</v>
    <v>0.49590000000000001</v>
    <v>0.31</v>
    <v>1.3287999999999999E-2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23.82</v>
    <v>Beverages</v>
    <v>Stock</v>
    <v>46104.651400485935</v>
    <v>292</v>
    <v>23.37</v>
    <v>10843753104</v>
    <v>BROWN-FORMAN CORPORATION</v>
    <v>BROWN-FORMAN CORPORATION</v>
    <v>23.57</v>
    <v>23.33</v>
    <v>23.64</v>
    <v>458703600</v>
    <v>BF.A</v>
    <v>BROWN-FORMAN CORPORATION (XNYS:BF.A)</v>
    <v>67943</v>
    <v>264067</v>
    <v>1933</v>
  </rv>
  <rv s="2">
    <v>293</v>
  </rv>
  <rv s="7">
    <v>12</v>
    <v>P/E</v>
    <v>0</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1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3">
      <v>1</v>
      <v>2</v>
      <v>2</v>
      <v>1</v>
      <v>3</v>
      <v>1</v>
      <v>1</v>
      <v>1</v>
      <v>4</v>
      <v>4</v>
      <v>5</v>
      <v>11</v>
      <v>1</v>
      <v>1</v>
      <v>1</v>
      <v>4</v>
      <v>7</v>
      <v>8</v>
      <v>9</v>
      <v>4</v>
    </spb>
    <spb s="9">
      <v>Delayed 15 minutes</v>
      <v>from previous close</v>
      <v>from previous close</v>
      <v>GMT</v>
    </spb>
    <spb s="0">
      <v>2</v>
      <v>Name</v>
      <v>LearnMoreOnLink</v>
    </spb>
    <spb s="10">
      <v>1</v>
      <v>2</v>
      <v>1</v>
      <v>3</v>
      <v>1</v>
      <v>1</v>
      <v>1</v>
      <v>4</v>
      <v>4</v>
      <v>5</v>
      <v>6</v>
      <v>1</v>
      <v>1</v>
      <v>1</v>
      <v>4</v>
      <v>7</v>
      <v>8</v>
      <v>9</v>
      <v>4</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#,##0_);_([$$-en-CA]* (#,##0);_([$$-en-CA]*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94" totalsRowShown="0" headerRowDxfId="9">
  <autoFilter ref="A1:L94" xr:uid="{E0CA35FE-2F53-A347-8AD6-B5C0C701EF5E}"/>
  <sortState xmlns:xlrd2="http://schemas.microsoft.com/office/spreadsheetml/2017/richdata2" ref="A2:L94">
    <sortCondition ref="E1:E94"/>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94"/>
  <sheetViews>
    <sheetView tabSelected="1" workbookViewId="0">
      <pane ySplit="1" topLeftCell="A46" activePane="bottomLeft" state="frozen"/>
      <selection pane="bottomLeft" activeCell="A75" sqref="A75"/>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META</v>
      </c>
      <c r="C2">
        <v>1</v>
      </c>
      <c r="D2">
        <v>500</v>
      </c>
      <c r="E2">
        <v>1</v>
      </c>
      <c r="F2" s="2" cm="1">
        <f t="array" aca="1" ref="F2" ca="1">_FV(table1[[#This Row],[DataField]],"Price")</f>
        <v>607.86500000000001</v>
      </c>
      <c r="G2" s="2" cm="1">
        <f t="array" aca="1" ref="G2" ca="1">_FV(table1[[#This Row],[DataField]],"52 week low",TRUE)</f>
        <v>479.8</v>
      </c>
      <c r="H2" s="2" cm="1">
        <f t="array" aca="1" ref="H2" ca="1">_FV(table1[[#This Row],[DataField]],"52 week high",TRUE)</f>
        <v>796.25</v>
      </c>
      <c r="I2" s="4" cm="1">
        <f t="array" aca="1" ref="I2" ca="1">_FV(table1[[#This Row],[DataField]],"P/E",TRUE)</f>
        <v>20.795500000000001</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1537627950075</v>
      </c>
    </row>
    <row r="3" spans="1:12" x14ac:dyDescent="0.2">
      <c r="A3" t="e" vm="2">
        <v>#VALUE!</v>
      </c>
      <c r="B3" t="str" cm="1">
        <f t="array" aca="1" ref="B3" ca="1">_FV(table1[[#This Row],[DataField]],"Ticker symbol",TRUE)</f>
        <v>MSFT</v>
      </c>
      <c r="C3">
        <v>0</v>
      </c>
      <c r="D3">
        <v>500</v>
      </c>
      <c r="E3">
        <v>1</v>
      </c>
      <c r="F3" s="2" cm="1">
        <f t="array" aca="1" ref="F3" ca="1">_FV(table1[[#This Row],[DataField]],"Price")</f>
        <v>385.34500000000003</v>
      </c>
      <c r="G3" s="2" cm="1">
        <f t="array" aca="1" ref="G3" ca="1">_FV(table1[[#This Row],[DataField]],"52 week low",TRUE)</f>
        <v>344.79</v>
      </c>
      <c r="H3" s="2" cm="1">
        <f t="array" aca="1" ref="H3" ca="1">_FV(table1[[#This Row],[DataField]],"52 week high",TRUE)</f>
        <v>555.45000000000005</v>
      </c>
      <c r="I3" s="4" cm="1">
        <f t="array" aca="1" ref="I3" ca="1">_FV(table1[[#This Row],[DataField]],"P/E",TRUE)</f>
        <v>24.110600000000002</v>
      </c>
      <c r="J3" s="2" t="str">
        <f ca="1">IF(table1[[#This Row],[Price]] &lt; (table1[[#This Row],[52Low]] * 0.25) + table1[[#This Row],[52Low]],  "TRUE", "FALSE")</f>
        <v>TRUE</v>
      </c>
      <c r="K3" s="2" t="str">
        <f ca="1">IF(table1[[#This Row],[Price]] &lt; (table1[[#This Row],[52Low]] * 0.1) + table1[[#This Row],[52Low]],  "TRUE", "FALSE")</f>
        <v>FALSE</v>
      </c>
      <c r="L3" s="6" cm="1">
        <f t="array" aca="1" ref="L3" ca="1">_FV(table1[[#This Row],[DataField]],"Market cap",TRUE)</f>
        <v>2861429007005</v>
      </c>
    </row>
    <row r="4" spans="1:12" x14ac:dyDescent="0.2">
      <c r="A4" t="e" vm="3">
        <v>#VALUE!</v>
      </c>
      <c r="B4" t="str" cm="1">
        <f t="array" aca="1" ref="B4" ca="1">_FV(table1[[#This Row],[DataField]],"Ticker symbol",TRUE)</f>
        <v>GOOGL</v>
      </c>
      <c r="C4">
        <v>0</v>
      </c>
      <c r="D4">
        <v>500</v>
      </c>
      <c r="E4">
        <v>1</v>
      </c>
      <c r="F4" s="2" cm="1">
        <f t="array" aca="1" ref="F4" ca="1">_FV(table1[[#This Row],[DataField]],"Price")</f>
        <v>305.33</v>
      </c>
      <c r="G4" s="2" cm="1">
        <f t="array" aca="1" ref="G4" ca="1">_FV(table1[[#This Row],[DataField]],"52 week low",TRUE)</f>
        <v>140.53</v>
      </c>
      <c r="H4" s="2" cm="1">
        <f t="array" aca="1" ref="H4" ca="1">_FV(table1[[#This Row],[DataField]],"52 week high",TRUE)</f>
        <v>349</v>
      </c>
      <c r="I4" s="4" cm="1">
        <f t="array" aca="1" ref="I4" ca="1">_FV(table1[[#This Row],[DataField]],"P/E",TRUE)</f>
        <v>28.245100000000001</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3693577010000</v>
      </c>
    </row>
    <row r="5" spans="1:12" x14ac:dyDescent="0.2">
      <c r="A5" t="e" vm="4">
        <v>#VALUE!</v>
      </c>
      <c r="B5" t="str" cm="1">
        <f t="array" aca="1" ref="B5" ca="1">_FV(table1[[#This Row],[DataField]],"Ticker symbol",TRUE)</f>
        <v>AMZN</v>
      </c>
      <c r="C5">
        <v>0</v>
      </c>
      <c r="D5">
        <v>500</v>
      </c>
      <c r="E5">
        <v>1</v>
      </c>
      <c r="F5" s="2" cm="1">
        <f t="array" aca="1" ref="F5" ca="1">_FV(table1[[#This Row],[DataField]],"Price")</f>
        <v>211.89500000000001</v>
      </c>
      <c r="G5" s="2" cm="1">
        <f t="array" aca="1" ref="G5" ca="1">_FV(table1[[#This Row],[DataField]],"52 week low",TRUE)</f>
        <v>161.38</v>
      </c>
      <c r="H5" s="2" cm="1">
        <f t="array" aca="1" ref="H5" ca="1">_FV(table1[[#This Row],[DataField]],"52 week high",TRUE)</f>
        <v>258.60000000000002</v>
      </c>
      <c r="I5" s="4" cm="1">
        <f t="array" aca="1" ref="I5" ca="1">_FV(table1[[#This Row],[DataField]],"P/E",TRUE)</f>
        <v>29.543900000000001</v>
      </c>
      <c r="J5" s="2" t="str">
        <f ca="1">IF(table1[[#This Row],[Price]] &lt; (table1[[#This Row],[52Low]] * 0.25) + table1[[#This Row],[52Low]],  "TRUE", "FALSE")</f>
        <v>FALSE</v>
      </c>
      <c r="K5" s="2" t="str">
        <f ca="1">IF(table1[[#This Row],[Price]] &lt; (table1[[#This Row],[52Low]] * 0.1) + table1[[#This Row],[52Low]],  "TRUE", "FALSE")</f>
        <v>FALSE</v>
      </c>
      <c r="L5" s="6" cm="1">
        <f t="array" aca="1" ref="L5" ca="1">_FV(table1[[#This Row],[DataField]],"Market cap",TRUE)</f>
        <v>2274675873400</v>
      </c>
    </row>
    <row r="6" spans="1:12" x14ac:dyDescent="0.2">
      <c r="A6" t="e" vm="5">
        <v>#VALUE!</v>
      </c>
      <c r="B6" t="str" cm="1">
        <f t="array" aca="1" ref="B6" ca="1">_FV(table1[[#This Row],[DataField]],"Ticker symbol",TRUE)</f>
        <v>AAPL</v>
      </c>
      <c r="C6">
        <v>0</v>
      </c>
      <c r="D6">
        <v>500</v>
      </c>
      <c r="E6">
        <v>1</v>
      </c>
      <c r="F6" s="2" cm="1">
        <f t="array" aca="1" ref="F6" ca="1">_FV(table1[[#This Row],[DataField]],"Price")</f>
        <v>252.53</v>
      </c>
      <c r="G6" s="2" cm="1">
        <f t="array" aca="1" ref="G6" ca="1">_FV(table1[[#This Row],[DataField]],"52 week low",TRUE)</f>
        <v>169.21010000000001</v>
      </c>
      <c r="H6" s="2" cm="1">
        <f t="array" aca="1" ref="H6" ca="1">_FV(table1[[#This Row],[DataField]],"52 week high",TRUE)</f>
        <v>288.62</v>
      </c>
      <c r="I6" s="4" cm="1">
        <f t="array" aca="1" ref="I6" ca="1">_FV(table1[[#This Row],[DataField]],"P/E",TRUE)</f>
        <v>32.083199999999998</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3712872831000</v>
      </c>
    </row>
    <row r="7" spans="1:12" x14ac:dyDescent="0.2">
      <c r="A7" t="e" vm="6">
        <v>#VALUE!</v>
      </c>
      <c r="B7" t="str" cm="1">
        <f t="array" aca="1" ref="B7" ca="1">_FV(table1[[#This Row],[DataField]],"Ticker symbol",TRUE)</f>
        <v>TSM</v>
      </c>
      <c r="C7">
        <v>1</v>
      </c>
      <c r="D7">
        <v>500</v>
      </c>
      <c r="E7">
        <v>2</v>
      </c>
      <c r="F7" s="2" cm="1">
        <f t="array" aca="1" ref="F7" ca="1">_FV(table1[[#This Row],[DataField]],"Price")</f>
        <v>340.73500000000001</v>
      </c>
      <c r="G7" s="2" cm="1">
        <f t="array" aca="1" ref="G7" ca="1">_FV(table1[[#This Row],[DataField]],"52 week low",TRUE)</f>
        <v>134.25</v>
      </c>
      <c r="H7" s="2" cm="1">
        <f t="array" aca="1" ref="H7" ca="1">_FV(table1[[#This Row],[DataField]],"52 week high",TRUE)</f>
        <v>390.20499999999998</v>
      </c>
      <c r="I7" s="4" cm="1">
        <f t="array" aca="1" ref="I7" ca="1">_FV(table1[[#This Row],[DataField]],"P/E",TRUE)</f>
        <v>32.2303</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1767223781175</v>
      </c>
    </row>
    <row r="8" spans="1:12" x14ac:dyDescent="0.2">
      <c r="A8" t="e" vm="7">
        <v>#VALUE!</v>
      </c>
      <c r="B8" t="str" cm="1">
        <f t="array" aca="1" ref="B8" ca="1">_FV(table1[[#This Row],[DataField]],"Ticker symbol",TRUE)</f>
        <v>TXN</v>
      </c>
      <c r="C8">
        <v>0</v>
      </c>
      <c r="D8">
        <v>500</v>
      </c>
      <c r="E8">
        <v>2</v>
      </c>
      <c r="F8" s="2" cm="1">
        <f t="array" aca="1" ref="F8" ca="1">_FV(table1[[#This Row],[DataField]],"Price")</f>
        <v>191.8</v>
      </c>
      <c r="G8" s="2" cm="1">
        <f t="array" aca="1" ref="G8" ca="1">_FV(table1[[#This Row],[DataField]],"52 week low",TRUE)</f>
        <v>139.94999999999999</v>
      </c>
      <c r="H8" s="2" cm="1">
        <f t="array" aca="1" ref="H8" ca="1">_FV(table1[[#This Row],[DataField]],"52 week high",TRUE)</f>
        <v>231.32</v>
      </c>
      <c r="I8" s="4" cm="1">
        <f t="array" aca="1" ref="I8" ca="1">_FV(table1[[#This Row],[DataField]],"P/E",TRUE)</f>
        <v>34.999400000000001</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174626880120</v>
      </c>
    </row>
    <row r="9" spans="1:12" x14ac:dyDescent="0.2">
      <c r="A9" t="e" vm="8">
        <v>#VALUE!</v>
      </c>
      <c r="B9" t="str" cm="1">
        <f t="array" aca="1" ref="B9" ca="1">_FV(table1[[#This Row],[DataField]],"Ticker symbol",TRUE)</f>
        <v>NVDA</v>
      </c>
      <c r="C9">
        <v>1</v>
      </c>
      <c r="D9">
        <v>500</v>
      </c>
      <c r="E9">
        <v>2</v>
      </c>
      <c r="F9" s="2" cm="1">
        <f t="array" aca="1" ref="F9" ca="1">_FV(table1[[#This Row],[DataField]],"Price")</f>
        <v>176.92</v>
      </c>
      <c r="G9" s="2" cm="1">
        <f t="array" aca="1" ref="G9" ca="1">_FV(table1[[#This Row],[DataField]],"52 week low",TRUE)</f>
        <v>86.62</v>
      </c>
      <c r="H9" s="2" cm="1">
        <f t="array" aca="1" ref="H9" ca="1">_FV(table1[[#This Row],[DataField]],"52 week high",TRUE)</f>
        <v>212.18989999999999</v>
      </c>
      <c r="I9" s="4" cm="1">
        <f t="array" aca="1" ref="I9" ca="1">_FV(table1[[#This Row],[DataField]],"P/E",TRUE)</f>
        <v>36.0929</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4299155999999</v>
      </c>
    </row>
    <row r="10" spans="1:12" x14ac:dyDescent="0.2">
      <c r="A10" t="e" vm="9">
        <v>#VALUE!</v>
      </c>
      <c r="B10" t="str" cm="1">
        <f t="array" aca="1" ref="B10" ca="1">_FV(table1[[#This Row],[DataField]],"Ticker symbol",TRUE)</f>
        <v>ASML</v>
      </c>
      <c r="C10">
        <v>1</v>
      </c>
      <c r="D10">
        <v>500</v>
      </c>
      <c r="E10">
        <v>2</v>
      </c>
      <c r="F10" s="2" cm="1">
        <f t="array" aca="1" ref="F10" ca="1">_FV(table1[[#This Row],[DataField]],"Price")</f>
        <v>1385.42</v>
      </c>
      <c r="G10" s="2" cm="1">
        <f t="array" aca="1" ref="G10" ca="1">_FV(table1[[#This Row],[DataField]],"52 week low",TRUE)</f>
        <v>578.51</v>
      </c>
      <c r="H10" s="2" cm="1">
        <f t="array" aca="1" ref="H10" ca="1">_FV(table1[[#This Row],[DataField]],"52 week high",TRUE)</f>
        <v>1547.22</v>
      </c>
      <c r="I10" s="4" cm="1">
        <f t="array" aca="1" ref="I10" ca="1">_FV(table1[[#This Row],[DataField]],"P/E",TRUE)</f>
        <v>47.7303</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537747586534</v>
      </c>
    </row>
    <row r="11" spans="1:12" x14ac:dyDescent="0.2">
      <c r="A11" t="e" vm="10">
        <v>#VALUE!</v>
      </c>
      <c r="B11" t="str" cm="1">
        <f t="array" aca="1" ref="B11" ca="1">_FV(table1[[#This Row],[DataField]],"Ticker symbol",TRUE)</f>
        <v>LRCX</v>
      </c>
      <c r="C11">
        <v>1</v>
      </c>
      <c r="D11">
        <v>500</v>
      </c>
      <c r="E11">
        <v>2</v>
      </c>
      <c r="F11" s="2" cm="1">
        <f t="array" aca="1" ref="F11" ca="1">_FV(table1[[#This Row],[DataField]],"Price")</f>
        <v>235.5</v>
      </c>
      <c r="G11" s="2" cm="1">
        <f t="array" aca="1" ref="G11" ca="1">_FV(table1[[#This Row],[DataField]],"52 week low",TRUE)</f>
        <v>56.32</v>
      </c>
      <c r="H11" s="2" cm="1">
        <f t="array" aca="1" ref="H11" ca="1">_FV(table1[[#This Row],[DataField]],"52 week high",TRUE)</f>
        <v>256.68</v>
      </c>
      <c r="I11" s="4" cm="1">
        <f t="array" aca="1" ref="I11" ca="1">_FV(table1[[#This Row],[DataField]],"P/E",TRUE)</f>
        <v>48.265099999999997</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294085570500</v>
      </c>
    </row>
    <row r="12" spans="1:12" x14ac:dyDescent="0.2">
      <c r="A12" t="e" vm="11">
        <v>#VALUE!</v>
      </c>
      <c r="B12" t="str" cm="1">
        <f t="array" aca="1" ref="B12" ca="1">_FV(table1[[#This Row],[DataField]],"Ticker symbol",TRUE)</f>
        <v>AMD</v>
      </c>
      <c r="C12">
        <v>1</v>
      </c>
      <c r="D12">
        <v>500</v>
      </c>
      <c r="E12">
        <v>2</v>
      </c>
      <c r="F12" s="2" cm="1">
        <f t="array" aca="1" ref="F12" ca="1">_FV(table1[[#This Row],[DataField]],"Price")</f>
        <v>206.08500000000001</v>
      </c>
      <c r="G12" s="2" cm="1">
        <f t="array" aca="1" ref="G12" ca="1">_FV(table1[[#This Row],[DataField]],"52 week low",TRUE)</f>
        <v>76.48</v>
      </c>
      <c r="H12" s="2" cm="1">
        <f t="array" aca="1" ref="H12" ca="1">_FV(table1[[#This Row],[DataField]],"52 week high",TRUE)</f>
        <v>267.07990000000001</v>
      </c>
      <c r="I12" s="4" cm="1">
        <f t="array" aca="1" ref="I12" ca="1">_FV(table1[[#This Row],[DataField]],"P/E",TRUE)</f>
        <v>79.129499999999993</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336003250935</v>
      </c>
    </row>
    <row r="13" spans="1:12" ht="17" customHeight="1" x14ac:dyDescent="0.2">
      <c r="A13" t="e" vm="12">
        <v>#VALUE!</v>
      </c>
      <c r="B13" t="str" cm="1">
        <f t="array" aca="1" ref="B13" ca="1">_FV(table1[[#This Row],[DataField]],"Ticker symbol",TRUE)</f>
        <v>CMCSA</v>
      </c>
      <c r="C13">
        <v>0</v>
      </c>
      <c r="D13">
        <v>500</v>
      </c>
      <c r="E13">
        <v>3</v>
      </c>
      <c r="F13" s="2" cm="1">
        <f t="array" aca="1" ref="F13" ca="1">_FV(table1[[#This Row],[DataField]],"Price")</f>
        <v>29.175000000000001</v>
      </c>
      <c r="G13" s="2" cm="1">
        <f t="array" aca="1" ref="G13" ca="1">_FV(table1[[#This Row],[DataField]],"52 week low",TRUE)</f>
        <v>24.1234</v>
      </c>
      <c r="H13" s="2" cm="1">
        <f t="array" aca="1" ref="H13" ca="1">_FV(table1[[#This Row],[DataField]],"52 week high",TRUE)</f>
        <v>35.337299999999999</v>
      </c>
      <c r="I13" s="4" cm="1">
        <f t="array" aca="1" ref="I13" ca="1">_FV(table1[[#This Row],[DataField]],"P/E",TRUE)</f>
        <v>5.4272</v>
      </c>
      <c r="J13" s="2" t="str">
        <f ca="1">IF(table1[[#This Row],[Price]] &lt; (table1[[#This Row],[52Low]] * 0.25) + table1[[#This Row],[52Low]],  "TRUE", "FALSE")</f>
        <v>TRUE</v>
      </c>
      <c r="K13" s="2" t="str">
        <f ca="1">IF(table1[[#This Row],[Price]] &lt; (table1[[#This Row],[52Low]] * 0.1) + table1[[#This Row],[52Low]],  "TRUE", "FALSE")</f>
        <v>FALSE</v>
      </c>
      <c r="L13" s="6" cm="1">
        <f t="array" aca="1" ref="L13" ca="1">_FV(table1[[#This Row],[DataField]],"Market cap",TRUE)</f>
        <v>104967157050</v>
      </c>
    </row>
    <row r="14" spans="1:12" x14ac:dyDescent="0.2">
      <c r="A14" t="e" vm="13">
        <v>#VALUE!</v>
      </c>
      <c r="B14" t="str" cm="1">
        <f t="array" aca="1" ref="B14" ca="1">_FV(table1[[#This Row],[DataField]],"Ticker symbol",TRUE)</f>
        <v>T</v>
      </c>
      <c r="C14">
        <v>0</v>
      </c>
      <c r="D14">
        <v>500</v>
      </c>
      <c r="E14">
        <v>3</v>
      </c>
      <c r="F14" s="2" cm="1">
        <f t="array" aca="1" ref="F14" ca="1">_FV(table1[[#This Row],[DataField]],"Price")</f>
        <v>28.501000000000001</v>
      </c>
      <c r="G14" s="2" cm="1">
        <f t="array" aca="1" ref="G14" ca="1">_FV(table1[[#This Row],[DataField]],"52 week low",TRUE)</f>
        <v>22.95</v>
      </c>
      <c r="H14" s="2" cm="1">
        <f t="array" aca="1" ref="H14" ca="1">_FV(table1[[#This Row],[DataField]],"52 week high",TRUE)</f>
        <v>29.79</v>
      </c>
      <c r="I14" s="4" cm="1">
        <f t="array" aca="1" ref="I14" ca="1">_FV(table1[[#This Row],[DataField]],"P/E",TRUE)</f>
        <v>9.3397000000000006</v>
      </c>
      <c r="J14" s="2" t="str">
        <f ca="1">IF(table1[[#This Row],[Price]] &lt; (table1[[#This Row],[52Low]] * 0.25) + table1[[#This Row],[52Low]],  "TRUE", "FALSE")</f>
        <v>TRUE</v>
      </c>
      <c r="K14" s="2" t="str">
        <f ca="1">IF(table1[[#This Row],[Price]] &lt; (table1[[#This Row],[52Low]] * 0.1) + table1[[#This Row],[52Low]],  "TRUE", "FALSE")</f>
        <v>FALSE</v>
      </c>
      <c r="L14" s="6" cm="1">
        <f t="array" aca="1" ref="L14" ca="1">_FV(table1[[#This Row],[DataField]],"Market cap",TRUE)</f>
        <v>199523445077</v>
      </c>
    </row>
    <row r="15" spans="1:12" x14ac:dyDescent="0.2">
      <c r="A15" t="e" vm="14">
        <v>#VALUE!</v>
      </c>
      <c r="B15" t="str" cm="1">
        <f t="array" aca="1" ref="B15" ca="1">_FV(table1[[#This Row],[DataField]],"Ticker symbol",TRUE)</f>
        <v>VZ</v>
      </c>
      <c r="C15">
        <v>0</v>
      </c>
      <c r="D15">
        <v>500</v>
      </c>
      <c r="E15">
        <v>3</v>
      </c>
      <c r="F15" s="2" cm="1">
        <f t="array" aca="1" ref="F15" ca="1">_FV(table1[[#This Row],[DataField]],"Price")</f>
        <v>50.325000000000003</v>
      </c>
      <c r="G15" s="2" cm="1">
        <f t="array" aca="1" ref="G15" ca="1">_FV(table1[[#This Row],[DataField]],"52 week low",TRUE)</f>
        <v>38.39</v>
      </c>
      <c r="H15" s="2" cm="1">
        <f t="array" aca="1" ref="H15" ca="1">_FV(table1[[#This Row],[DataField]],"52 week high",TRUE)</f>
        <v>51.664999999999999</v>
      </c>
      <c r="I15" s="4" cm="1">
        <f t="array" aca="1" ref="I15" ca="1">_FV(table1[[#This Row],[DataField]],"P/E",TRUE)</f>
        <v>12.395300000000001</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212254947300</v>
      </c>
    </row>
    <row r="16" spans="1:12" x14ac:dyDescent="0.2">
      <c r="A16" t="e" vm="15">
        <v>#VALUE!</v>
      </c>
      <c r="B16" t="str" cm="1">
        <f t="array" aca="1" ref="B16" ca="1">_FV(table1[[#This Row],[DataField]],"Ticker symbol",TRUE)</f>
        <v>GD</v>
      </c>
      <c r="C16">
        <v>0</v>
      </c>
      <c r="D16">
        <v>500</v>
      </c>
      <c r="E16">
        <v>4</v>
      </c>
      <c r="F16" s="2" cm="1">
        <f t="array" aca="1" ref="F16" ca="1">_FV(table1[[#This Row],[DataField]],"Price")</f>
        <v>350.59500000000003</v>
      </c>
      <c r="G16" s="2" cm="1">
        <f t="array" aca="1" ref="G16" ca="1">_FV(table1[[#This Row],[DataField]],"52 week low",TRUE)</f>
        <v>239.2</v>
      </c>
      <c r="H16" s="2" cm="1">
        <f t="array" aca="1" ref="H16" ca="1">_FV(table1[[#This Row],[DataField]],"52 week high",TRUE)</f>
        <v>369.7</v>
      </c>
      <c r="I16" s="4" cm="1">
        <f t="array" aca="1" ref="I16" ca="1">_FV(table1[[#This Row],[DataField]],"P/E",TRUE)</f>
        <v>22.686699999999998</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94797311931</v>
      </c>
    </row>
    <row r="17" spans="1:12" x14ac:dyDescent="0.2">
      <c r="A17" t="e" vm="16">
        <v>#VALUE!</v>
      </c>
      <c r="B17" t="str" cm="1">
        <f t="array" aca="1" ref="B17" ca="1">_FV(table1[[#This Row],[DataField]],"Ticker symbol",TRUE)</f>
        <v>LMT</v>
      </c>
      <c r="C17">
        <v>0</v>
      </c>
      <c r="D17">
        <v>500</v>
      </c>
      <c r="E17">
        <v>4</v>
      </c>
      <c r="F17" s="2" cm="1">
        <f t="array" aca="1" ref="F17" ca="1">_FV(table1[[#This Row],[DataField]],"Price")</f>
        <v>626.51499999999999</v>
      </c>
      <c r="G17" s="2" cm="1">
        <f t="array" aca="1" ref="G17" ca="1">_FV(table1[[#This Row],[DataField]],"52 week low",TRUE)</f>
        <v>410.11</v>
      </c>
      <c r="H17" s="2" cm="1">
        <f t="array" aca="1" ref="H17" ca="1">_FV(table1[[#This Row],[DataField]],"52 week high",TRUE)</f>
        <v>692</v>
      </c>
      <c r="I17" s="4" cm="1">
        <f t="array" aca="1" ref="I17" ca="1">_FV(table1[[#This Row],[DataField]],"P/E",TRUE)</f>
        <v>29.159099999999999</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144148696503</v>
      </c>
    </row>
    <row r="18" spans="1:12" x14ac:dyDescent="0.2">
      <c r="A18" t="e" vm="17">
        <v>#VALUE!</v>
      </c>
      <c r="B18" t="str" cm="1">
        <f t="array" aca="1" ref="B18" ca="1">_FV(table1[[#This Row],[DataField]],"Ticker symbol",TRUE)</f>
        <v>ADM</v>
      </c>
      <c r="C18">
        <v>0</v>
      </c>
      <c r="D18">
        <v>500</v>
      </c>
      <c r="E18">
        <v>10</v>
      </c>
      <c r="F18" s="2" cm="1">
        <f t="array" aca="1" ref="F18" ca="1">_FV(table1[[#This Row],[DataField]],"Price")</f>
        <v>67.94</v>
      </c>
      <c r="G18" s="2" cm="1">
        <f t="array" aca="1" ref="G18" ca="1">_FV(table1[[#This Row],[DataField]],"52 week low",TRUE)</f>
        <v>40.98</v>
      </c>
      <c r="H18" s="2" cm="1">
        <f t="array" aca="1" ref="H18" ca="1">_FV(table1[[#This Row],[DataField]],"52 week high",TRUE)</f>
        <v>73.72</v>
      </c>
      <c r="I18" s="4" cm="1">
        <f t="array" aca="1" ref="I18" ca="1">_FV(table1[[#This Row],[DataField]],"P/E",TRUE)</f>
        <v>30.486899999999999</v>
      </c>
      <c r="J18" s="2" t="str">
        <f ca="1">IF(table1[[#This Row],[Price]] &lt; (table1[[#This Row],[52Low]] * 0.25) + table1[[#This Row],[52Low]],  "TRUE", "FALSE")</f>
        <v>FALSE</v>
      </c>
      <c r="K18" s="2" t="str">
        <f ca="1">IF(table1[[#This Row],[Price]] &lt; (table1[[#This Row],[52Low]] * 0.1) + table1[[#This Row],[52Low]],  "TRUE", "FALSE")</f>
        <v>FALSE</v>
      </c>
      <c r="L18" s="6" cm="1">
        <f t="array" aca="1" ref="L18" ca="1">_FV(table1[[#This Row],[DataField]],"Market cap",TRUE)</f>
        <v>32692850292</v>
      </c>
    </row>
    <row r="19" spans="1:12" x14ac:dyDescent="0.2">
      <c r="A19" t="e" vm="18">
        <v>#VALUE!</v>
      </c>
      <c r="B19" t="str" cm="1">
        <f t="array" aca="1" ref="B19" ca="1">_FV(table1[[#This Row],[DataField]],"Ticker symbol",TRUE)</f>
        <v>KMB</v>
      </c>
      <c r="C19">
        <v>1</v>
      </c>
      <c r="D19">
        <v>500</v>
      </c>
      <c r="E19">
        <v>11</v>
      </c>
      <c r="F19" s="2" cm="1">
        <f t="array" aca="1" ref="F19" ca="1">_FV(table1[[#This Row],[DataField]],"Price")</f>
        <v>100.4</v>
      </c>
      <c r="G19" s="2" cm="1">
        <f t="array" aca="1" ref="G19" ca="1">_FV(table1[[#This Row],[DataField]],"52 week low",TRUE)</f>
        <v>96.26</v>
      </c>
      <c r="H19" s="2" cm="1">
        <f t="array" aca="1" ref="H19" ca="1">_FV(table1[[#This Row],[DataField]],"52 week high",TRUE)</f>
        <v>147.12</v>
      </c>
      <c r="I19" s="4" cm="1">
        <f t="array" aca="1" ref="I19" ca="1">_FV(table1[[#This Row],[DataField]],"P/E",TRUE)</f>
        <v>20.551500000000001</v>
      </c>
      <c r="J19" s="2" t="str">
        <f ca="1">IF(table1[[#This Row],[Price]] &lt; (table1[[#This Row],[52Low]] * 0.25) + table1[[#This Row],[52Low]],  "TRUE", "FALSE")</f>
        <v>TRUE</v>
      </c>
      <c r="K19" s="2" t="str">
        <f ca="1">IF(table1[[#This Row],[Price]] &lt; (table1[[#This Row],[52Low]] * 0.1) + table1[[#This Row],[52Low]],  "TRUE", "FALSE")</f>
        <v>TRUE</v>
      </c>
      <c r="L19" s="6" cm="1">
        <f t="array" aca="1" ref="L19" ca="1">_FV(table1[[#This Row],[DataField]],"Market cap",TRUE)</f>
        <v>33325008960</v>
      </c>
    </row>
    <row r="20" spans="1:12" x14ac:dyDescent="0.2">
      <c r="A20" t="e" vm="19">
        <v>#VALUE!</v>
      </c>
      <c r="B20" t="str" cm="1">
        <f t="array" aca="1" ref="B20" ca="1">_FV(table1[[#This Row],[DataField]],"Ticker symbol",TRUE)</f>
        <v>PEP</v>
      </c>
      <c r="C20">
        <v>0</v>
      </c>
      <c r="D20">
        <v>500</v>
      </c>
      <c r="E20">
        <v>11</v>
      </c>
      <c r="F20" s="2" cm="1">
        <f t="array" aca="1" ref="F20" ca="1">_FV(table1[[#This Row],[DataField]],"Price")</f>
        <v>151.095</v>
      </c>
      <c r="G20" s="2" cm="1">
        <f t="array" aca="1" ref="G20" ca="1">_FV(table1[[#This Row],[DataField]],"52 week low",TRUE)</f>
        <v>127.6</v>
      </c>
      <c r="H20" s="2" cm="1">
        <f t="array" aca="1" ref="H20" ca="1">_FV(table1[[#This Row],[DataField]],"52 week high",TRUE)</f>
        <v>171.48</v>
      </c>
      <c r="I20" s="4" cm="1">
        <f t="array" aca="1" ref="I20" ca="1">_FV(table1[[#This Row],[DataField]],"P/E",TRUE)</f>
        <v>25.176200000000001</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206493830655</v>
      </c>
    </row>
    <row r="21" spans="1:12" x14ac:dyDescent="0.2">
      <c r="A21" t="e" vm="20">
        <v>#VALUE!</v>
      </c>
      <c r="B21" t="str" cm="1">
        <f t="array" aca="1" ref="B21" ca="1">_FV(table1[[#This Row],[DataField]],"Ticker symbol",TRUE)</f>
        <v>HSY</v>
      </c>
      <c r="C21">
        <v>0</v>
      </c>
      <c r="D21">
        <v>500</v>
      </c>
      <c r="E21">
        <v>11</v>
      </c>
      <c r="F21" s="2" cm="1">
        <f t="array" aca="1" ref="F21" ca="1">_FV(table1[[#This Row],[DataField]],"Price")</f>
        <v>215.35</v>
      </c>
      <c r="G21" s="2" cm="1">
        <f t="array" aca="1" ref="G21" ca="1">_FV(table1[[#This Row],[DataField]],"52 week low",TRUE)</f>
        <v>150.04</v>
      </c>
      <c r="H21" s="2" cm="1">
        <f t="array" aca="1" ref="H21" ca="1">_FV(table1[[#This Row],[DataField]],"52 week high",TRUE)</f>
        <v>239.48</v>
      </c>
      <c r="I21" s="4" cm="1">
        <f t="array" aca="1" ref="I21" ca="1">_FV(table1[[#This Row],[DataField]],"P/E",TRUE)</f>
        <v>49.6004</v>
      </c>
      <c r="J21" s="2" t="str">
        <f ca="1">IF(table1[[#This Row],[Price]] &lt; (table1[[#This Row],[52Low]] * 0.25) + table1[[#This Row],[52Low]],  "TRUE", "FALSE")</f>
        <v>FALSE</v>
      </c>
      <c r="K21" s="2" t="str">
        <f ca="1">IF(table1[[#This Row],[Price]] &lt; (table1[[#This Row],[52Low]] * 0.1) + table1[[#This Row],[52Low]],  "TRUE", "FALSE")</f>
        <v>FALSE</v>
      </c>
      <c r="L21" s="6" cm="1">
        <f t="array" aca="1" ref="L21" ca="1">_FV(table1[[#This Row],[DataField]],"Market cap",TRUE)</f>
        <v>43649485315</v>
      </c>
    </row>
    <row r="22" spans="1:12" x14ac:dyDescent="0.2">
      <c r="A22" t="e" vm="21">
        <v>#VALUE!</v>
      </c>
      <c r="B22" t="str" cm="1">
        <f t="array" aca="1" ref="B22" ca="1">_FV(table1[[#This Row],[DataField]],"Ticker symbol",TRUE)</f>
        <v>TSN</v>
      </c>
      <c r="C22">
        <v>0</v>
      </c>
      <c r="D22">
        <v>500</v>
      </c>
      <c r="E22">
        <v>11</v>
      </c>
      <c r="F22" s="2" cm="1">
        <f t="array" aca="1" ref="F22" ca="1">_FV(table1[[#This Row],[DataField]],"Price")</f>
        <v>59.609000000000002</v>
      </c>
      <c r="G22" s="2" cm="1">
        <f t="array" aca="1" ref="G22" ca="1">_FV(table1[[#This Row],[DataField]],"52 week low",TRUE)</f>
        <v>50.56</v>
      </c>
      <c r="H22" s="2" cm="1">
        <f t="array" aca="1" ref="H22" ca="1">_FV(table1[[#This Row],[DataField]],"52 week high",TRUE)</f>
        <v>66.41</v>
      </c>
      <c r="I22" s="4" cm="1">
        <f t="array" aca="1" ref="I22" ca="1">_FV(table1[[#This Row],[DataField]],"P/E",TRUE)</f>
        <v>104.5222</v>
      </c>
      <c r="J22" s="2" t="str">
        <f ca="1">IF(table1[[#This Row],[Price]] &lt; (table1[[#This Row],[52Low]] * 0.25) + table1[[#This Row],[52Low]],  "TRUE", "FALSE")</f>
        <v>TRUE</v>
      </c>
      <c r="K22" s="2" t="str">
        <f ca="1">IF(table1[[#This Row],[Price]] &lt; (table1[[#This Row],[52Low]] * 0.1) + table1[[#This Row],[52Low]],  "TRUE", "FALSE")</f>
        <v>FALSE</v>
      </c>
      <c r="L22" s="6" cm="1">
        <f t="array" aca="1" ref="L22" ca="1">_FV(table1[[#This Row],[DataField]],"Market cap",TRUE)</f>
        <v>20987077111</v>
      </c>
    </row>
    <row r="23" spans="1:12" x14ac:dyDescent="0.2">
      <c r="A23" t="e" vm="22">
        <v>#VALUE!</v>
      </c>
      <c r="B23" t="str" cm="1">
        <f t="array" aca="1" ref="B23" ca="1">_FV(table1[[#This Row],[DataField]],"Ticker symbol",TRUE)</f>
        <v>MKC.V</v>
      </c>
      <c r="C23">
        <v>0</v>
      </c>
      <c r="D23">
        <v>500</v>
      </c>
      <c r="E23">
        <v>11</v>
      </c>
      <c r="F23" s="2" cm="1">
        <f t="array" aca="1" ref="F23" ca="1">_FV(table1[[#This Row],[DataField]],"Price")</f>
        <v>53.54</v>
      </c>
      <c r="G23" s="2" cm="1">
        <f t="array" aca="1" ref="G23" ca="1">_FV(table1[[#This Row],[DataField]],"52 week low",TRUE)</f>
        <v>53.25</v>
      </c>
      <c r="H23" s="2" cm="1">
        <f t="array" aca="1" ref="H23" ca="1">_FV(table1[[#This Row],[DataField]],"52 week high",TRUE)</f>
        <v>82.53</v>
      </c>
      <c r="I23" s="4" cm="1">
        <f t="array" aca="1" ref="I23" ca="1">_FV(table1[[#This Row],[DataField]],"P/E",TRUE)</f>
        <v>0</v>
      </c>
      <c r="J23" s="2" t="str">
        <f ca="1">IF(table1[[#This Row],[Price]] &lt; (table1[[#This Row],[52Low]] * 0.25) + table1[[#This Row],[52Low]],  "TRUE", "FALSE")</f>
        <v>TRUE</v>
      </c>
      <c r="K23" s="2" t="str">
        <f ca="1">IF(table1[[#This Row],[Price]] &lt; (table1[[#This Row],[52Low]] * 0.1) + table1[[#This Row],[52Low]],  "TRUE", "FALSE")</f>
        <v>TRUE</v>
      </c>
      <c r="L23" s="6" cm="1">
        <f t="array" aca="1" ref="L23" ca="1">_FV(table1[[#This Row],[DataField]],"Market cap",TRUE)</f>
        <v>14372181228</v>
      </c>
    </row>
    <row r="24" spans="1:12" x14ac:dyDescent="0.2">
      <c r="A24" t="e" vm="23">
        <v>#VALUE!</v>
      </c>
      <c r="B24" t="str" cm="1">
        <f t="array" aca="1" ref="B24" ca="1">_FV(table1[[#This Row],[DataField]],"Ticker symbol",TRUE)</f>
        <v>SJM</v>
      </c>
      <c r="C24">
        <v>0</v>
      </c>
      <c r="D24">
        <v>500</v>
      </c>
      <c r="E24">
        <v>11</v>
      </c>
      <c r="F24" s="2" cm="1">
        <f t="array" aca="1" ref="F24" ca="1">_FV(table1[[#This Row],[DataField]],"Price")</f>
        <v>99.075000000000003</v>
      </c>
      <c r="G24" s="2" cm="1">
        <f t="array" aca="1" ref="G24" ca="1">_FV(table1[[#This Row],[DataField]],"52 week low",TRUE)</f>
        <v>93.3</v>
      </c>
      <c r="H24" s="2" cm="1">
        <f t="array" aca="1" ref="H24" ca="1">_FV(table1[[#This Row],[DataField]],"52 week high",TRUE)</f>
        <v>120.76</v>
      </c>
      <c r="I24" s="4" cm="1">
        <f t="array" aca="1" ref="I24" ca="1">_FV(table1[[#This Row],[DataField]],"P/E",TRUE)</f>
        <v>0</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10566180322</v>
      </c>
    </row>
    <row r="25" spans="1:12" x14ac:dyDescent="0.2">
      <c r="A25" t="e" vm="24">
        <v>#VALUE!</v>
      </c>
      <c r="B25" t="str" cm="1">
        <f t="array" aca="1" ref="B25" ca="1">_FV(table1[[#This Row],[DataField]],"Ticker symbol",TRUE)</f>
        <v>GIS</v>
      </c>
      <c r="C25">
        <v>5</v>
      </c>
      <c r="D25">
        <v>500</v>
      </c>
      <c r="E25">
        <v>11</v>
      </c>
      <c r="F25" s="2" cm="1">
        <f t="array" aca="1" ref="F25" ca="1">_FV(table1[[#This Row],[DataField]],"Price")</f>
        <v>37.56</v>
      </c>
      <c r="G25" s="2" cm="1">
        <f t="array" aca="1" ref="G25" ca="1">_FV(table1[[#This Row],[DataField]],"52 week low",TRUE)</f>
        <v>36.765000000000001</v>
      </c>
      <c r="H25" s="2" cm="1">
        <f t="array" aca="1" ref="H25" ca="1">_FV(table1[[#This Row],[DataField]],"52 week high",TRUE)</f>
        <v>62.61</v>
      </c>
      <c r="I25" s="4" cm="1">
        <f t="array" aca="1" ref="I25" ca="1">_FV(table1[[#This Row],[DataField]],"P/E",TRUE)</f>
        <v>8.0581999999999994</v>
      </c>
      <c r="J25" s="2" t="str">
        <f ca="1">IF(table1[[#This Row],[Price]] &lt; (table1[[#This Row],[52Low]] * 0.25) + table1[[#This Row],[52Low]],  "TRUE", "FALSE")</f>
        <v>TRUE</v>
      </c>
      <c r="K25" s="2" t="str">
        <f ca="1">IF(table1[[#This Row],[Price]] &lt; (table1[[#This Row],[52Low]] * 0.1) + table1[[#This Row],[52Low]],  "TRUE", "FALSE")</f>
        <v>TRUE</v>
      </c>
      <c r="L25" s="6" cm="1">
        <f t="array" aca="1" ref="L25" ca="1">_FV(table1[[#This Row],[DataField]],"Market cap",TRUE)</f>
        <v>20045065872</v>
      </c>
    </row>
    <row r="26" spans="1:12" x14ac:dyDescent="0.2">
      <c r="A26" t="e" vm="25">
        <v>#VALUE!</v>
      </c>
      <c r="B26" t="str" cm="1">
        <f t="array" aca="1" ref="B26" ca="1">_FV(table1[[#This Row],[DataField]],"Ticker symbol",TRUE)</f>
        <v>CPB</v>
      </c>
      <c r="C26">
        <v>5</v>
      </c>
      <c r="D26">
        <v>500</v>
      </c>
      <c r="E26">
        <v>11</v>
      </c>
      <c r="F26" s="2" cm="1">
        <f t="array" aca="1" ref="F26" ca="1">_FV(table1[[#This Row],[DataField]],"Price")</f>
        <v>21.085000000000001</v>
      </c>
      <c r="G26" s="2" cm="1">
        <f t="array" aca="1" ref="G26" ca="1">_FV(table1[[#This Row],[DataField]],"52 week low",TRUE)</f>
        <v>20.8</v>
      </c>
      <c r="H26" s="2" cm="1">
        <f t="array" aca="1" ref="H26" ca="1">_FV(table1[[#This Row],[DataField]],"52 week high",TRUE)</f>
        <v>40.590000000000003</v>
      </c>
      <c r="I26" s="4" cm="1">
        <f t="array" aca="1" ref="I26" ca="1">_FV(table1[[#This Row],[DataField]],"P/E",TRUE)</f>
        <v>10.9175</v>
      </c>
      <c r="J26" s="2" t="str">
        <f ca="1">IF(table1[[#This Row],[Price]] &lt; (table1[[#This Row],[52Low]] * 0.25) + table1[[#This Row],[52Low]],  "TRUE", "FALSE")</f>
        <v>TRUE</v>
      </c>
      <c r="K26" s="2" t="str">
        <f ca="1">IF(table1[[#This Row],[Price]] &lt; (table1[[#This Row],[52Low]] * 0.1) + table1[[#This Row],[52Low]],  "TRUE", "FALSE")</f>
        <v>TRUE</v>
      </c>
      <c r="L26" s="6" cm="1">
        <f t="array" aca="1" ref="L26" ca="1">_FV(table1[[#This Row],[DataField]],"Market cap",TRUE)</f>
        <v>6286418952</v>
      </c>
    </row>
    <row r="27" spans="1:12" x14ac:dyDescent="0.2">
      <c r="A27" t="e" vm="26">
        <v>#VALUE!</v>
      </c>
      <c r="B27" t="str" cm="1">
        <f t="array" aca="1" ref="B27" ca="1">_FV(table1[[#This Row],[DataField]],"Ticker symbol",TRUE)</f>
        <v>CLX</v>
      </c>
      <c r="C27">
        <v>0</v>
      </c>
      <c r="D27">
        <v>500</v>
      </c>
      <c r="E27">
        <v>12</v>
      </c>
      <c r="F27" s="2" cm="1">
        <f t="array" aca="1" ref="F27" ca="1">_FV(table1[[#This Row],[DataField]],"Price")</f>
        <v>107.75</v>
      </c>
      <c r="G27" s="2" cm="1">
        <f t="array" aca="1" ref="G27" ca="1">_FV(table1[[#This Row],[DataField]],"52 week low",TRUE)</f>
        <v>96.6601</v>
      </c>
      <c r="H27" s="2" cm="1">
        <f t="array" aca="1" ref="H27" ca="1">_FV(table1[[#This Row],[DataField]],"52 week high",TRUE)</f>
        <v>150.84</v>
      </c>
      <c r="I27" s="4" cm="1">
        <f t="array" aca="1" ref="I27" ca="1">_FV(table1[[#This Row],[DataField]],"P/E",TRUE)</f>
        <v>17.6053</v>
      </c>
      <c r="J27" s="2" t="str">
        <f ca="1">IF(table1[[#This Row],[Price]] &lt; (table1[[#This Row],[52Low]] * 0.25) + table1[[#This Row],[52Low]],  "TRUE", "FALSE")</f>
        <v>TRUE</v>
      </c>
      <c r="K27" s="2" t="str">
        <f ca="1">IF(table1[[#This Row],[Price]] &lt; (table1[[#This Row],[52Low]] * 0.1) + table1[[#This Row],[52Low]],  "TRUE", "FALSE")</f>
        <v>FALSE</v>
      </c>
      <c r="L27" s="6" cm="1">
        <f t="array" aca="1" ref="L27" ca="1">_FV(table1[[#This Row],[DataField]],"Market cap",TRUE)</f>
        <v>13028257225</v>
      </c>
    </row>
    <row r="28" spans="1:12" x14ac:dyDescent="0.2">
      <c r="A28" t="e" vm="27">
        <v>#VALUE!</v>
      </c>
      <c r="B28" t="str" cm="1">
        <f t="array" aca="1" ref="B28" ca="1">_FV(table1[[#This Row],[DataField]],"Ticker symbol",TRUE)</f>
        <v>NKE</v>
      </c>
      <c r="C28">
        <v>0</v>
      </c>
      <c r="D28">
        <v>500</v>
      </c>
      <c r="E28">
        <v>13</v>
      </c>
      <c r="F28" s="2" cm="1">
        <f t="array" aca="1" ref="F28" ca="1">_FV(table1[[#This Row],[DataField]],"Price")</f>
        <v>53.18</v>
      </c>
      <c r="G28" cm="1">
        <f t="array" aca="1" ref="G28" ca="1">_FV(table1[[#This Row],[DataField]],"52 week low",TRUE)</f>
        <v>52.174999999999997</v>
      </c>
      <c r="H28" cm="1">
        <f t="array" aca="1" ref="H28" ca="1">_FV(table1[[#This Row],[DataField]],"52 week high",TRUE)</f>
        <v>80.165000000000006</v>
      </c>
      <c r="I28" s="4" cm="1">
        <f t="array" aca="1" ref="I28" ca="1">_FV(table1[[#This Row],[DataField]],"P/E",TRUE)</f>
        <v>31.183299999999999</v>
      </c>
      <c r="J28" s="2" t="str">
        <f ca="1">IF(table1[[#This Row],[Price]] &lt; (table1[[#This Row],[52Low]] * 0.25) + table1[[#This Row],[52Low]],  "TRUE", "FALSE")</f>
        <v>TRUE</v>
      </c>
      <c r="K28" s="2" t="str">
        <f ca="1">IF(table1[[#This Row],[Price]] &lt; (table1[[#This Row],[52Low]] * 0.1) + table1[[#This Row],[52Low]],  "TRUE", "FALSE")</f>
        <v>TRUE</v>
      </c>
      <c r="L28" s="6" cm="1">
        <f t="array" aca="1" ref="L28" ca="1">_FV(table1[[#This Row],[DataField]],"Market cap",TRUE)</f>
        <v>78726767940</v>
      </c>
    </row>
    <row r="29" spans="1:12" x14ac:dyDescent="0.2">
      <c r="A29" t="e" vm="28">
        <v>#VALUE!</v>
      </c>
      <c r="B29" t="str" cm="1">
        <f t="array" aca="1" ref="B29" ca="1">_FV(table1[[#This Row],[DataField]],"Ticker symbol",TRUE)</f>
        <v>MCD</v>
      </c>
      <c r="C29">
        <v>1</v>
      </c>
      <c r="D29">
        <v>500</v>
      </c>
      <c r="E29">
        <v>14</v>
      </c>
      <c r="F29" s="2" cm="1">
        <f t="array" aca="1" ref="F29" ca="1">_FV(table1[[#This Row],[DataField]],"Price")</f>
        <v>310.58999999999997</v>
      </c>
      <c r="G29" s="2" cm="1">
        <f t="array" aca="1" ref="G29" ca="1">_FV(table1[[#This Row],[DataField]],"52 week low",TRUE)</f>
        <v>283.47000000000003</v>
      </c>
      <c r="H29" s="2" cm="1">
        <f t="array" aca="1" ref="H29" ca="1">_FV(table1[[#This Row],[DataField]],"52 week high",TRUE)</f>
        <v>341.75</v>
      </c>
      <c r="I29" s="4" cm="1">
        <f t="array" aca="1" ref="I29" ca="1">_FV(table1[[#This Row],[DataField]],"P/E",TRUE)</f>
        <v>25.9834</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220642701173</v>
      </c>
    </row>
    <row r="30" spans="1:12" x14ac:dyDescent="0.2">
      <c r="A30" t="e" vm="29">
        <v>#VALUE!</v>
      </c>
      <c r="B30" t="str" cm="1">
        <f t="array" aca="1" ref="B30" ca="1">_FV(table1[[#This Row],[DataField]],"Ticker symbol",TRUE)</f>
        <v>LOW</v>
      </c>
      <c r="C30">
        <v>0</v>
      </c>
      <c r="D30">
        <v>500</v>
      </c>
      <c r="E30">
        <v>15</v>
      </c>
      <c r="F30" s="2" cm="1">
        <f t="array" aca="1" ref="F30" ca="1">_FV(table1[[#This Row],[DataField]],"Price")</f>
        <v>235.45</v>
      </c>
      <c r="G30" s="2" cm="1">
        <f t="array" aca="1" ref="G30" ca="1">_FV(table1[[#This Row],[DataField]],"52 week low",TRUE)</f>
        <v>206.38499999999999</v>
      </c>
      <c r="H30" s="2" cm="1">
        <f t="array" aca="1" ref="H30" ca="1">_FV(table1[[#This Row],[DataField]],"52 week high",TRUE)</f>
        <v>293.06</v>
      </c>
      <c r="I30" s="4" cm="1">
        <f t="array" aca="1" ref="I30" ca="1">_FV(table1[[#This Row],[DataField]],"P/E",TRUE)</f>
        <v>19.874600000000001</v>
      </c>
      <c r="J30" s="2" t="str">
        <f ca="1">IF(table1[[#This Row],[Price]] &lt; (table1[[#This Row],[52Low]] * 0.25) + table1[[#This Row],[52Low]],  "TRUE", "FALSE")</f>
        <v>TRUE</v>
      </c>
      <c r="K30" s="2" t="str">
        <f ca="1">IF(table1[[#This Row],[Price]] &lt; (table1[[#This Row],[52Low]] * 0.1) + table1[[#This Row],[52Low]],  "TRUE", "FALSE")</f>
        <v>FALSE</v>
      </c>
      <c r="L30" s="6" cm="1">
        <f t="array" aca="1" ref="L30" ca="1">_FV(table1[[#This Row],[DataField]],"Market cap",TRUE)</f>
        <v>132087450000</v>
      </c>
    </row>
    <row r="31" spans="1:12" x14ac:dyDescent="0.2">
      <c r="A31" t="e" vm="30">
        <v>#VALUE!</v>
      </c>
      <c r="B31" t="str" cm="1">
        <f t="array" aca="1" ref="B31" ca="1">_FV(table1[[#This Row],[DataField]],"Ticker symbol",TRUE)</f>
        <v>HD</v>
      </c>
      <c r="C31">
        <v>0</v>
      </c>
      <c r="D31">
        <v>500</v>
      </c>
      <c r="E31">
        <v>15</v>
      </c>
      <c r="F31" s="2" cm="1">
        <f t="array" aca="1" ref="F31" ca="1">_FV(table1[[#This Row],[DataField]],"Price")</f>
        <v>333.64</v>
      </c>
      <c r="G31" s="2" cm="1">
        <f t="array" aca="1" ref="G31" ca="1">_FV(table1[[#This Row],[DataField]],"52 week low",TRUE)</f>
        <v>320.2645</v>
      </c>
      <c r="H31" s="2" cm="1">
        <f t="array" aca="1" ref="H31" ca="1">_FV(table1[[#This Row],[DataField]],"52 week high",TRUE)</f>
        <v>426.75</v>
      </c>
      <c r="I31" s="4" cm="1">
        <f t="array" aca="1" ref="I31" ca="1">_FV(table1[[#This Row],[DataField]],"P/E",TRUE)</f>
        <v>23.4377</v>
      </c>
      <c r="J31" s="2" t="str">
        <f ca="1">IF(table1[[#This Row],[Price]] &lt; (table1[[#This Row],[52Low]] * 0.25) + table1[[#This Row],[52Low]],  "TRUE", "FALSE")</f>
        <v>TRUE</v>
      </c>
      <c r="K31" s="2" t="str">
        <f ca="1">IF(table1[[#This Row],[Price]] &lt; (table1[[#This Row],[52Low]] * 0.1) + table1[[#This Row],[52Low]],  "TRUE", "FALSE")</f>
        <v>TRUE</v>
      </c>
      <c r="L31" s="6" cm="1">
        <f t="array" aca="1" ref="L31" ca="1">_FV(table1[[#This Row],[DataField]],"Market cap",TRUE)</f>
        <v>332309276860</v>
      </c>
    </row>
    <row r="32" spans="1:12" x14ac:dyDescent="0.2">
      <c r="A32" t="e" vm="31">
        <v>#VALUE!</v>
      </c>
      <c r="B32" t="str" cm="1">
        <f t="array" aca="1" ref="B32" ca="1">_FV(table1[[#This Row],[DataField]],"Ticker symbol",TRUE)</f>
        <v>TGT</v>
      </c>
      <c r="C32">
        <v>1</v>
      </c>
      <c r="D32">
        <v>500</v>
      </c>
      <c r="E32">
        <v>16</v>
      </c>
      <c r="F32" s="2" cm="1">
        <f t="array" aca="1" ref="F32" ca="1">_FV(table1[[#This Row],[DataField]],"Price")</f>
        <v>115.5</v>
      </c>
      <c r="G32" s="2" cm="1">
        <f t="array" aca="1" ref="G32" ca="1">_FV(table1[[#This Row],[DataField]],"52 week low",TRUE)</f>
        <v>83.44</v>
      </c>
      <c r="H32" s="2" cm="1">
        <f t="array" aca="1" ref="H32" ca="1">_FV(table1[[#This Row],[DataField]],"52 week high",TRUE)</f>
        <v>126</v>
      </c>
      <c r="I32" s="4" cm="1">
        <f t="array" aca="1" ref="I32" ca="1">_FV(table1[[#This Row],[DataField]],"P/E",TRUE)</f>
        <v>14.014799999999999</v>
      </c>
      <c r="J32" s="2" t="str">
        <f ca="1">IF(table1[[#This Row],[Price]] &lt; (table1[[#This Row],[52Low]] * 0.25) + table1[[#This Row],[52Low]],  "TRUE", "FALSE")</f>
        <v>FALSE</v>
      </c>
      <c r="K32" s="2" t="str">
        <f ca="1">IF(table1[[#This Row],[Price]] &lt; (table1[[#This Row],[52Low]] * 0.1) + table1[[#This Row],[52Low]],  "TRUE", "FALSE")</f>
        <v>FALSE</v>
      </c>
      <c r="L32" s="6" cm="1">
        <f t="array" aca="1" ref="L32" ca="1">_FV(table1[[#This Row],[DataField]],"Market cap",TRUE)</f>
        <v>52304821800</v>
      </c>
    </row>
    <row r="33" spans="1:12" x14ac:dyDescent="0.2">
      <c r="A33" t="e" vm="32">
        <v>#VALUE!</v>
      </c>
      <c r="B33" t="str" cm="1">
        <f t="array" aca="1" ref="B33" ca="1">_FV(table1[[#This Row],[DataField]],"Ticker symbol",TRUE)</f>
        <v>WMT</v>
      </c>
      <c r="C33">
        <v>1</v>
      </c>
      <c r="D33">
        <v>500</v>
      </c>
      <c r="E33">
        <v>16</v>
      </c>
      <c r="F33" s="2" cm="1">
        <f t="array" aca="1" ref="F33" ca="1">_FV(table1[[#This Row],[DataField]],"Price")</f>
        <v>120.82</v>
      </c>
      <c r="G33" s="2" cm="1">
        <f t="array" aca="1" ref="G33" ca="1">_FV(table1[[#This Row],[DataField]],"52 week low",TRUE)</f>
        <v>79.81</v>
      </c>
      <c r="H33" s="2" cm="1">
        <f t="array" aca="1" ref="H33" ca="1">_FV(table1[[#This Row],[DataField]],"52 week high",TRUE)</f>
        <v>134.69</v>
      </c>
      <c r="I33" s="4" cm="1">
        <f t="array" aca="1" ref="I33" ca="1">_FV(table1[[#This Row],[DataField]],"P/E",TRUE)</f>
        <v>44.261299999999999</v>
      </c>
      <c r="J33" s="2" t="str">
        <f ca="1">IF(table1[[#This Row],[Price]] &lt; (table1[[#This Row],[52Low]] * 0.25) + table1[[#This Row],[52Low]],  "TRUE", "FALSE")</f>
        <v>FALSE</v>
      </c>
      <c r="K33" s="2" t="str">
        <f ca="1">IF(table1[[#This Row],[Price]] &lt; (table1[[#This Row],[52Low]] * 0.1) + table1[[#This Row],[52Low]],  "TRUE", "FALSE")</f>
        <v>FALSE</v>
      </c>
      <c r="L33" s="6" cm="1">
        <f t="array" aca="1" ref="L33" ca="1">_FV(table1[[#This Row],[DataField]],"Market cap",TRUE)</f>
        <v>963225609640</v>
      </c>
    </row>
    <row r="34" spans="1:12" x14ac:dyDescent="0.2">
      <c r="A34" t="e" vm="33">
        <v>#VALUE!</v>
      </c>
      <c r="B34" t="str" cm="1">
        <f t="array" aca="1" ref="B34" ca="1">_FV(table1[[#This Row],[DataField]],"Ticker symbol",TRUE)</f>
        <v>V</v>
      </c>
      <c r="C34">
        <v>0</v>
      </c>
      <c r="D34">
        <v>500</v>
      </c>
      <c r="E34">
        <v>21</v>
      </c>
      <c r="F34" s="2" cm="1">
        <f t="array" aca="1" ref="F34" ca="1">_FV(table1[[#This Row],[DataField]],"Price")</f>
        <v>306.99</v>
      </c>
      <c r="G34" s="2" cm="1">
        <f t="array" aca="1" ref="G34" ca="1">_FV(table1[[#This Row],[DataField]],"52 week low",TRUE)</f>
        <v>297.03219999999999</v>
      </c>
      <c r="H34" s="2" cm="1">
        <f t="array" aca="1" ref="H34" ca="1">_FV(table1[[#This Row],[DataField]],"52 week high",TRUE)</f>
        <v>375.51</v>
      </c>
      <c r="I34" s="4" cm="1">
        <f t="array" aca="1" ref="I34" ca="1">_FV(table1[[#This Row],[DataField]],"P/E",TRUE)</f>
        <v>28.8064</v>
      </c>
      <c r="J34" s="2" t="str">
        <f ca="1">IF(table1[[#This Row],[Price]] &lt; (table1[[#This Row],[52Low]] * 0.25) + table1[[#This Row],[52Low]],  "TRUE", "FALSE")</f>
        <v>TRUE</v>
      </c>
      <c r="K34" s="2" t="str">
        <f ca="1">IF(table1[[#This Row],[Price]] &lt; (table1[[#This Row],[52Low]] * 0.1) + table1[[#This Row],[52Low]],  "TRUE", "FALSE")</f>
        <v>TRUE</v>
      </c>
      <c r="L34" s="6" cm="1">
        <f t="array" aca="1" ref="L34" ca="1">_FV(table1[[#This Row],[DataField]],"Market cap",TRUE)</f>
        <v>585125702910</v>
      </c>
    </row>
    <row r="35" spans="1:12" x14ac:dyDescent="0.2">
      <c r="A35" t="e" vm="34">
        <v>#VALUE!</v>
      </c>
      <c r="B35" t="str" cm="1">
        <f t="array" aca="1" ref="B35" ca="1">_FV(table1[[#This Row],[DataField]],"Ticker symbol",TRUE)</f>
        <v>UPS</v>
      </c>
      <c r="C35">
        <v>0</v>
      </c>
      <c r="D35">
        <v>500</v>
      </c>
      <c r="E35">
        <v>22</v>
      </c>
      <c r="F35" s="2" cm="1">
        <f t="array" aca="1" ref="F35" ca="1">_FV(table1[[#This Row],[DataField]],"Price")</f>
        <v>98.99</v>
      </c>
      <c r="G35" s="2" cm="1">
        <f t="array" aca="1" ref="G35" ca="1">_FV(table1[[#This Row],[DataField]],"52 week low",TRUE)</f>
        <v>82</v>
      </c>
      <c r="H35" s="2" cm="1">
        <f t="array" aca="1" ref="H35" ca="1">_FV(table1[[#This Row],[DataField]],"52 week high",TRUE)</f>
        <v>122.41</v>
      </c>
      <c r="I35" s="4" cm="1">
        <f t="array" aca="1" ref="I35" ca="1">_FV(table1[[#This Row],[DataField]],"P/E",TRUE)</f>
        <v>15.089</v>
      </c>
      <c r="J35" s="2" t="str">
        <f ca="1">IF(table1[[#This Row],[Price]] &lt; (table1[[#This Row],[52Low]] * 0.25) + table1[[#This Row],[52Low]],  "TRUE", "FALSE")</f>
        <v>TRUE</v>
      </c>
      <c r="K35" s="2" t="str">
        <f ca="1">IF(table1[[#This Row],[Price]] &lt; (table1[[#This Row],[52Low]] * 0.1) + table1[[#This Row],[52Low]],  "TRUE", "FALSE")</f>
        <v>FALSE</v>
      </c>
      <c r="L35" s="6" cm="1">
        <f t="array" aca="1" ref="L35" ca="1">_FV(table1[[#This Row],[DataField]],"Market cap",TRUE)</f>
        <v>84109120371</v>
      </c>
    </row>
    <row r="36" spans="1:12" x14ac:dyDescent="0.2">
      <c r="A36" t="e" vm="35">
        <v>#VALUE!</v>
      </c>
      <c r="B36" t="str" cm="1">
        <f t="array" aca="1" ref="B36" ca="1">_FV(table1[[#This Row],[DataField]],"Ticker symbol",TRUE)</f>
        <v>ADP</v>
      </c>
      <c r="C36">
        <v>0</v>
      </c>
      <c r="D36">
        <v>500</v>
      </c>
      <c r="E36">
        <v>23</v>
      </c>
      <c r="F36" s="2" cm="1">
        <f t="array" aca="1" ref="F36" ca="1">_FV(table1[[#This Row],[DataField]],"Price")</f>
        <v>210.95</v>
      </c>
      <c r="G36" s="2" cm="1">
        <f t="array" aca="1" ref="G36" ca="1">_FV(table1[[#This Row],[DataField]],"52 week low",TRUE)</f>
        <v>203.26</v>
      </c>
      <c r="H36" s="2" cm="1">
        <f t="array" aca="1" ref="H36" ca="1">_FV(table1[[#This Row],[DataField]],"52 week high",TRUE)</f>
        <v>329.92950000000002</v>
      </c>
      <c r="I36" s="4" cm="1">
        <f t="array" aca="1" ref="I36" ca="1">_FV(table1[[#This Row],[DataField]],"P/E",TRUE)</f>
        <v>20.264600000000002</v>
      </c>
      <c r="J36" s="2" t="str">
        <f ca="1">IF(table1[[#This Row],[Price]] &lt; (table1[[#This Row],[52Low]] * 0.25) + table1[[#This Row],[52Low]],  "TRUE", "FALSE")</f>
        <v>TRUE</v>
      </c>
      <c r="K36" s="2" t="str">
        <f ca="1">IF(table1[[#This Row],[Price]] &lt; (table1[[#This Row],[52Low]] * 0.1) + table1[[#This Row],[52Low]],  "TRUE", "FALSE")</f>
        <v>TRUE</v>
      </c>
      <c r="L36" s="6" cm="1">
        <f t="array" aca="1" ref="L36" ca="1">_FV(table1[[#This Row],[DataField]],"Market cap",TRUE)</f>
        <v>84937815085</v>
      </c>
    </row>
    <row r="37" spans="1:12" x14ac:dyDescent="0.2">
      <c r="A37" t="e" vm="36">
        <v>#VALUE!</v>
      </c>
      <c r="B37" t="str" cm="1">
        <f t="array" aca="1" ref="B37" ca="1">_FV(table1[[#This Row],[DataField]],"Ticker symbol",TRUE)</f>
        <v>LYB</v>
      </c>
      <c r="C37">
        <v>0</v>
      </c>
      <c r="D37">
        <v>500</v>
      </c>
      <c r="E37">
        <v>31</v>
      </c>
      <c r="F37" s="2" cm="1">
        <f t="array" aca="1" ref="F37" ca="1">_FV(table1[[#This Row],[DataField]],"Price")</f>
        <v>70.900000000000006</v>
      </c>
      <c r="G37" s="2" cm="1">
        <f t="array" aca="1" ref="G37" ca="1">_FV(table1[[#This Row],[DataField]],"52 week low",TRUE)</f>
        <v>41.58</v>
      </c>
      <c r="H37" s="2" cm="1">
        <f t="array" aca="1" ref="H37" ca="1">_FV(table1[[#This Row],[DataField]],"52 week high",TRUE)</f>
        <v>77.36</v>
      </c>
      <c r="I37" s="4" cm="1">
        <f t="array" aca="1" ref="I37" ca="1">_FV(table1[[#This Row],[DataField]],"P/E",TRUE)</f>
        <v>0</v>
      </c>
      <c r="J37" s="2" t="str">
        <f ca="1">IF(table1[[#This Row],[Price]] &lt; (table1[[#This Row],[52Low]] * 0.25) + table1[[#This Row],[52Low]],  "TRUE", "FALSE")</f>
        <v>FALSE</v>
      </c>
      <c r="K37" s="2" t="str">
        <f ca="1">IF(table1[[#This Row],[Price]] &lt; (table1[[#This Row],[52Low]] * 0.1) + table1[[#This Row],[52Low]],  "TRUE", "FALSE")</f>
        <v>FALSE</v>
      </c>
      <c r="L37" s="6" cm="1">
        <f t="array" aca="1" ref="L37" ca="1">_FV(table1[[#This Row],[DataField]],"Market cap",TRUE)</f>
        <v>22841853000</v>
      </c>
    </row>
    <row r="38" spans="1:12" x14ac:dyDescent="0.2">
      <c r="A38" t="e" vm="37">
        <v>#VALUE!</v>
      </c>
      <c r="B38" t="str" cm="1">
        <f t="array" aca="1" ref="B38" ca="1">_FV(table1[[#This Row],[DataField]],"Ticker symbol",TRUE)</f>
        <v>EMN</v>
      </c>
      <c r="C38">
        <v>0</v>
      </c>
      <c r="D38">
        <v>500</v>
      </c>
      <c r="E38">
        <v>31</v>
      </c>
      <c r="F38" s="2" cm="1">
        <f t="array" aca="1" ref="F38" ca="1">_FV(table1[[#This Row],[DataField]],"Price")</f>
        <v>68.400000000000006</v>
      </c>
      <c r="G38" s="2" cm="1">
        <f t="array" aca="1" ref="G38" ca="1">_FV(table1[[#This Row],[DataField]],"52 week low",TRUE)</f>
        <v>56.11</v>
      </c>
      <c r="H38" s="2" cm="1">
        <f t="array" aca="1" ref="H38" ca="1">_FV(table1[[#This Row],[DataField]],"52 week high",TRUE)</f>
        <v>90.95</v>
      </c>
      <c r="I38" s="4" cm="1">
        <f t="array" aca="1" ref="I38" ca="1">_FV(table1[[#This Row],[DataField]],"P/E",TRUE)</f>
        <v>17.982500000000002</v>
      </c>
      <c r="J38" s="2" t="str">
        <f ca="1">IF(table1[[#This Row],[Price]] &lt; (table1[[#This Row],[52Low]] * 0.25) + table1[[#This Row],[52Low]],  "TRUE", "FALSE")</f>
        <v>TRUE</v>
      </c>
      <c r="K38" s="2" t="str">
        <f ca="1">IF(table1[[#This Row],[Price]] &lt; (table1[[#This Row],[52Low]] * 0.1) + table1[[#This Row],[52Low]],  "TRUE", "FALSE")</f>
        <v>FALSE</v>
      </c>
      <c r="L38" s="6" cm="1">
        <f t="array" aca="1" ref="L38" ca="1">_FV(table1[[#This Row],[DataField]],"Market cap",TRUE)</f>
        <v>7804255320</v>
      </c>
    </row>
    <row r="39" spans="1:12" x14ac:dyDescent="0.2">
      <c r="A39" t="e" vm="38">
        <v>#VALUE!</v>
      </c>
      <c r="B39" t="str" cm="1">
        <f t="array" aca="1" ref="B39" ca="1">_FV(table1[[#This Row],[DataField]],"Ticker symbol",TRUE)</f>
        <v>UNH</v>
      </c>
      <c r="C39">
        <v>0</v>
      </c>
      <c r="D39">
        <v>500</v>
      </c>
      <c r="E39">
        <v>40</v>
      </c>
      <c r="F39" s="2" cm="1">
        <f t="array" aca="1" ref="F39" ca="1">_FV(table1[[#This Row],[DataField]],"Price")</f>
        <v>273.97000000000003</v>
      </c>
      <c r="G39" s="2" cm="1">
        <f t="array" aca="1" ref="G39" ca="1">_FV(table1[[#This Row],[DataField]],"52 week low",TRUE)</f>
        <v>234.6</v>
      </c>
      <c r="H39" s="2" cm="1">
        <f t="array" aca="1" ref="H39" ca="1">_FV(table1[[#This Row],[DataField]],"52 week high",TRUE)</f>
        <v>606.36</v>
      </c>
      <c r="I39" s="4" cm="1">
        <f t="array" aca="1" ref="I39" ca="1">_FV(table1[[#This Row],[DataField]],"P/E",TRUE)</f>
        <v>20.7651</v>
      </c>
      <c r="J39" s="2" t="str">
        <f ca="1">IF(table1[[#This Row],[Price]] &lt; (table1[[#This Row],[52Low]] * 0.25) + table1[[#This Row],[52Low]],  "TRUE", "FALSE")</f>
        <v>TRUE</v>
      </c>
      <c r="K39" s="2" t="str">
        <f ca="1">IF(table1[[#This Row],[Price]] &lt; (table1[[#This Row],[52Low]] * 0.1) + table1[[#This Row],[52Low]],  "TRUE", "FALSE")</f>
        <v>FALSE</v>
      </c>
      <c r="L39" s="6" cm="1">
        <f t="array" aca="1" ref="L39" ca="1">_FV(table1[[#This Row],[DataField]],"Market cap",TRUE)</f>
        <v>248675938926</v>
      </c>
    </row>
    <row r="40" spans="1:12" x14ac:dyDescent="0.2">
      <c r="A40" t="e" vm="39">
        <v>#VALUE!</v>
      </c>
      <c r="B40" t="str" cm="1">
        <f t="array" aca="1" ref="B40" ca="1">_FV(table1[[#This Row],[DataField]],"Ticker symbol",TRUE)</f>
        <v>JNJ</v>
      </c>
      <c r="C40">
        <v>0</v>
      </c>
      <c r="D40">
        <v>500</v>
      </c>
      <c r="E40">
        <v>40</v>
      </c>
      <c r="F40" s="2" cm="1">
        <f t="array" aca="1" ref="F40" ca="1">_FV(table1[[#This Row],[DataField]],"Price")</f>
        <v>235.53</v>
      </c>
      <c r="G40" s="2" cm="1">
        <f t="array" aca="1" ref="G40" ca="1">_FV(table1[[#This Row],[DataField]],"52 week low",TRUE)</f>
        <v>141.5</v>
      </c>
      <c r="H40" s="2" cm="1">
        <f t="array" aca="1" ref="H40" ca="1">_FV(table1[[#This Row],[DataField]],"52 week high",TRUE)</f>
        <v>251.71</v>
      </c>
      <c r="I40" s="4" cm="1">
        <f t="array" aca="1" ref="I40" ca="1">_FV(table1[[#This Row],[DataField]],"P/E",TRUE)</f>
        <v>21.33</v>
      </c>
      <c r="J40" s="2" t="str">
        <f ca="1">IF(table1[[#This Row],[Price]] &lt; (table1[[#This Row],[52Low]] * 0.25) + table1[[#This Row],[52Low]],  "TRUE", "FALSE")</f>
        <v>FALSE</v>
      </c>
      <c r="K40" s="2" t="str">
        <f ca="1">IF(table1[[#This Row],[Price]] &lt; (table1[[#This Row],[52Low]] * 0.1) + table1[[#This Row],[52Low]],  "TRUE", "FALSE")</f>
        <v>FALSE</v>
      </c>
      <c r="L40" s="6" cm="1">
        <f t="array" aca="1" ref="L40" ca="1">_FV(table1[[#This Row],[DataField]],"Market cap",TRUE)</f>
        <v>567300619890</v>
      </c>
    </row>
    <row r="41" spans="1:12" x14ac:dyDescent="0.2">
      <c r="A41" t="e" vm="40">
        <v>#VALUE!</v>
      </c>
      <c r="B41" t="str" cm="1">
        <f t="array" aca="1" ref="B41" ca="1">_FV(table1[[#This Row],[DataField]],"Ticker symbol",TRUE)</f>
        <v>MDT</v>
      </c>
      <c r="C41">
        <v>0</v>
      </c>
      <c r="D41">
        <v>500</v>
      </c>
      <c r="E41">
        <v>40</v>
      </c>
      <c r="F41" s="2" cm="1">
        <f t="array" aca="1" ref="F41" ca="1">_FV(table1[[#This Row],[DataField]],"Price")</f>
        <v>87.364999999999995</v>
      </c>
      <c r="G41" s="2" cm="1">
        <f t="array" aca="1" ref="G41" ca="1">_FV(table1[[#This Row],[DataField]],"52 week low",TRUE)</f>
        <v>79.55</v>
      </c>
      <c r="H41" s="2" cm="1">
        <f t="array" aca="1" ref="H41" ca="1">_FV(table1[[#This Row],[DataField]],"52 week high",TRUE)</f>
        <v>106.33</v>
      </c>
      <c r="I41" s="4" cm="1">
        <f t="array" aca="1" ref="I41" ca="1">_FV(table1[[#This Row],[DataField]],"P/E",TRUE)</f>
        <v>24.395499999999998</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112166613025</v>
      </c>
    </row>
    <row r="42" spans="1:12" x14ac:dyDescent="0.2">
      <c r="A42" t="e" vm="41">
        <v>#VALUE!</v>
      </c>
      <c r="B42" t="str" cm="1">
        <f t="array" aca="1" ref="B42" ca="1">_FV(table1[[#This Row],[DataField]],"Ticker symbol",TRUE)</f>
        <v>CVS</v>
      </c>
      <c r="C42">
        <v>0</v>
      </c>
      <c r="D42">
        <v>500</v>
      </c>
      <c r="E42">
        <v>40</v>
      </c>
      <c r="F42" s="2" cm="1">
        <f t="array" aca="1" ref="F42" ca="1">_FV(table1[[#This Row],[DataField]],"Price")</f>
        <v>71.180000000000007</v>
      </c>
      <c r="G42" s="2" cm="1">
        <f t="array" aca="1" ref="G42" ca="1">_FV(table1[[#This Row],[DataField]],"52 week low",TRUE)</f>
        <v>58.35</v>
      </c>
      <c r="H42" s="2" cm="1">
        <f t="array" aca="1" ref="H42" ca="1">_FV(table1[[#This Row],[DataField]],"52 week high",TRUE)</f>
        <v>85.15</v>
      </c>
      <c r="I42" s="4" cm="1">
        <f t="array" aca="1" ref="I42" ca="1">_FV(table1[[#This Row],[DataField]],"P/E",TRUE)</f>
        <v>52.051200000000001</v>
      </c>
      <c r="J42" s="2" t="str">
        <f ca="1">IF(table1[[#This Row],[Price]] &lt; (table1[[#This Row],[52Low]] * 0.25) + table1[[#This Row],[52Low]],  "TRUE", "FALSE")</f>
        <v>TRUE</v>
      </c>
      <c r="K42" s="2" t="str">
        <f ca="1">IF(table1[[#This Row],[Price]] &lt; (table1[[#This Row],[52Low]] * 0.1) + table1[[#This Row],[52Low]],  "TRUE", "FALSE")</f>
        <v>FALSE</v>
      </c>
      <c r="L42" s="6" cm="1">
        <f t="array" aca="1" ref="L42" ca="1">_FV(table1[[#This Row],[DataField]],"Market cap",TRUE)</f>
        <v>90555978980</v>
      </c>
    </row>
    <row r="43" spans="1:12" x14ac:dyDescent="0.2">
      <c r="A43" t="e" vm="42">
        <v>#VALUE!</v>
      </c>
      <c r="B43" t="str" cm="1">
        <f t="array" aca="1" ref="B43" ca="1">_FV(table1[[#This Row],[DataField]],"Ticker symbol",TRUE)</f>
        <v>TROW</v>
      </c>
      <c r="C43">
        <v>0</v>
      </c>
      <c r="D43">
        <v>500</v>
      </c>
      <c r="E43">
        <v>50</v>
      </c>
      <c r="F43" s="2" cm="1">
        <f t="array" aca="1" ref="F43" ca="1">_FV(table1[[#This Row],[DataField]],"Price")</f>
        <v>88.41</v>
      </c>
      <c r="G43" s="2" cm="1">
        <f t="array" aca="1" ref="G43" ca="1">_FV(table1[[#This Row],[DataField]],"52 week low",TRUE)</f>
        <v>77.849999999999994</v>
      </c>
      <c r="H43" s="2" cm="1">
        <f t="array" aca="1" ref="H43" ca="1">_FV(table1[[#This Row],[DataField]],"52 week high",TRUE)</f>
        <v>118.22</v>
      </c>
      <c r="I43" s="4" cm="1">
        <f t="array" aca="1" ref="I43" ca="1">_FV(table1[[#This Row],[DataField]],"P/E",TRUE)</f>
        <v>9.5632000000000001</v>
      </c>
      <c r="J43" s="2" t="str">
        <f ca="1">IF(table1[[#This Row],[Price]] &lt; (table1[[#This Row],[52Low]] * 0.25) + table1[[#This Row],[52Low]],  "TRUE", "FALSE")</f>
        <v>TRUE</v>
      </c>
      <c r="K43" s="2" t="str">
        <f ca="1">IF(table1[[#This Row],[Price]] &lt; (table1[[#This Row],[52Low]] * 0.1) + table1[[#This Row],[52Low]],  "TRUE", "FALSE")</f>
        <v>FALSE</v>
      </c>
      <c r="L43" s="6" cm="1">
        <f t="array" aca="1" ref="L43" ca="1">_FV(table1[[#This Row],[DataField]],"Market cap",TRUE)</f>
        <v>19238537619</v>
      </c>
    </row>
    <row r="44" spans="1:12" x14ac:dyDescent="0.2">
      <c r="A44" t="e" vm="43">
        <v>#VALUE!</v>
      </c>
      <c r="B44" t="str" cm="1">
        <f t="array" aca="1" ref="B44" ca="1">_FV(table1[[#This Row],[DataField]],"Ticker symbol",TRUE)</f>
        <v>BMY</v>
      </c>
      <c r="C44">
        <v>0</v>
      </c>
      <c r="D44">
        <v>500</v>
      </c>
      <c r="E44">
        <v>50</v>
      </c>
      <c r="F44" s="2" cm="1">
        <f t="array" aca="1" ref="F44" ca="1">_FV(table1[[#This Row],[DataField]],"Price")</f>
        <v>57.61</v>
      </c>
      <c r="G44" s="2" cm="1">
        <f t="array" aca="1" ref="G44" ca="1">_FV(table1[[#This Row],[DataField]],"52 week low",TRUE)</f>
        <v>42.52</v>
      </c>
      <c r="H44" s="2" cm="1">
        <f t="array" aca="1" ref="H44" ca="1">_FV(table1[[#This Row],[DataField]],"52 week high",TRUE)</f>
        <v>62.886400000000002</v>
      </c>
      <c r="I44" s="4" cm="1">
        <f t="array" aca="1" ref="I44" ca="1">_FV(table1[[#This Row],[DataField]],"P/E",TRUE)</f>
        <v>16.683599999999998</v>
      </c>
      <c r="J44" s="2" t="str">
        <f ca="1">IF(table1[[#This Row],[Price]] &lt; (table1[[#This Row],[52Low]] * 0.25) + table1[[#This Row],[52Low]],  "TRUE", "FALSE")</f>
        <v>FALSE</v>
      </c>
      <c r="K44" s="2" t="str">
        <f ca="1">IF(table1[[#This Row],[Price]] &lt; (table1[[#This Row],[52Low]] * 0.1) + table1[[#This Row],[52Low]],  "TRUE", "FALSE")</f>
        <v>FALSE</v>
      </c>
      <c r="L44" s="6" cm="1">
        <f t="array" aca="1" ref="L44" ca="1">_FV(table1[[#This Row],[DataField]],"Market cap",TRUE)</f>
        <v>117321267140</v>
      </c>
    </row>
    <row r="45" spans="1:12" x14ac:dyDescent="0.2">
      <c r="A45" t="e" vm="44">
        <v>#VALUE!</v>
      </c>
      <c r="B45" t="str" cm="1">
        <f t="array" aca="1" ref="B45" ca="1">_FV(table1[[#This Row],[DataField]],"Ticker symbol",TRUE)</f>
        <v>BLK</v>
      </c>
      <c r="C45">
        <v>0</v>
      </c>
      <c r="D45">
        <v>500</v>
      </c>
      <c r="E45">
        <v>50</v>
      </c>
      <c r="F45" s="2" cm="1">
        <f t="array" aca="1" ref="F45" ca="1">_FV(table1[[#This Row],[DataField]],"Price")</f>
        <v>983.31</v>
      </c>
      <c r="G45" s="2" cm="1">
        <f t="array" aca="1" ref="G45" ca="1">_FV(table1[[#This Row],[DataField]],"52 week low",TRUE)</f>
        <v>773.74009999999998</v>
      </c>
      <c r="H45" s="2" cm="1">
        <f t="array" aca="1" ref="H45" ca="1">_FV(table1[[#This Row],[DataField]],"52 week high",TRUE)</f>
        <v>1219.9399000000001</v>
      </c>
      <c r="I45" s="4" cm="1">
        <f t="array" aca="1" ref="I45" ca="1">_FV(table1[[#This Row],[DataField]],"P/E",TRUE)</f>
        <v>28.373000000000001</v>
      </c>
      <c r="J45" s="2" t="str">
        <f ca="1">IF(table1[[#This Row],[Price]] &lt; (table1[[#This Row],[52Low]] * 0.25) + table1[[#This Row],[52Low]],  "TRUE", "FALSE")</f>
        <v>FALSE</v>
      </c>
      <c r="K45" s="2" t="str">
        <f ca="1">IF(table1[[#This Row],[Price]] &lt; (table1[[#This Row],[52Low]] * 0.1) + table1[[#This Row],[52Low]],  "TRUE", "FALSE")</f>
        <v>FALSE</v>
      </c>
      <c r="L45" s="6" cm="1">
        <f t="array" aca="1" ref="L45" ca="1">_FV(table1[[#This Row],[DataField]],"Market cap",TRUE)</f>
        <v>152945512365</v>
      </c>
    </row>
    <row r="46" spans="1:12" x14ac:dyDescent="0.2">
      <c r="A46" t="e" vm="45">
        <v>#VALUE!</v>
      </c>
      <c r="B46" t="str" cm="1">
        <f t="array" aca="1" ref="B46" ca="1">_FV(table1[[#This Row],[DataField]],"Ticker symbol",TRUE)</f>
        <v>XOM</v>
      </c>
      <c r="C46">
        <v>0</v>
      </c>
      <c r="D46">
        <v>500</v>
      </c>
      <c r="E46">
        <v>91</v>
      </c>
      <c r="F46" s="2" cm="1">
        <f t="array" aca="1" ref="F46" ca="1">_FV(table1[[#This Row],[DataField]],"Price")</f>
        <v>159.86000000000001</v>
      </c>
      <c r="G46" s="2" cm="1">
        <f t="array" aca="1" ref="G46" ca="1">_FV(table1[[#This Row],[DataField]],"52 week low",TRUE)</f>
        <v>97.8</v>
      </c>
      <c r="H46" s="2" cm="1">
        <f t="array" aca="1" ref="H46" ca="1">_FV(table1[[#This Row],[DataField]],"52 week high",TRUE)</f>
        <v>162.44</v>
      </c>
      <c r="I46" s="4" cm="1">
        <f t="array" aca="1" ref="I46" ca="1">_FV(table1[[#This Row],[DataField]],"P/E",TRUE)</f>
        <v>23.929300000000001</v>
      </c>
      <c r="J46" s="2" t="str">
        <f ca="1">IF(table1[[#This Row],[Price]] &lt; (table1[[#This Row],[52Low]] * 0.25) + table1[[#This Row],[52Low]],  "TRUE", "FALSE")</f>
        <v>FALSE</v>
      </c>
      <c r="K46" s="2" t="str">
        <f ca="1">IF(table1[[#This Row],[Price]] &lt; (table1[[#This Row],[52Low]] * 0.1) + table1[[#This Row],[52Low]],  "TRUE", "FALSE")</f>
        <v>FALSE</v>
      </c>
      <c r="L46" s="6" cm="1">
        <f t="array" aca="1" ref="L46" ca="1">_FV(table1[[#This Row],[DataField]],"Market cap",TRUE)</f>
        <v>666098893040</v>
      </c>
    </row>
    <row r="47" spans="1:12" x14ac:dyDescent="0.2">
      <c r="A47" t="e" vm="46">
        <v>#VALUE!</v>
      </c>
      <c r="B47" t="str" cm="1">
        <f t="array" aca="1" ref="B47" ca="1">_FV(table1[[#This Row],[DataField]],"Ticker symbol",TRUE)</f>
        <v>CVX</v>
      </c>
      <c r="C47">
        <v>0</v>
      </c>
      <c r="D47">
        <v>500</v>
      </c>
      <c r="E47">
        <v>91</v>
      </c>
      <c r="F47" s="2" cm="1">
        <f t="array" aca="1" ref="F47" ca="1">_FV(table1[[#This Row],[DataField]],"Price")</f>
        <v>203.19499999999999</v>
      </c>
      <c r="G47" s="2" cm="1">
        <f t="array" aca="1" ref="G47" ca="1">_FV(table1[[#This Row],[DataField]],"52 week low",TRUE)</f>
        <v>132.04</v>
      </c>
      <c r="H47" s="2" cm="1">
        <f t="array" aca="1" ref="H47" ca="1">_FV(table1[[#This Row],[DataField]],"52 week high",TRUE)</f>
        <v>205.08</v>
      </c>
      <c r="I47" s="4" cm="1">
        <f t="array" aca="1" ref="I47" ca="1">_FV(table1[[#This Row],[DataField]],"P/E",TRUE)</f>
        <v>30.5745</v>
      </c>
      <c r="J47" s="2" t="str">
        <f ca="1">IF(table1[[#This Row],[Price]] &lt; (table1[[#This Row],[52Low]] * 0.25) + table1[[#This Row],[52Low]],  "TRUE", "FALSE")</f>
        <v>FALSE</v>
      </c>
      <c r="K47" s="2" t="str">
        <f ca="1">IF(table1[[#This Row],[Price]] &lt; (table1[[#This Row],[52Low]] * 0.1) + table1[[#This Row],[52Low]],  "TRUE", "FALSE")</f>
        <v>FALSE</v>
      </c>
      <c r="L47" s="6" cm="1">
        <f t="array" aca="1" ref="L47" ca="1">_FV(table1[[#This Row],[DataField]],"Market cap",TRUE)</f>
        <v>405452255075</v>
      </c>
    </row>
    <row r="48" spans="1:12" x14ac:dyDescent="0.2">
      <c r="A48" t="e" vm="47">
        <v>#VALUE!</v>
      </c>
      <c r="B48" t="str" cm="1">
        <f t="array" aca="1" ref="B48" ca="1">_FV(table1[[#This Row],[DataField]],"Ticker symbol",TRUE)</f>
        <v>DOW</v>
      </c>
      <c r="F48" s="2" cm="1">
        <f t="array" aca="1" ref="F48" ca="1">_FV(table1[[#This Row],[DataField]],"Price")</f>
        <v>35.85</v>
      </c>
      <c r="G48" s="2" cm="1">
        <f t="array" aca="1" ref="G48" ca="1">_FV(table1[[#This Row],[DataField]],"52 week low",TRUE)</f>
        <v>20.401900000000001</v>
      </c>
      <c r="H48" s="2" cm="1">
        <f t="array" aca="1" ref="H48" ca="1">_FV(table1[[#This Row],[DataField]],"52 week high",TRUE)</f>
        <v>38.58</v>
      </c>
      <c r="I48" s="4" cm="1">
        <f t="array" aca="1" ref="I48" ca="1">_FV(table1[[#This Row],[DataField]],"P/E",TRUE)</f>
        <v>0</v>
      </c>
      <c r="J48" s="2" t="str">
        <f ca="1">IF(table1[[#This Row],[Price]] &lt; (table1[[#This Row],[52Low]] * 0.25) + table1[[#This Row],[52Low]],  "TRUE", "FALSE")</f>
        <v>FALSE</v>
      </c>
      <c r="K48" s="2" t="str">
        <f ca="1">IF(table1[[#This Row],[Price]] &lt; (table1[[#This Row],[52Low]] * 0.1) + table1[[#This Row],[52Low]],  "TRUE", "FALSE")</f>
        <v>FALSE</v>
      </c>
      <c r="L48" s="6" cm="1">
        <f t="array" aca="1" ref="L48" ca="1">_FV(table1[[#This Row],[DataField]],"Market cap",TRUE)</f>
        <v>25798355490</v>
      </c>
    </row>
    <row r="49" spans="1:12" x14ac:dyDescent="0.2">
      <c r="A49" t="e" vm="48">
        <v>#VALUE!</v>
      </c>
      <c r="B49" t="str" cm="1">
        <f t="array" aca="1" ref="B49" ca="1">_FV(table1[[#This Row],[DataField]],"Ticker symbol",TRUE)</f>
        <v>INTC</v>
      </c>
      <c r="F49" s="2" cm="1">
        <f t="array" aca="1" ref="F49" ca="1">_FV(table1[[#This Row],[DataField]],"Price")</f>
        <v>44.538800000000002</v>
      </c>
      <c r="G49" s="2" cm="1">
        <f t="array" aca="1" ref="G49" ca="1">_FV(table1[[#This Row],[DataField]],"52 week low",TRUE)</f>
        <v>17.664999999999999</v>
      </c>
      <c r="H49" s="2" cm="1">
        <f t="array" aca="1" ref="H49" ca="1">_FV(table1[[#This Row],[DataField]],"52 week high",TRUE)</f>
        <v>54.6</v>
      </c>
      <c r="I49" s="4" cm="1">
        <f t="array" aca="1" ref="I49" ca="1">_FV(table1[[#This Row],[DataField]],"P/E",TRUE)</f>
        <v>0</v>
      </c>
      <c r="J49" s="2" t="str">
        <f ca="1">IF(table1[[#This Row],[Price]] &lt; (table1[[#This Row],[52Low]] * 0.25) + table1[[#This Row],[52Low]],  "TRUE", "FALSE")</f>
        <v>FALSE</v>
      </c>
      <c r="K49" s="2" t="str">
        <f ca="1">IF(table1[[#This Row],[Price]] &lt; (table1[[#This Row],[52Low]] * 0.1) + table1[[#This Row],[52Low]],  "TRUE", "FALSE")</f>
        <v>FALSE</v>
      </c>
      <c r="L49" s="6" cm="1">
        <f t="array" aca="1" ref="L49" ca="1">_FV(table1[[#This Row],[DataField]],"Market cap",TRUE)</f>
        <v>222471306000</v>
      </c>
    </row>
    <row r="50" spans="1:12" x14ac:dyDescent="0.2">
      <c r="A50" t="e" vm="49">
        <v>#VALUE!</v>
      </c>
      <c r="B50" t="str" cm="1">
        <f t="array" aca="1" ref="B50" ca="1">_FV(table1[[#This Row],[DataField]],"Ticker symbol",TRUE)</f>
        <v>BBY</v>
      </c>
      <c r="F50" s="2" cm="1">
        <f t="array" aca="1" ref="F50" ca="1">_FV(table1[[#This Row],[DataField]],"Price")</f>
        <v>64.08</v>
      </c>
      <c r="G50" s="2" cm="1">
        <f t="array" aca="1" ref="G50" ca="1">_FV(table1[[#This Row],[DataField]],"52 week low",TRUE)</f>
        <v>54.99</v>
      </c>
      <c r="H50" s="2" cm="1">
        <f t="array" aca="1" ref="H50" ca="1">_FV(table1[[#This Row],[DataField]],"52 week high",TRUE)</f>
        <v>84.99</v>
      </c>
      <c r="I50" s="4" cm="1">
        <f t="array" aca="1" ref="I50" ca="1">_FV(table1[[#This Row],[DataField]],"P/E",TRUE)</f>
        <v>12.6959</v>
      </c>
      <c r="J50" s="2" t="str">
        <f ca="1">IF(table1[[#This Row],[Price]] &lt; (table1[[#This Row],[52Low]] * 0.25) + table1[[#This Row],[52Low]],  "TRUE", "FALSE")</f>
        <v>TRUE</v>
      </c>
      <c r="K50" s="2" t="str">
        <f ca="1">IF(table1[[#This Row],[Price]] &lt; (table1[[#This Row],[52Low]] * 0.1) + table1[[#This Row],[52Low]],  "TRUE", "FALSE")</f>
        <v>FALSE</v>
      </c>
      <c r="L50" s="6" cm="1">
        <f t="array" aca="1" ref="L50" ca="1">_FV(table1[[#This Row],[DataField]],"Market cap",TRUE)</f>
        <v>13399935408</v>
      </c>
    </row>
    <row r="51" spans="1:12" x14ac:dyDescent="0.2">
      <c r="A51" t="e" vm="50">
        <v>#VALUE!</v>
      </c>
      <c r="B51" t="str" cm="1">
        <f t="array" aca="1" ref="B51" ca="1">_FV(table1[[#This Row],[DataField]],"Ticker symbol",TRUE)</f>
        <v>PPG</v>
      </c>
      <c r="F51" s="2" cm="1">
        <f t="array" aca="1" ref="F51" ca="1">_FV(table1[[#This Row],[DataField]],"Price")</f>
        <v>102.72</v>
      </c>
      <c r="G51" s="2" cm="1">
        <f t="array" aca="1" ref="G51" ca="1">_FV(table1[[#This Row],[DataField]],"52 week low",TRUE)</f>
        <v>90.24</v>
      </c>
      <c r="H51" s="2" cm="1">
        <f t="array" aca="1" ref="H51" ca="1">_FV(table1[[#This Row],[DataField]],"52 week high",TRUE)</f>
        <v>133.43</v>
      </c>
      <c r="I51" s="4" cm="1">
        <f t="array" aca="1" ref="I51" ca="1">_FV(table1[[#This Row],[DataField]],"P/E",TRUE)</f>
        <v>14.854200000000001</v>
      </c>
      <c r="J51" s="2" t="str">
        <f ca="1">IF(table1[[#This Row],[Price]] &lt; (table1[[#This Row],[52Low]] * 0.25) + table1[[#This Row],[52Low]],  "TRUE", "FALSE")</f>
        <v>TRUE</v>
      </c>
      <c r="K51" s="7" t="str">
        <f ca="1">IF(table1[[#This Row],[Price]] &lt; (table1[[#This Row],[52Low]] * 0.1) + table1[[#This Row],[52Low]],  "TRUE", "FALSE")</f>
        <v>FALSE</v>
      </c>
      <c r="L51" s="6" cm="1">
        <f t="array" aca="1" ref="L51" ca="1">_FV(table1[[#This Row],[DataField]],"Market cap",TRUE)</f>
        <v>22988592192</v>
      </c>
    </row>
    <row r="52" spans="1:12" x14ac:dyDescent="0.2">
      <c r="A52" t="e" vm="51">
        <v>#VALUE!</v>
      </c>
      <c r="B52" t="str" cm="1">
        <f t="array" aca="1" ref="B52" ca="1">_FV(table1[[#This Row],[DataField]],"Ticker symbol",TRUE)</f>
        <v>EOG</v>
      </c>
      <c r="F52" s="2" cm="1">
        <f t="array" aca="1" ref="F52" ca="1">_FV(table1[[#This Row],[DataField]],"Price")</f>
        <v>139.07499999999999</v>
      </c>
      <c r="G52" s="2" cm="1">
        <f t="array" aca="1" ref="G52" ca="1">_FV(table1[[#This Row],[DataField]],"52 week low",TRUE)</f>
        <v>101.5936</v>
      </c>
      <c r="H52" s="2" cm="1">
        <f t="array" aca="1" ref="H52" ca="1">_FV(table1[[#This Row],[DataField]],"52 week high",TRUE)</f>
        <v>140.91990000000001</v>
      </c>
      <c r="I52" s="4" cm="1">
        <f t="array" aca="1" ref="I52" ca="1">_FV(table1[[#This Row],[DataField]],"P/E",TRUE)</f>
        <v>15.2643</v>
      </c>
      <c r="J52" s="2" t="str">
        <f ca="1">IF(table1[[#This Row],[Price]] &lt; (table1[[#This Row],[52Low]] * 0.25) + table1[[#This Row],[52Low]],  "TRUE", "FALSE")</f>
        <v>FALSE</v>
      </c>
      <c r="K52" s="2" t="str">
        <f ca="1">IF(table1[[#This Row],[Price]] &lt; (table1[[#This Row],[52Low]] * 0.1) + table1[[#This Row],[52Low]],  "TRUE", "FALSE")</f>
        <v>FALSE</v>
      </c>
      <c r="L52" s="6" cm="1">
        <f t="array" aca="1" ref="L52" ca="1">_FV(table1[[#This Row],[DataField]],"Market cap",TRUE)</f>
        <v>74612555362</v>
      </c>
    </row>
    <row r="53" spans="1:12" x14ac:dyDescent="0.2">
      <c r="A53" t="e" vm="52">
        <v>#VALUE!</v>
      </c>
      <c r="B53" t="str" cm="1">
        <f t="array" aca="1" ref="B53" ca="1">_FV(table1[[#This Row],[DataField]],"Ticker symbol",TRUE)</f>
        <v>MO</v>
      </c>
      <c r="F53" s="2" cm="1">
        <f t="array" aca="1" ref="F53" ca="1">_FV(table1[[#This Row],[DataField]],"Price")</f>
        <v>64.584999999999994</v>
      </c>
      <c r="G53" s="2" cm="1">
        <f t="array" aca="1" ref="G53" ca="1">_FV(table1[[#This Row],[DataField]],"52 week low",TRUE)</f>
        <v>52.82</v>
      </c>
      <c r="H53" s="2" cm="1">
        <f t="array" aca="1" ref="H53" ca="1">_FV(table1[[#This Row],[DataField]],"52 week high",TRUE)</f>
        <v>70.510000000000005</v>
      </c>
      <c r="I53" s="4" cm="1">
        <f t="array" aca="1" ref="I53" ca="1">_FV(table1[[#This Row],[DataField]],"P/E",TRUE)</f>
        <v>15.688499999999999</v>
      </c>
      <c r="J53" s="2" t="str">
        <f ca="1">IF(table1[[#This Row],[Price]] &lt; (table1[[#This Row],[52Low]] * 0.25) + table1[[#This Row],[52Low]],  "TRUE", "FALSE")</f>
        <v>TRUE</v>
      </c>
      <c r="K53" s="2" t="str">
        <f ca="1">IF(table1[[#This Row],[Price]] &lt; (table1[[#This Row],[52Low]] * 0.1) + table1[[#This Row],[52Low]],  "TRUE", "FALSE")</f>
        <v>FALSE</v>
      </c>
      <c r="L53" s="6" cm="1">
        <f t="array" aca="1" ref="L53" ca="1">_FV(table1[[#This Row],[DataField]],"Market cap",TRUE)</f>
        <v>107979532329</v>
      </c>
    </row>
    <row r="54" spans="1:12" x14ac:dyDescent="0.2">
      <c r="A54" t="e" vm="53">
        <v>#VALUE!</v>
      </c>
      <c r="B54" t="str" cm="1">
        <f t="array" aca="1" ref="B54" ca="1">_FV(table1[[#This Row],[DataField]],"Ticker symbol",TRUE)</f>
        <v>MRK</v>
      </c>
      <c r="F54" s="2" cm="1">
        <f t="array" aca="1" ref="F54" ca="1">_FV(table1[[#This Row],[DataField]],"Price")</f>
        <v>116.19</v>
      </c>
      <c r="G54" s="2" cm="1">
        <f t="array" aca="1" ref="G54" ca="1">_FV(table1[[#This Row],[DataField]],"52 week low",TRUE)</f>
        <v>73.31</v>
      </c>
      <c r="H54" s="2" cm="1">
        <f t="array" aca="1" ref="H54" ca="1">_FV(table1[[#This Row],[DataField]],"52 week high",TRUE)</f>
        <v>125.14</v>
      </c>
      <c r="I54" s="4" cm="1">
        <f t="array" aca="1" ref="I54" ca="1">_FV(table1[[#This Row],[DataField]],"P/E",TRUE)</f>
        <v>15.9687</v>
      </c>
      <c r="J54" s="2" t="str">
        <f ca="1">IF(table1[[#This Row],[Price]] &lt; (table1[[#This Row],[52Low]] * 0.25) + table1[[#This Row],[52Low]],  "TRUE", "FALSE")</f>
        <v>FALSE</v>
      </c>
      <c r="K54" s="2" t="str">
        <f ca="1">IF(table1[[#This Row],[Price]] &lt; (table1[[#This Row],[52Low]] * 0.1) + table1[[#This Row],[52Low]],  "TRUE", "FALSE")</f>
        <v>FALSE</v>
      </c>
      <c r="L54" s="6" cm="1">
        <f t="array" aca="1" ref="L54" ca="1">_FV(table1[[#This Row],[DataField]],"Market cap",TRUE)</f>
        <v>287267226480</v>
      </c>
    </row>
    <row r="55" spans="1:12" x14ac:dyDescent="0.2">
      <c r="A55" t="e" vm="54">
        <v>#VALUE!</v>
      </c>
      <c r="B55" t="str" cm="1">
        <f t="array" aca="1" ref="B55" ca="1">_FV(table1[[#This Row],[DataField]],"Ticker symbol",TRUE)</f>
        <v>AOS</v>
      </c>
      <c r="F55" s="2" cm="1">
        <f t="array" aca="1" ref="F55" ca="1">_FV(table1[[#This Row],[DataField]],"Price")</f>
        <v>65.435000000000002</v>
      </c>
      <c r="G55" s="2" cm="1">
        <f t="array" aca="1" ref="G55" ca="1">_FV(table1[[#This Row],[DataField]],"52 week low",TRUE)</f>
        <v>58.83</v>
      </c>
      <c r="H55" s="2" cm="1">
        <f t="array" aca="1" ref="H55" ca="1">_FV(table1[[#This Row],[DataField]],"52 week high",TRUE)</f>
        <v>81.864999999999995</v>
      </c>
      <c r="I55" s="4" cm="1">
        <f t="array" aca="1" ref="I55" ca="1">_FV(table1[[#This Row],[DataField]],"P/E",TRUE)</f>
        <v>17.007999999999999</v>
      </c>
      <c r="J55" s="2" t="str">
        <f ca="1">IF(table1[[#This Row],[Price]] &lt; (table1[[#This Row],[52Low]] * 0.25) + table1[[#This Row],[52Low]],  "TRUE", "FALSE")</f>
        <v>TRUE</v>
      </c>
      <c r="K55" s="2" t="str">
        <f ca="1">IF(table1[[#This Row],[Price]] &lt; (table1[[#This Row],[52Low]] * 0.1) + table1[[#This Row],[52Low]],  "TRUE", "FALSE")</f>
        <v>FALSE</v>
      </c>
      <c r="L55" s="6" cm="1">
        <f t="array" aca="1" ref="L55" ca="1">_FV(table1[[#This Row],[DataField]],"Market cap",TRUE)</f>
        <v>9045721313</v>
      </c>
    </row>
    <row r="56" spans="1:12" x14ac:dyDescent="0.2">
      <c r="A56" t="e" vm="55">
        <v>#VALUE!</v>
      </c>
      <c r="B56" t="str" cm="1">
        <f t="array" aca="1" ref="B56" ca="1">_FV(table1[[#This Row],[DataField]],"Ticker symbol",TRUE)</f>
        <v>DEO</v>
      </c>
      <c r="F56" s="2" cm="1">
        <f t="array" aca="1" ref="F56" ca="1">_FV(table1[[#This Row],[DataField]],"Price")</f>
        <v>74.743300000000005</v>
      </c>
      <c r="G56" s="2" cm="1">
        <f t="array" aca="1" ref="G56" ca="1">_FV(table1[[#This Row],[DataField]],"52 week low",TRUE)</f>
        <v>73.64</v>
      </c>
      <c r="H56" s="2" cm="1">
        <f t="array" aca="1" ref="H56" ca="1">_FV(table1[[#This Row],[DataField]],"52 week high",TRUE)</f>
        <v>116.69</v>
      </c>
      <c r="I56" s="4" cm="1">
        <f t="array" aca="1" ref="I56" ca="1">_FV(table1[[#This Row],[DataField]],"P/E",TRUE)</f>
        <v>17.2653</v>
      </c>
      <c r="J56" s="2" t="str">
        <f ca="1">IF(table1[[#This Row],[Price]] &lt; (table1[[#This Row],[52Low]] * 0.25) + table1[[#This Row],[52Low]],  "TRUE", "FALSE")</f>
        <v>TRUE</v>
      </c>
      <c r="K56" s="2" t="str">
        <f ca="1">IF(table1[[#This Row],[Price]] &lt; (table1[[#This Row],[52Low]] * 0.1) + table1[[#This Row],[52Low]],  "TRUE", "FALSE")</f>
        <v>TRUE</v>
      </c>
      <c r="L56" s="6" cm="1">
        <f t="array" aca="1" ref="L56" ca="1">_FV(table1[[#This Row],[DataField]],"Market cap",TRUE)</f>
        <v>41603092442</v>
      </c>
    </row>
    <row r="57" spans="1:12" x14ac:dyDescent="0.2">
      <c r="A57" t="e" vm="56">
        <v>#VALUE!</v>
      </c>
      <c r="B57" t="str" cm="1">
        <f t="array" aca="1" ref="B57" ca="1">_FV(table1[[#This Row],[DataField]],"Ticker symbol",TRUE)</f>
        <v>D</v>
      </c>
      <c r="F57" s="2" cm="1">
        <f t="array" aca="1" ref="F57" ca="1">_FV(table1[[#This Row],[DataField]],"Price")</f>
        <v>59.62</v>
      </c>
      <c r="G57" s="2" cm="1">
        <f t="array" aca="1" ref="G57" ca="1">_FV(table1[[#This Row],[DataField]],"52 week low",TRUE)</f>
        <v>48.07</v>
      </c>
      <c r="H57" s="2" cm="1">
        <f t="array" aca="1" ref="H57" ca="1">_FV(table1[[#This Row],[DataField]],"52 week high",TRUE)</f>
        <v>67.569900000000004</v>
      </c>
      <c r="I57" s="4" cm="1">
        <f t="array" aca="1" ref="I57" ca="1">_FV(table1[[#This Row],[DataField]],"P/E",TRUE)</f>
        <v>17.269100000000002</v>
      </c>
      <c r="J57" s="2" t="str">
        <f ca="1">IF(table1[[#This Row],[Price]] &lt; (table1[[#This Row],[52Low]] * 0.25) + table1[[#This Row],[52Low]],  "TRUE", "FALSE")</f>
        <v>TRUE</v>
      </c>
      <c r="K57" s="2" t="str">
        <f ca="1">IF(table1[[#This Row],[Price]] &lt; (table1[[#This Row],[52Low]] * 0.1) + table1[[#This Row],[52Low]],  "TRUE", "FALSE")</f>
        <v>FALSE</v>
      </c>
      <c r="L57" s="6" cm="1">
        <f t="array" aca="1" ref="L57" ca="1">_FV(table1[[#This Row],[DataField]],"Market cap",TRUE)</f>
        <v>52403875414</v>
      </c>
    </row>
    <row r="58" spans="1:12" x14ac:dyDescent="0.2">
      <c r="A58" t="e" vm="57">
        <v>#VALUE!</v>
      </c>
      <c r="B58" t="str" cm="1">
        <f t="array" aca="1" ref="B58" ca="1">_FV(table1[[#This Row],[DataField]],"Ticker symbol",TRUE)</f>
        <v>CNI</v>
      </c>
      <c r="F58" s="2" cm="1">
        <f t="array" aca="1" ref="F58" ca="1">_FV(table1[[#This Row],[DataField]],"Price")</f>
        <v>100.83750000000001</v>
      </c>
      <c r="G58" s="2" cm="1">
        <f t="array" aca="1" ref="G58" ca="1">_FV(table1[[#This Row],[DataField]],"52 week low",TRUE)</f>
        <v>90.74</v>
      </c>
      <c r="H58" s="2" cm="1">
        <f t="array" aca="1" ref="H58" ca="1">_FV(table1[[#This Row],[DataField]],"52 week high",TRUE)</f>
        <v>113.08499999999999</v>
      </c>
      <c r="I58" s="4" cm="1">
        <f t="array" aca="1" ref="I58" ca="1">_FV(table1[[#This Row],[DataField]],"P/E",TRUE)</f>
        <v>18.286899999999999</v>
      </c>
      <c r="J58" s="2" t="str">
        <f ca="1">IF(table1[[#This Row],[Price]] &lt; (table1[[#This Row],[52Low]] * 0.25) + table1[[#This Row],[52Low]],  "TRUE", "FALSE")</f>
        <v>TRUE</v>
      </c>
      <c r="K58" s="2" t="str">
        <f ca="1">IF(table1[[#This Row],[Price]] &lt; (table1[[#This Row],[52Low]] * 0.1) + table1[[#This Row],[52Low]],  "TRUE", "FALSE")</f>
        <v>FALSE</v>
      </c>
      <c r="L58" s="6" cm="1">
        <f t="array" aca="1" ref="L58" ca="1">_FV(table1[[#This Row],[DataField]],"Market cap",TRUE)</f>
        <v>64942908000</v>
      </c>
    </row>
    <row r="59" spans="1:12" x14ac:dyDescent="0.2">
      <c r="A59" t="e" vm="58">
        <v>#VALUE!</v>
      </c>
      <c r="B59" t="str" cm="1">
        <f t="array" aca="1" ref="B59" ca="1">_FV(table1[[#This Row],[DataField]],"Ticker symbol",TRUE)</f>
        <v>SNA</v>
      </c>
      <c r="F59" s="2" cm="1">
        <f t="array" aca="1" ref="F59" ca="1">_FV(table1[[#This Row],[DataField]],"Price")</f>
        <v>368.89499999999998</v>
      </c>
      <c r="G59" s="2" cm="1">
        <f t="array" aca="1" ref="G59" ca="1">_FV(table1[[#This Row],[DataField]],"52 week low",TRUE)</f>
        <v>289.81</v>
      </c>
      <c r="H59" s="2" cm="1">
        <f t="array" aca="1" ref="H59" ca="1">_FV(table1[[#This Row],[DataField]],"52 week high",TRUE)</f>
        <v>390.13</v>
      </c>
      <c r="I59" s="4" cm="1">
        <f t="array" aca="1" ref="I59" ca="1">_FV(table1[[#This Row],[DataField]],"P/E",TRUE)</f>
        <v>19.226500000000001</v>
      </c>
      <c r="J59" s="2" t="str">
        <f ca="1">IF(table1[[#This Row],[Price]] &lt; (table1[[#This Row],[52Low]] * 0.25) + table1[[#This Row],[52Low]],  "TRUE", "FALSE")</f>
        <v>FALSE</v>
      </c>
      <c r="K59" s="2" t="str">
        <f ca="1">IF(table1[[#This Row],[Price]] &lt; (table1[[#This Row],[52Low]] * 0.1) + table1[[#This Row],[52Low]],  "TRUE", "FALSE")</f>
        <v>FALSE</v>
      </c>
      <c r="L59" s="6" cm="1">
        <f t="array" aca="1" ref="L59" ca="1">_FV(table1[[#This Row],[DataField]],"Market cap",TRUE)</f>
        <v>19203692439</v>
      </c>
    </row>
    <row r="60" spans="1:12" x14ac:dyDescent="0.2">
      <c r="A60" t="e" vm="59">
        <v>#VALUE!</v>
      </c>
      <c r="B60" t="str" cm="1">
        <f t="array" aca="1" ref="B60" ca="1">_FV(table1[[#This Row],[DataField]],"Ticker symbol",TRUE)</f>
        <v>ZTS</v>
      </c>
      <c r="F60" s="2" cm="1">
        <f t="array" aca="1" ref="F60" ca="1">_FV(table1[[#This Row],[DataField]],"Price")</f>
        <v>116.65</v>
      </c>
      <c r="G60" s="2" cm="1">
        <f t="array" aca="1" ref="G60" ca="1">_FV(table1[[#This Row],[DataField]],"52 week low",TRUE)</f>
        <v>114.36</v>
      </c>
      <c r="H60" s="2" cm="1">
        <f t="array" aca="1" ref="H60" ca="1">_FV(table1[[#This Row],[DataField]],"52 week high",TRUE)</f>
        <v>172.23</v>
      </c>
      <c r="I60" s="4" cm="1">
        <f t="array" aca="1" ref="I60" ca="1">_FV(table1[[#This Row],[DataField]],"P/E",TRUE)</f>
        <v>19.3706</v>
      </c>
      <c r="J60" s="2" t="str">
        <f ca="1">IF(table1[[#This Row],[Price]] &lt; (table1[[#This Row],[52Low]] * 0.25) + table1[[#This Row],[52Low]],  "TRUE", "FALSE")</f>
        <v>TRUE</v>
      </c>
      <c r="K60" s="2" t="str">
        <f ca="1">IF(table1[[#This Row],[Price]] &lt; (table1[[#This Row],[52Low]] * 0.1) + table1[[#This Row],[52Low]],  "TRUE", "FALSE")</f>
        <v>TRUE</v>
      </c>
      <c r="L60" s="6" cm="1">
        <f t="array" aca="1" ref="L60" ca="1">_FV(table1[[#This Row],[DataField]],"Market cap",TRUE)</f>
        <v>49241196205</v>
      </c>
    </row>
    <row r="61" spans="1:12" x14ac:dyDescent="0.2">
      <c r="A61" t="e" vm="60">
        <v>#VALUE!</v>
      </c>
      <c r="B61" t="str" cm="1">
        <f t="array" aca="1" ref="B61" ca="1">_FV(table1[[#This Row],[DataField]],"Ticker symbol",TRUE)</f>
        <v>ED</v>
      </c>
      <c r="F61" s="2" cm="1">
        <f t="array" aca="1" ref="F61" ca="1">_FV(table1[[#This Row],[DataField]],"Price")</f>
        <v>109.41</v>
      </c>
      <c r="G61" s="2" cm="1">
        <f t="array" aca="1" ref="G61" ca="1">_FV(table1[[#This Row],[DataField]],"52 week low",TRUE)</f>
        <v>94.96</v>
      </c>
      <c r="H61" s="2" cm="1">
        <f t="array" aca="1" ref="H61" ca="1">_FV(table1[[#This Row],[DataField]],"52 week high",TRUE)</f>
        <v>116.23</v>
      </c>
      <c r="I61" s="4" cm="1">
        <f t="array" aca="1" ref="I61" ca="1">_FV(table1[[#This Row],[DataField]],"P/E",TRUE)</f>
        <v>19.353300000000001</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39530128407</v>
      </c>
    </row>
    <row r="62" spans="1:12" x14ac:dyDescent="0.2">
      <c r="A62" t="e" vm="61">
        <v>#VALUE!</v>
      </c>
      <c r="B62" t="str" cm="1">
        <f t="array" aca="1" ref="B62" ca="1">_FV(table1[[#This Row],[DataField]],"Ticker symbol",TRUE)</f>
        <v>UNP</v>
      </c>
      <c r="F62" s="2" cm="1">
        <f t="array" aca="1" ref="F62" ca="1">_FV(table1[[#This Row],[DataField]],"Price")</f>
        <v>239.95</v>
      </c>
      <c r="G62" s="2" cm="1">
        <f t="array" aca="1" ref="G62" ca="1">_FV(table1[[#This Row],[DataField]],"52 week low",TRUE)</f>
        <v>204.66</v>
      </c>
      <c r="H62" s="2" cm="1">
        <f t="array" aca="1" ref="H62" ca="1">_FV(table1[[#This Row],[DataField]],"52 week high",TRUE)</f>
        <v>268.14</v>
      </c>
      <c r="I62" s="4" cm="1">
        <f t="array" aca="1" ref="I62" ca="1">_FV(table1[[#This Row],[DataField]],"P/E",TRUE)</f>
        <v>20.023700000000002</v>
      </c>
      <c r="J62" s="2" t="str">
        <f ca="1">IF(table1[[#This Row],[Price]] &lt; (table1[[#This Row],[52Low]] * 0.25) + table1[[#This Row],[52Low]],  "TRUE", "FALSE")</f>
        <v>TRUE</v>
      </c>
      <c r="K62" s="2" t="str">
        <f ca="1">IF(table1[[#This Row],[Price]] &lt; (table1[[#This Row],[52Low]] * 0.1) + table1[[#This Row],[52Low]],  "TRUE", "FALSE")</f>
        <v>FALSE</v>
      </c>
      <c r="L62" s="6" cm="1">
        <f t="array" aca="1" ref="L62" ca="1">_FV(table1[[#This Row],[DataField]],"Market cap",TRUE)</f>
        <v>142384290425</v>
      </c>
    </row>
    <row r="63" spans="1:12" x14ac:dyDescent="0.2">
      <c r="A63" t="e" vm="62">
        <v>#VALUE!</v>
      </c>
      <c r="B63" t="str" cm="1">
        <f t="array" aca="1" ref="B63" ca="1">_FV(table1[[#This Row],[DataField]],"Ticker symbol",TRUE)</f>
        <v>FDX</v>
      </c>
      <c r="F63" s="2" cm="1">
        <f t="array" aca="1" ref="F63" ca="1">_FV(table1[[#This Row],[DataField]],"Price")</f>
        <v>364.16</v>
      </c>
      <c r="G63" s="2" cm="1">
        <f t="array" aca="1" ref="G63" ca="1">_FV(table1[[#This Row],[DataField]],"52 week low",TRUE)</f>
        <v>194.29499999999999</v>
      </c>
      <c r="H63" s="2" cm="1">
        <f t="array" aca="1" ref="H63" ca="1">_FV(table1[[#This Row],[DataField]],"52 week high",TRUE)</f>
        <v>392.86</v>
      </c>
      <c r="I63" s="4" cm="1">
        <f t="array" aca="1" ref="I63" ca="1">_FV(table1[[#This Row],[DataField]],"P/E",TRUE)</f>
        <v>20.102699999999999</v>
      </c>
      <c r="J63" s="2" t="str">
        <f ca="1">IF(table1[[#This Row],[Price]] &lt; (table1[[#This Row],[52Low]] * 0.25) + table1[[#This Row],[52Low]],  "TRUE", "FALSE")</f>
        <v>FALSE</v>
      </c>
      <c r="K63" s="2" t="str">
        <f ca="1">IF(table1[[#This Row],[Price]] &lt; (table1[[#This Row],[52Low]] * 0.1) + table1[[#This Row],[52Low]],  "TRUE", "FALSE")</f>
        <v>FALSE</v>
      </c>
      <c r="L63" s="6" cm="1">
        <f t="array" aca="1" ref="L63" ca="1">_FV(table1[[#This Row],[DataField]],"Market cap",TRUE)</f>
        <v>86891052288</v>
      </c>
    </row>
    <row r="64" spans="1:12" x14ac:dyDescent="0.2">
      <c r="A64" t="e" vm="63">
        <v>#VALUE!</v>
      </c>
      <c r="B64" t="str" cm="1">
        <f t="array" aca="1" ref="B64" ca="1">_FV(table1[[#This Row],[DataField]],"Ticker symbol",TRUE)</f>
        <v>PFE</v>
      </c>
      <c r="F64" s="2" cm="1">
        <f t="array" aca="1" ref="F64" ca="1">_FV(table1[[#This Row],[DataField]],"Price")</f>
        <v>26.82</v>
      </c>
      <c r="G64" s="2" cm="1">
        <f t="array" aca="1" ref="G64" ca="1">_FV(table1[[#This Row],[DataField]],"52 week low",TRUE)</f>
        <v>20.914999999999999</v>
      </c>
      <c r="H64" s="2" cm="1">
        <f t="array" aca="1" ref="H64" ca="1">_FV(table1[[#This Row],[DataField]],"52 week high",TRUE)</f>
        <v>27.94</v>
      </c>
      <c r="I64" s="4" cm="1">
        <f t="array" aca="1" ref="I64" ca="1">_FV(table1[[#This Row],[DataField]],"P/E",TRUE)</f>
        <v>19.780200000000001</v>
      </c>
      <c r="J64" s="2" t="str">
        <f ca="1">IF(table1[[#This Row],[Price]] &lt; (table1[[#This Row],[52Low]] * 0.25) + table1[[#This Row],[52Low]],  "TRUE", "FALSE")</f>
        <v>FALSE</v>
      </c>
      <c r="K64" s="2" t="str">
        <f ca="1">IF(table1[[#This Row],[Price]] &lt; (table1[[#This Row],[52Low]] * 0.1) + table1[[#This Row],[52Low]],  "TRUE", "FALSE")</f>
        <v>FALSE</v>
      </c>
      <c r="L64" s="6" cm="1">
        <f t="array" aca="1" ref="L64" ca="1">_FV(table1[[#This Row],[DataField]],"Market cap",TRUE)</f>
        <v>152561707920</v>
      </c>
    </row>
    <row r="65" spans="1:12" x14ac:dyDescent="0.2">
      <c r="A65" t="e" vm="64">
        <v>#VALUE!</v>
      </c>
      <c r="B65" t="str" cm="1">
        <f t="array" aca="1" ref="B65" ca="1">_FV(table1[[#This Row],[DataField]],"Ticker symbol",TRUE)</f>
        <v>DUK</v>
      </c>
      <c r="F65" s="2" cm="1">
        <f t="array" aca="1" ref="F65" ca="1">_FV(table1[[#This Row],[DataField]],"Price")</f>
        <v>127.33</v>
      </c>
      <c r="G65" s="2" cm="1">
        <f t="array" aca="1" ref="G65" ca="1">_FV(table1[[#This Row],[DataField]],"52 week low",TRUE)</f>
        <v>111.22</v>
      </c>
      <c r="H65" s="2" cm="1">
        <f t="array" aca="1" ref="H65" ca="1">_FV(table1[[#This Row],[DataField]],"52 week high",TRUE)</f>
        <v>134.49</v>
      </c>
      <c r="I65" s="4" cm="1">
        <f t="array" aca="1" ref="I65" ca="1">_FV(table1[[#This Row],[DataField]],"P/E",TRUE)</f>
        <v>20.142700000000001</v>
      </c>
      <c r="J65" s="2" t="str">
        <f ca="1">IF(table1[[#This Row],[Price]] &lt; (table1[[#This Row],[52Low]] * 0.25) + table1[[#This Row],[52Low]],  "TRUE", "FALSE")</f>
        <v>TRUE</v>
      </c>
      <c r="K65" s="2" t="str">
        <f ca="1">IF(table1[[#This Row],[Price]] &lt; (table1[[#This Row],[52Low]] * 0.1) + table1[[#This Row],[52Low]],  "TRUE", "FALSE")</f>
        <v>FALSE</v>
      </c>
      <c r="L65" s="6" cm="1">
        <f t="array" aca="1" ref="L65" ca="1">_FV(table1[[#This Row],[DataField]],"Market cap",TRUE)</f>
        <v>99020835697</v>
      </c>
    </row>
    <row r="66" spans="1:12" x14ac:dyDescent="0.2">
      <c r="A66" t="e" vm="65">
        <v>#VALUE!</v>
      </c>
      <c r="B66" t="str" cm="1">
        <f t="array" aca="1" ref="B66" ca="1">_FV(table1[[#This Row],[DataField]],"Ticker symbol",TRUE)</f>
        <v>SCHW</v>
      </c>
      <c r="F66" s="2" cm="1">
        <f t="array" aca="1" ref="F66" ca="1">_FV(table1[[#This Row],[DataField]],"Price")</f>
        <v>95.534999999999997</v>
      </c>
      <c r="G66" s="2" cm="1">
        <f t="array" aca="1" ref="G66" ca="1">_FV(table1[[#This Row],[DataField]],"52 week low",TRUE)</f>
        <v>65.88</v>
      </c>
      <c r="H66" s="2" cm="1">
        <f t="array" aca="1" ref="H66" ca="1">_FV(table1[[#This Row],[DataField]],"52 week high",TRUE)</f>
        <v>107.5</v>
      </c>
      <c r="I66" s="4" cm="1">
        <f t="array" aca="1" ref="I66" ca="1">_FV(table1[[#This Row],[DataField]],"P/E",TRUE)</f>
        <v>20.488800000000001</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167397382350</v>
      </c>
    </row>
    <row r="67" spans="1:12" x14ac:dyDescent="0.2">
      <c r="A67" t="e" vm="66">
        <v>#VALUE!</v>
      </c>
      <c r="B67" t="str" cm="1">
        <f t="array" aca="1" ref="B67" ca="1">_FV(table1[[#This Row],[DataField]],"Ticker symbol",TRUE)</f>
        <v>FLO</v>
      </c>
      <c r="F67" s="2" cm="1">
        <f t="array" aca="1" ref="F67" ca="1">_FV(table1[[#This Row],[DataField]],"Price")</f>
        <v>8.3699999999999992</v>
      </c>
      <c r="G67" s="2" cm="1">
        <f t="array" aca="1" ref="G67" ca="1">_FV(table1[[#This Row],[DataField]],"52 week low",TRUE)</f>
        <v>8.17</v>
      </c>
      <c r="H67" s="2" cm="1">
        <f t="array" aca="1" ref="H67" ca="1">_FV(table1[[#This Row],[DataField]],"52 week high",TRUE)</f>
        <v>20.23</v>
      </c>
      <c r="I67" s="4" cm="1">
        <f t="array" aca="1" ref="I67" ca="1">_FV(table1[[#This Row],[DataField]],"P/E",TRUE)</f>
        <v>21.179099999999998</v>
      </c>
      <c r="J67" s="2" t="str">
        <f ca="1">IF(table1[[#This Row],[Price]] &lt; (table1[[#This Row],[52Low]] * 0.25) + table1[[#This Row],[52Low]],  "TRUE", "FALSE")</f>
        <v>TRUE</v>
      </c>
      <c r="K67" s="2" t="str">
        <f ca="1">IF(table1[[#This Row],[Price]] &lt; (table1[[#This Row],[52Low]] * 0.1) + table1[[#This Row],[52Low]],  "TRUE", "FALSE")</f>
        <v>TRUE</v>
      </c>
      <c r="L67" s="6" cm="1">
        <f t="array" aca="1" ref="L67" ca="1">_FV(table1[[#This Row],[DataField]],"Market cap",TRUE)</f>
        <v>1770709490</v>
      </c>
    </row>
    <row r="68" spans="1:12" x14ac:dyDescent="0.2">
      <c r="A68" t="e" vm="67">
        <v>#VALUE!</v>
      </c>
      <c r="B68" t="str" cm="1">
        <f t="array" aca="1" ref="B68" ca="1">_FV(table1[[#This Row],[DataField]],"Ticker symbol",TRUE)</f>
        <v>NSRGY</v>
      </c>
      <c r="F68" s="2" cm="1">
        <f t="array" aca="1" ref="F68" ca="1">_FV(table1[[#This Row],[DataField]],"Price")</f>
        <v>96.39</v>
      </c>
      <c r="G68" s="2" cm="1">
        <f t="array" aca="1" ref="G68" ca="1">_FV(table1[[#This Row],[DataField]],"52 week low",TRUE)</f>
        <v>86.98</v>
      </c>
      <c r="H68" s="2" cm="1">
        <f t="array" aca="1" ref="H68" ca="1">_FV(table1[[#This Row],[DataField]],"52 week high",TRUE)</f>
        <v>109.59</v>
      </c>
      <c r="I68" s="4" cm="1">
        <f t="array" aca="1" ref="I68" ca="1">_FV(table1[[#This Row],[DataField]],"P/E",TRUE)</f>
        <v>21.753499999999999</v>
      </c>
      <c r="J68" s="2" t="str">
        <f ca="1">IF(table1[[#This Row],[Price]] &lt; (table1[[#This Row],[52Low]] * 0.25) + table1[[#This Row],[52Low]],  "TRUE", "FALSE")</f>
        <v>TRUE</v>
      </c>
      <c r="K68" s="7" t="str">
        <f ca="1">IF(table1[[#This Row],[Price]] &lt; (table1[[#This Row],[52Low]] * 0.1) + table1[[#This Row],[52Low]],  "TRUE", "FALSE")</f>
        <v>FALSE</v>
      </c>
      <c r="L68" s="6" cm="1">
        <f t="array" aca="1" ref="L68" ca="1">_FV(table1[[#This Row],[DataField]],"Market cap",TRUE)</f>
        <v>248350762800</v>
      </c>
    </row>
    <row r="69" spans="1:12" x14ac:dyDescent="0.2">
      <c r="A69" t="e" vm="68">
        <v>#VALUE!</v>
      </c>
      <c r="B69" t="str" cm="1">
        <f t="array" aca="1" ref="B69" ca="1">_FV(table1[[#This Row],[DataField]],"Ticker symbol",TRUE)</f>
        <v>TSCO</v>
      </c>
      <c r="F69" s="2" cm="1">
        <f t="array" aca="1" ref="F69" ca="1">_FV(table1[[#This Row],[DataField]],"Price")</f>
        <v>46.03</v>
      </c>
      <c r="G69" s="2" cm="1">
        <f t="array" aca="1" ref="G69" ca="1">_FV(table1[[#This Row],[DataField]],"52 week low",TRUE)</f>
        <v>45.45</v>
      </c>
      <c r="H69" s="2" cm="1">
        <f t="array" aca="1" ref="H69" ca="1">_FV(table1[[#This Row],[DataField]],"52 week high",TRUE)</f>
        <v>63.989899999999999</v>
      </c>
      <c r="I69" s="4" cm="1">
        <f t="array" aca="1" ref="I69" ca="1">_FV(table1[[#This Row],[DataField]],"P/E",TRUE)</f>
        <v>22.345700000000001</v>
      </c>
      <c r="J69" s="2" t="str">
        <f ca="1">IF(table1[[#This Row],[Price]] &lt; (table1[[#This Row],[52Low]] * 0.25) + table1[[#This Row],[52Low]],  "TRUE", "FALSE")</f>
        <v>TRUE</v>
      </c>
      <c r="K69" s="7" t="str">
        <f ca="1">IF(table1[[#This Row],[Price]] &lt; (table1[[#This Row],[52Low]] * 0.1) + table1[[#This Row],[52Low]],  "TRUE", "FALSE")</f>
        <v>TRUE</v>
      </c>
      <c r="L69" s="6" cm="1">
        <f t="array" aca="1" ref="L69" ca="1">_FV(table1[[#This Row],[DataField]],"Market cap",TRUE)</f>
        <v>24227950339</v>
      </c>
    </row>
    <row r="70" spans="1:12" x14ac:dyDescent="0.2">
      <c r="A70" t="e" vm="69">
        <v>#VALUE!</v>
      </c>
      <c r="B70" t="str" cm="1">
        <f t="array" aca="1" ref="B70" ca="1">_FV(table1[[#This Row],[DataField]],"Ticker symbol",TRUE)</f>
        <v>PM</v>
      </c>
      <c r="F70" s="2" cm="1">
        <f t="array" aca="1" ref="F70" ca="1">_FV(table1[[#This Row],[DataField]],"Price")</f>
        <v>164.12</v>
      </c>
      <c r="G70" s="2" cm="1">
        <f t="array" aca="1" ref="G70" ca="1">_FV(table1[[#This Row],[DataField]],"52 week low",TRUE)</f>
        <v>142.11000000000001</v>
      </c>
      <c r="H70" s="2" cm="1">
        <f t="array" aca="1" ref="H70" ca="1">_FV(table1[[#This Row],[DataField]],"52 week high",TRUE)</f>
        <v>191.3</v>
      </c>
      <c r="I70" s="4" cm="1">
        <f t="array" aca="1" ref="I70" ca="1">_FV(table1[[#This Row],[DataField]],"P/E",TRUE)</f>
        <v>22.5961</v>
      </c>
      <c r="J70" s="2" t="str">
        <f ca="1">IF(table1[[#This Row],[Price]] &lt; (table1[[#This Row],[52Low]] * 0.25) + table1[[#This Row],[52Low]],  "TRUE", "FALSE")</f>
        <v>TRUE</v>
      </c>
      <c r="K70" s="7" t="str">
        <f ca="1">IF(table1[[#This Row],[Price]] &lt; (table1[[#This Row],[52Low]] * 0.1) + table1[[#This Row],[52Low]],  "TRUE", "FALSE")</f>
        <v>FALSE</v>
      </c>
      <c r="L70" s="6" cm="1">
        <f t="array" aca="1" ref="L70" ca="1">_FV(table1[[#This Row],[DataField]],"Market cap",TRUE)</f>
        <v>255482321600</v>
      </c>
    </row>
    <row r="71" spans="1:12" x14ac:dyDescent="0.2">
      <c r="A71" t="e" vm="70">
        <v>#VALUE!</v>
      </c>
      <c r="B71" t="str" cm="1">
        <f t="array" aca="1" ref="B71" ca="1">_FV(table1[[#This Row],[DataField]],"Ticker symbol",TRUE)</f>
        <v>MMM</v>
      </c>
      <c r="F71" s="2" cm="1">
        <f t="array" aca="1" ref="F71" ca="1">_FV(table1[[#This Row],[DataField]],"Price")</f>
        <v>147.5692</v>
      </c>
      <c r="G71" s="2" cm="1">
        <f t="array" aca="1" ref="G71" ca="1">_FV(table1[[#This Row],[DataField]],"52 week low",TRUE)</f>
        <v>121.97709999999999</v>
      </c>
      <c r="H71" s="2" cm="1">
        <f t="array" aca="1" ref="H71" ca="1">_FV(table1[[#This Row],[DataField]],"52 week high",TRUE)</f>
        <v>177.41</v>
      </c>
      <c r="I71" s="4" cm="1">
        <f t="array" aca="1" ref="I71" ca="1">_FV(table1[[#This Row],[DataField]],"P/E",TRUE)</f>
        <v>24.6129</v>
      </c>
      <c r="J71" s="2" t="str">
        <f ca="1">IF(table1[[#This Row],[Price]] &lt; (table1[[#This Row],[52Low]] * 0.25) + table1[[#This Row],[52Low]],  "TRUE", "FALSE")</f>
        <v>TRUE</v>
      </c>
      <c r="K71" s="2" t="str">
        <f ca="1">IF(table1[[#This Row],[Price]] &lt; (table1[[#This Row],[52Low]] * 0.1) + table1[[#This Row],[52Low]],  "TRUE", "FALSE")</f>
        <v>FALSE</v>
      </c>
      <c r="L71" s="6" cm="1">
        <f t="array" aca="1" ref="L71" ca="1">_FV(table1[[#This Row],[DataField]],"Market cap",TRUE)</f>
        <v>77724697640</v>
      </c>
    </row>
    <row r="72" spans="1:12" x14ac:dyDescent="0.2">
      <c r="A72" t="e" vm="71">
        <v>#VALUE!</v>
      </c>
      <c r="B72" t="str" cm="1">
        <f t="array" aca="1" ref="B72" ca="1">_FV(table1[[#This Row],[DataField]],"Ticker symbol",TRUE)</f>
        <v>AWK</v>
      </c>
      <c r="F72" s="2" cm="1">
        <f t="array" aca="1" ref="F72" ca="1">_FV(table1[[#This Row],[DataField]],"Price")</f>
        <v>136.09</v>
      </c>
      <c r="G72" s="2" cm="1">
        <f t="array" aca="1" ref="G72" ca="1">_FV(table1[[#This Row],[DataField]],"52 week low",TRUE)</f>
        <v>121.27500000000001</v>
      </c>
      <c r="H72" s="2" cm="1">
        <f t="array" aca="1" ref="H72" ca="1">_FV(table1[[#This Row],[DataField]],"52 week high",TRUE)</f>
        <v>155.5</v>
      </c>
      <c r="I72" s="4" cm="1">
        <f t="array" aca="1" ref="I72" ca="1">_FV(table1[[#This Row],[DataField]],"P/E",TRUE)</f>
        <v>23.886299999999999</v>
      </c>
      <c r="J72" s="2" t="str">
        <f ca="1">IF(table1[[#This Row],[Price]] &lt; (table1[[#This Row],[52Low]] * 0.25) + table1[[#This Row],[52Low]],  "TRUE", "FALSE")</f>
        <v>TRUE</v>
      </c>
      <c r="K72" s="2" t="str">
        <f ca="1">IF(table1[[#This Row],[Price]] &lt; (table1[[#This Row],[52Low]] * 0.1) + table1[[#This Row],[52Low]],  "TRUE", "FALSE")</f>
        <v>FALSE</v>
      </c>
      <c r="L72" s="6" cm="1">
        <f t="array" aca="1" ref="L72" ca="1">_FV(table1[[#This Row],[DataField]],"Market cap",TRUE)</f>
        <v>26565951983</v>
      </c>
    </row>
    <row r="73" spans="1:12" x14ac:dyDescent="0.2">
      <c r="A73" t="e" vm="72">
        <v>#VALUE!</v>
      </c>
      <c r="B73" t="str" cm="1">
        <f t="array" aca="1" ref="B73" ca="1">_FV(table1[[#This Row],[DataField]],"Ticker symbol",TRUE)</f>
        <v>SO</v>
      </c>
      <c r="F73" s="2" cm="1">
        <f t="array" aca="1" ref="F73" ca="1">_FV(table1[[#This Row],[DataField]],"Price")</f>
        <v>94.14</v>
      </c>
      <c r="G73" s="2" cm="1">
        <f t="array" aca="1" ref="G73" ca="1">_FV(table1[[#This Row],[DataField]],"52 week low",TRUE)</f>
        <v>83.09</v>
      </c>
      <c r="H73" s="2" cm="1">
        <f t="array" aca="1" ref="H73" ca="1">_FV(table1[[#This Row],[DataField]],"52 week high",TRUE)</f>
        <v>100.83499999999999</v>
      </c>
      <c r="I73" s="4" cm="1">
        <f t="array" aca="1" ref="I73" ca="1">_FV(table1[[#This Row],[DataField]],"P/E",TRUE)</f>
        <v>24.0337</v>
      </c>
      <c r="J73" s="2" t="str">
        <f ca="1">IF(table1[[#This Row],[Price]] &lt; (table1[[#This Row],[52Low]] * 0.25) + table1[[#This Row],[52Low]],  "TRUE", "FALSE")</f>
        <v>TRUE</v>
      </c>
      <c r="K73" s="2" t="str">
        <f ca="1">IF(table1[[#This Row],[Price]] &lt; (table1[[#This Row],[52Low]] * 0.1) + table1[[#This Row],[52Low]],  "TRUE", "FALSE")</f>
        <v>FALSE</v>
      </c>
      <c r="L73" s="6" cm="1">
        <f t="array" aca="1" ref="L73" ca="1">_FV(table1[[#This Row],[DataField]],"Market cap",TRUE)</f>
        <v>105379468740</v>
      </c>
    </row>
    <row r="74" spans="1:12" x14ac:dyDescent="0.2">
      <c r="A74" t="e" vm="73">
        <v>#VALUE!</v>
      </c>
      <c r="B74" t="str" cm="1">
        <f t="array" aca="1" ref="B74" ca="1">_FV(table1[[#This Row],[DataField]],"Ticker symbol",TRUE)</f>
        <v>NOC</v>
      </c>
      <c r="F74" s="2" cm="1">
        <f t="array" aca="1" ref="F74" ca="1">_FV(table1[[#This Row],[DataField]],"Price")</f>
        <v>700.5</v>
      </c>
      <c r="G74" s="2" cm="1">
        <f t="array" aca="1" ref="G74" ca="1">_FV(table1[[#This Row],[DataField]],"52 week low",TRUE)</f>
        <v>450.13</v>
      </c>
      <c r="H74" s="2" cm="1">
        <f t="array" aca="1" ref="H74" ca="1">_FV(table1[[#This Row],[DataField]],"52 week high",TRUE)</f>
        <v>774</v>
      </c>
      <c r="I74" s="4" cm="1">
        <f t="array" aca="1" ref="I74" ca="1">_FV(table1[[#This Row],[DataField]],"P/E",TRUE)</f>
        <v>24.087</v>
      </c>
      <c r="J74" s="2" t="str">
        <f ca="1">IF(table1[[#This Row],[Price]] &lt; (table1[[#This Row],[52Low]] * 0.25) + table1[[#This Row],[52Low]],  "TRUE", "FALSE")</f>
        <v>FALSE</v>
      </c>
      <c r="K74" s="2" t="str">
        <f ca="1">IF(table1[[#This Row],[Price]] &lt; (table1[[#This Row],[52Low]] * 0.1) + table1[[#This Row],[52Low]],  "TRUE", "FALSE")</f>
        <v>FALSE</v>
      </c>
      <c r="L74" s="6" cm="1">
        <f t="array" aca="1" ref="L74" ca="1">_FV(table1[[#This Row],[DataField]],"Market cap",TRUE)</f>
        <v>99416080800</v>
      </c>
    </row>
    <row r="75" spans="1:12" x14ac:dyDescent="0.2">
      <c r="A75" t="e" vm="74">
        <v>#VALUE!</v>
      </c>
      <c r="B75" t="str" cm="1">
        <f t="array" aca="1" ref="B75" ca="1">_FV(table1[[#This Row],[DataField]],"Ticker symbol",TRUE)</f>
        <v>ITW</v>
      </c>
      <c r="F75" s="2" cm="1">
        <f t="array" aca="1" ref="F75" ca="1">_FV(table1[[#This Row],[DataField]],"Price")</f>
        <v>264.92</v>
      </c>
      <c r="G75" s="2" cm="1">
        <f t="array" aca="1" ref="G75" ca="1">_FV(table1[[#This Row],[DataField]],"52 week low",TRUE)</f>
        <v>214.66</v>
      </c>
      <c r="H75" s="2" cm="1">
        <f t="array" aca="1" ref="H75" ca="1">_FV(table1[[#This Row],[DataField]],"52 week high",TRUE)</f>
        <v>303.15499999999997</v>
      </c>
      <c r="I75" s="4" cm="1">
        <f t="array" aca="1" ref="I75" ca="1">_FV(table1[[#This Row],[DataField]],"P/E",TRUE)</f>
        <v>25.251200000000001</v>
      </c>
      <c r="J75" s="2" t="str">
        <f ca="1">IF(table1[[#This Row],[Price]] &lt; (table1[[#This Row],[52Low]] * 0.25) + table1[[#This Row],[52Low]],  "TRUE", "FALSE")</f>
        <v>TRUE</v>
      </c>
      <c r="K75" s="7" t="str">
        <f ca="1">IF(table1[[#This Row],[Price]] &lt; (table1[[#This Row],[52Low]] * 0.1) + table1[[#This Row],[52Low]],  "TRUE", "FALSE")</f>
        <v>FALSE</v>
      </c>
      <c r="L75" s="6" cm="1">
        <f t="array" aca="1" ref="L75" ca="1">_FV(table1[[#This Row],[DataField]],"Market cap",TRUE)</f>
        <v>76349944000</v>
      </c>
    </row>
    <row r="76" spans="1:12" x14ac:dyDescent="0.2">
      <c r="A76" t="e" vm="75">
        <v>#VALUE!</v>
      </c>
      <c r="B76" t="str" cm="1">
        <f t="array" aca="1" ref="B76" ca="1">_FV(table1[[#This Row],[DataField]],"Ticker symbol",TRUE)</f>
        <v>KO</v>
      </c>
      <c r="F76" s="2" cm="1">
        <f t="array" aca="1" ref="F76" ca="1">_FV(table1[[#This Row],[DataField]],"Price")</f>
        <v>75.194999999999993</v>
      </c>
      <c r="G76" s="2" cm="1">
        <f t="array" aca="1" ref="G76" ca="1">_FV(table1[[#This Row],[DataField]],"52 week low",TRUE)</f>
        <v>65.353800000000007</v>
      </c>
      <c r="H76" s="2" cm="1">
        <f t="array" aca="1" ref="H76" ca="1">_FV(table1[[#This Row],[DataField]],"52 week high",TRUE)</f>
        <v>82</v>
      </c>
      <c r="I76" s="4" cm="1">
        <f t="array" aca="1" ref="I76" ca="1">_FV(table1[[#This Row],[DataField]],"P/E",TRUE)</f>
        <v>24.743300000000001</v>
      </c>
      <c r="J76" s="2" t="str">
        <f ca="1">IF(table1[[#This Row],[Price]] &lt; (table1[[#This Row],[52Low]] * 0.25) + table1[[#This Row],[52Low]],  "TRUE", "FALSE")</f>
        <v>TRUE</v>
      </c>
      <c r="K76" s="2" t="str">
        <f ca="1">IF(table1[[#This Row],[Price]] &lt; (table1[[#This Row],[52Low]] * 0.1) + table1[[#This Row],[52Low]],  "TRUE", "FALSE")</f>
        <v>FALSE</v>
      </c>
      <c r="L76" s="6" cm="1">
        <f t="array" aca="1" ref="L76" ca="1">_FV(table1[[#This Row],[DataField]],"Market cap",TRUE)</f>
        <v>323650784835</v>
      </c>
    </row>
    <row r="77" spans="1:12" x14ac:dyDescent="0.2">
      <c r="A77" t="e" vm="76">
        <v>#VALUE!</v>
      </c>
      <c r="B77" t="str" cm="1">
        <f t="array" aca="1" ref="B77" ca="1">_FV(table1[[#This Row],[DataField]],"Ticker symbol",TRUE)</f>
        <v>HRL</v>
      </c>
      <c r="F77" s="2" cm="1">
        <f t="array" aca="1" ref="F77" ca="1">_FV(table1[[#This Row],[DataField]],"Price")</f>
        <v>22.315000000000001</v>
      </c>
      <c r="G77" s="2" cm="1">
        <f t="array" aca="1" ref="G77" ca="1">_FV(table1[[#This Row],[DataField]],"52 week low",TRUE)</f>
        <v>21.03</v>
      </c>
      <c r="H77" s="2" cm="1">
        <f t="array" aca="1" ref="H77" ca="1">_FV(table1[[#This Row],[DataField]],"52 week high",TRUE)</f>
        <v>32.07</v>
      </c>
      <c r="I77" s="4" cm="1">
        <f t="array" aca="1" ref="I77" ca="1">_FV(table1[[#This Row],[DataField]],"P/E",TRUE)</f>
        <v>25.1097</v>
      </c>
      <c r="J77" s="2" t="str">
        <f ca="1">IF(table1[[#This Row],[Price]] &lt; (table1[[#This Row],[52Low]] * 0.25) + table1[[#This Row],[52Low]],  "TRUE", "FALSE")</f>
        <v>TRUE</v>
      </c>
      <c r="K77" s="2" t="str">
        <f ca="1">IF(table1[[#This Row],[Price]] &lt; (table1[[#This Row],[52Low]] * 0.1) + table1[[#This Row],[52Low]],  "TRUE", "FALSE")</f>
        <v>TRUE</v>
      </c>
      <c r="L77" s="6" cm="1">
        <f t="array" aca="1" ref="L77" ca="1">_FV(table1[[#This Row],[DataField]],"Market cap",TRUE)</f>
        <v>12279591923</v>
      </c>
    </row>
    <row r="78" spans="1:12" x14ac:dyDescent="0.2">
      <c r="A78" t="e" vm="77">
        <v>#VALUE!</v>
      </c>
      <c r="B78" t="str" cm="1">
        <f t="array" aca="1" ref="B78" ca="1">_FV(table1[[#This Row],[DataField]],"Ticker symbol",TRUE)</f>
        <v>QCOM</v>
      </c>
      <c r="F78" s="2" cm="1">
        <f t="array" aca="1" ref="F78" ca="1">_FV(table1[[#This Row],[DataField]],"Price")</f>
        <v>130.24</v>
      </c>
      <c r="G78" s="2" cm="1">
        <f t="array" aca="1" ref="G78" ca="1">_FV(table1[[#This Row],[DataField]],"52 week low",TRUE)</f>
        <v>120.8019</v>
      </c>
      <c r="H78" s="2" cm="1">
        <f t="array" aca="1" ref="H78" ca="1">_FV(table1[[#This Row],[DataField]],"52 week high",TRUE)</f>
        <v>205.95</v>
      </c>
      <c r="I78" s="4" cm="1">
        <f t="array" aca="1" ref="I78" ca="1">_FV(table1[[#This Row],[DataField]],"P/E",TRUE)</f>
        <v>26.9069</v>
      </c>
      <c r="J78" s="2" t="str">
        <f ca="1">IF(table1[[#This Row],[Price]] &lt; (table1[[#This Row],[52Low]] * 0.25) + table1[[#This Row],[52Low]],  "TRUE", "FALSE")</f>
        <v>TRUE</v>
      </c>
      <c r="K78" s="2" t="str">
        <f ca="1">IF(table1[[#This Row],[Price]] &lt; (table1[[#This Row],[52Low]] * 0.1) + table1[[#This Row],[52Low]],  "TRUE", "FALSE")</f>
        <v>TRUE</v>
      </c>
      <c r="L78" s="6" cm="1">
        <f t="array" aca="1" ref="L78" ca="1">_FV(table1[[#This Row],[DataField]],"Market cap",TRUE)</f>
        <v>138966080000</v>
      </c>
    </row>
    <row r="79" spans="1:12" x14ac:dyDescent="0.2">
      <c r="A79" t="e" vm="78">
        <v>#VALUE!</v>
      </c>
      <c r="B79" t="str" cm="1">
        <f t="array" aca="1" ref="B79" ca="1">_FV(table1[[#This Row],[DataField]],"Ticker symbol",TRUE)</f>
        <v>SPGI</v>
      </c>
      <c r="F79" s="2" cm="1">
        <f t="array" aca="1" ref="F79" ca="1">_FV(table1[[#This Row],[DataField]],"Price")</f>
        <v>429.5</v>
      </c>
      <c r="G79" s="2" cm="1">
        <f t="array" aca="1" ref="G79" ca="1">_FV(table1[[#This Row],[DataField]],"52 week low",TRUE)</f>
        <v>381.60500000000002</v>
      </c>
      <c r="H79" s="2" cm="1">
        <f t="array" aca="1" ref="H79" ca="1">_FV(table1[[#This Row],[DataField]],"52 week high",TRUE)</f>
        <v>579.04999999999995</v>
      </c>
      <c r="I79" s="4" cm="1">
        <f t="array" aca="1" ref="I79" ca="1">_FV(table1[[#This Row],[DataField]],"P/E",TRUE)</f>
        <v>29.296800000000001</v>
      </c>
      <c r="J79" s="2" t="str">
        <f ca="1">IF(table1[[#This Row],[Price]] &lt; (table1[[#This Row],[52Low]] * 0.25) + table1[[#This Row],[52Low]],  "TRUE", "FALSE")</f>
        <v>TRUE</v>
      </c>
      <c r="K79" s="2" t="str">
        <f ca="1">IF(table1[[#This Row],[Price]] &lt; (table1[[#This Row],[52Low]] * 0.1) + table1[[#This Row],[52Low]],  "TRUE", "FALSE")</f>
        <v>FALSE</v>
      </c>
      <c r="L79" s="6" cm="1">
        <f t="array" aca="1" ref="L79" ca="1">_FV(table1[[#This Row],[DataField]],"Market cap",TRUE)</f>
        <v>128334600000</v>
      </c>
    </row>
    <row r="80" spans="1:12" x14ac:dyDescent="0.2">
      <c r="A80" t="e" vm="79">
        <v>#VALUE!</v>
      </c>
      <c r="B80" t="str" cm="1">
        <f t="array" aca="1" ref="B80" ca="1">_FV(table1[[#This Row],[DataField]],"Ticker symbol",TRUE)</f>
        <v>SHW</v>
      </c>
      <c r="F80" s="2" cm="1">
        <f t="array" aca="1" ref="F80" ca="1">_FV(table1[[#This Row],[DataField]],"Price")</f>
        <v>317.5</v>
      </c>
      <c r="G80" s="2" cm="1">
        <f t="array" aca="1" ref="G80" ca="1">_FV(table1[[#This Row],[DataField]],"52 week low",TRUE)</f>
        <v>301.58</v>
      </c>
      <c r="H80" s="2" cm="1">
        <f t="array" aca="1" ref="H80" ca="1">_FV(table1[[#This Row],[DataField]],"52 week high",TRUE)</f>
        <v>379.65</v>
      </c>
      <c r="I80" s="4" cm="1">
        <f t="array" aca="1" ref="I80" ca="1">_FV(table1[[#This Row],[DataField]],"P/E",TRUE)</f>
        <v>30.9527</v>
      </c>
      <c r="J80" s="2" t="str">
        <f ca="1">IF(table1[[#This Row],[Price]] &lt; (table1[[#This Row],[52Low]] * 0.25) + table1[[#This Row],[52Low]],  "TRUE", "FALSE")</f>
        <v>TRUE</v>
      </c>
      <c r="K80" s="2" t="str">
        <f ca="1">IF(table1[[#This Row],[Price]] &lt; (table1[[#This Row],[52Low]] * 0.1) + table1[[#This Row],[52Low]],  "TRUE", "FALSE")</f>
        <v>TRUE</v>
      </c>
      <c r="L80" s="6" cm="1">
        <f t="array" aca="1" ref="L80" ca="1">_FV(table1[[#This Row],[DataField]],"Market cap",TRUE)</f>
        <v>78537562000</v>
      </c>
    </row>
    <row r="81" spans="1:12" x14ac:dyDescent="0.2">
      <c r="A81" t="e" vm="80">
        <v>#VALUE!</v>
      </c>
      <c r="B81" t="str" cm="1">
        <f t="array" aca="1" ref="B81" ca="1">_FV(table1[[#This Row],[DataField]],"Ticker symbol",TRUE)</f>
        <v>INTU</v>
      </c>
      <c r="F81" s="2" cm="1">
        <f t="array" aca="1" ref="F81" ca="1">_FV(table1[[#This Row],[DataField]],"Price")</f>
        <v>456.14</v>
      </c>
      <c r="G81" s="2" cm="1">
        <f t="array" aca="1" ref="G81" ca="1">_FV(table1[[#This Row],[DataField]],"52 week low",TRUE)</f>
        <v>349</v>
      </c>
      <c r="H81" s="2" cm="1">
        <f t="array" aca="1" ref="H81" ca="1">_FV(table1[[#This Row],[DataField]],"52 week high",TRUE)</f>
        <v>813.7</v>
      </c>
      <c r="I81" s="4" cm="1">
        <f t="array" aca="1" ref="I81" ca="1">_FV(table1[[#This Row],[DataField]],"P/E",TRUE)</f>
        <v>29.671099999999999</v>
      </c>
      <c r="J81" s="2" t="str">
        <f ca="1">IF(table1[[#This Row],[Price]] &lt; (table1[[#This Row],[52Low]] * 0.25) + table1[[#This Row],[52Low]],  "TRUE", "FALSE")</f>
        <v>FALSE</v>
      </c>
      <c r="K81" s="2" t="str">
        <f ca="1">IF(table1[[#This Row],[Price]] &lt; (table1[[#This Row],[52Low]] * 0.1) + table1[[#This Row],[52Low]],  "TRUE", "FALSE")</f>
        <v>FALSE</v>
      </c>
      <c r="L81" s="6" cm="1">
        <f t="array" aca="1" ref="L81" ca="1">_FV(table1[[#This Row],[DataField]],"Market cap",TRUE)</f>
        <v>126145517000</v>
      </c>
    </row>
    <row r="82" spans="1:12" x14ac:dyDescent="0.2">
      <c r="A82" t="e" vm="81">
        <v>#VALUE!</v>
      </c>
      <c r="B82" t="str" cm="1">
        <f t="array" aca="1" ref="B82" ca="1">_FV(table1[[#This Row],[DataField]],"Ticker symbol",TRUE)</f>
        <v>MDLZ</v>
      </c>
      <c r="F82" s="2" cm="1">
        <f t="array" aca="1" ref="F82" ca="1">_FV(table1[[#This Row],[DataField]],"Price")</f>
        <v>57.14</v>
      </c>
      <c r="G82" s="2" cm="1">
        <f t="array" aca="1" ref="G82" ca="1">_FV(table1[[#This Row],[DataField]],"52 week low",TRUE)</f>
        <v>51.200800000000001</v>
      </c>
      <c r="H82" s="2" cm="1">
        <f t="array" aca="1" ref="H82" ca="1">_FV(table1[[#This Row],[DataField]],"52 week high",TRUE)</f>
        <v>71.150000000000006</v>
      </c>
      <c r="I82" s="4" cm="1">
        <f t="array" aca="1" ref="I82" ca="1">_FV(table1[[#This Row],[DataField]],"P/E",TRUE)</f>
        <v>30.2408</v>
      </c>
      <c r="J82" s="2" t="str">
        <f ca="1">IF(table1[[#This Row],[Price]] &lt; (table1[[#This Row],[52Low]] * 0.25) + table1[[#This Row],[52Low]],  "TRUE", "FALSE")</f>
        <v>TRUE</v>
      </c>
      <c r="K82" s="2" t="str">
        <f ca="1">IF(table1[[#This Row],[Price]] &lt; (table1[[#This Row],[52Low]] * 0.1) + table1[[#This Row],[52Low]],  "TRUE", "FALSE")</f>
        <v>FALSE</v>
      </c>
      <c r="L82" s="6" cm="1">
        <f t="array" aca="1" ref="L82" ca="1">_FV(table1[[#This Row],[DataField]],"Market cap",TRUE)</f>
        <v>73244680440</v>
      </c>
    </row>
    <row r="83" spans="1:12" x14ac:dyDescent="0.2">
      <c r="A83" t="e" vm="82">
        <v>#VALUE!</v>
      </c>
      <c r="B83" t="str" cm="1">
        <f t="array" aca="1" ref="B83" ca="1">_FV(table1[[#This Row],[DataField]],"Ticker symbol",TRUE)</f>
        <v>DE</v>
      </c>
      <c r="F83" s="2" cm="1">
        <f t="array" aca="1" ref="F83" ca="1">_FV(table1[[#This Row],[DataField]],"Price")</f>
        <v>567.47</v>
      </c>
      <c r="G83" s="2" cm="1">
        <f t="array" aca="1" ref="G83" ca="1">_FV(table1[[#This Row],[DataField]],"52 week low",TRUE)</f>
        <v>404.42</v>
      </c>
      <c r="H83" s="2" cm="1">
        <f t="array" aca="1" ref="H83" ca="1">_FV(table1[[#This Row],[DataField]],"52 week high",TRUE)</f>
        <v>674.18989999999997</v>
      </c>
      <c r="I83" s="4" cm="1">
        <f t="array" aca="1" ref="I83" ca="1">_FV(table1[[#This Row],[DataField]],"P/E",TRUE)</f>
        <v>31.9941</v>
      </c>
      <c r="J83" s="2" t="str">
        <f ca="1">IF(table1[[#This Row],[Price]] &lt; (table1[[#This Row],[52Low]] * 0.25) + table1[[#This Row],[52Low]],  "TRUE", "FALSE")</f>
        <v>FALSE</v>
      </c>
      <c r="K83" s="2" t="str">
        <f ca="1">IF(table1[[#This Row],[Price]] &lt; (table1[[#This Row],[52Low]] * 0.1) + table1[[#This Row],[52Low]],  "TRUE", "FALSE")</f>
        <v>FALSE</v>
      </c>
      <c r="L83" s="6" cm="1">
        <f t="array" aca="1" ref="L83" ca="1">_FV(table1[[#This Row],[DataField]],"Market cap",TRUE)</f>
        <v>153277789531</v>
      </c>
    </row>
    <row r="84" spans="1:12" ht="18" customHeight="1" x14ac:dyDescent="0.2">
      <c r="A84" t="e" vm="83">
        <v>#VALUE!</v>
      </c>
      <c r="B84" t="str" cm="1">
        <f t="array" aca="1" ref="B84" ca="1">_FV(table1[[#This Row],[DataField]],"Ticker symbol",TRUE)</f>
        <v>MCO</v>
      </c>
      <c r="F84" s="2" cm="1">
        <f t="array" aca="1" ref="F84" ca="1">_FV(table1[[#This Row],[DataField]],"Price")</f>
        <v>442.76</v>
      </c>
      <c r="G84" s="2" cm="1">
        <f t="array" aca="1" ref="G84" ca="1">_FV(table1[[#This Row],[DataField]],"52 week low",TRUE)</f>
        <v>378.71</v>
      </c>
      <c r="H84" s="2" cm="1">
        <f t="array" aca="1" ref="H84" ca="1">_FV(table1[[#This Row],[DataField]],"52 week high",TRUE)</f>
        <v>546.88</v>
      </c>
      <c r="I84" s="4" cm="1">
        <f t="array" aca="1" ref="I84" ca="1">_FV(table1[[#This Row],[DataField]],"P/E",TRUE)</f>
        <v>32.392299999999999</v>
      </c>
      <c r="J84" s="2" t="str">
        <f ca="1">IF(table1[[#This Row],[Price]] &lt; (table1[[#This Row],[52Low]] * 0.25) + table1[[#This Row],[52Low]],  "TRUE", "FALSE")</f>
        <v>TRUE</v>
      </c>
      <c r="K84" s="7" t="str">
        <f ca="1">IF(table1[[#This Row],[Price]] &lt; (table1[[#This Row],[52Low]] * 0.1) + table1[[#This Row],[52Low]],  "TRUE", "FALSE")</f>
        <v>FALSE</v>
      </c>
      <c r="L84" s="6" cm="1">
        <f t="array" aca="1" ref="L84" ca="1">_FV(table1[[#This Row],[DataField]],"Market cap",TRUE)</f>
        <v>78813006764</v>
      </c>
    </row>
    <row r="85" spans="1:12" x14ac:dyDescent="0.2">
      <c r="A85" t="e" vm="84">
        <v>#VALUE!</v>
      </c>
      <c r="B85" t="str" cm="1">
        <f t="array" aca="1" ref="B85" ca="1">_FV(table1[[#This Row],[DataField]],"Ticker symbol",TRUE)</f>
        <v>CL</v>
      </c>
      <c r="F85" s="2" cm="1">
        <f t="array" aca="1" ref="F85" ca="1">_FV(table1[[#This Row],[DataField]],"Price")</f>
        <v>85.94</v>
      </c>
      <c r="G85" s="2" cm="1">
        <f t="array" aca="1" ref="G85" ca="1">_FV(table1[[#This Row],[DataField]],"52 week low",TRUE)</f>
        <v>74.545000000000002</v>
      </c>
      <c r="H85" s="2" cm="1">
        <f t="array" aca="1" ref="H85" ca="1">_FV(table1[[#This Row],[DataField]],"52 week high",TRUE)</f>
        <v>99.33</v>
      </c>
      <c r="I85" s="4" cm="1">
        <f t="array" aca="1" ref="I85" ca="1">_FV(table1[[#This Row],[DataField]],"P/E",TRUE)</f>
        <v>32.783999999999999</v>
      </c>
      <c r="J85" s="2" t="str">
        <f ca="1">IF(table1[[#This Row],[Price]] &lt; (table1[[#This Row],[52Low]] * 0.25) + table1[[#This Row],[52Low]],  "TRUE", "FALSE")</f>
        <v>TRUE</v>
      </c>
      <c r="K85" s="2" t="str">
        <f ca="1">IF(table1[[#This Row],[Price]] &lt; (table1[[#This Row],[52Low]] * 0.1) + table1[[#This Row],[52Low]],  "TRUE", "FALSE")</f>
        <v>FALSE</v>
      </c>
      <c r="L85" s="6" cm="1">
        <f t="array" aca="1" ref="L85" ca="1">_FV(table1[[#This Row],[DataField]],"Market cap",TRUE)</f>
        <v>68885035120</v>
      </c>
    </row>
    <row r="86" spans="1:12" x14ac:dyDescent="0.2">
      <c r="A86" t="e" vm="85">
        <v>#VALUE!</v>
      </c>
      <c r="B86" t="str" cm="1">
        <f t="array" aca="1" ref="B86" ca="1">_FV(table1[[#This Row],[DataField]],"Ticker symbol",TRUE)</f>
        <v>CAT</v>
      </c>
      <c r="F86" s="2" cm="1">
        <f t="array" aca="1" ref="F86" ca="1">_FV(table1[[#This Row],[DataField]],"Price")</f>
        <v>704.6481</v>
      </c>
      <c r="G86" s="2" cm="1">
        <f t="array" aca="1" ref="G86" ca="1">_FV(table1[[#This Row],[DataField]],"52 week low",TRUE)</f>
        <v>267.3</v>
      </c>
      <c r="H86" s="2" cm="1">
        <f t="array" aca="1" ref="H86" ca="1">_FV(table1[[#This Row],[DataField]],"52 week high",TRUE)</f>
        <v>789.81</v>
      </c>
      <c r="I86" s="4" cm="1">
        <f t="array" aca="1" ref="I86" ca="1">_FV(table1[[#This Row],[DataField]],"P/E",TRUE)</f>
        <v>37.4285</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327863811899</v>
      </c>
    </row>
    <row r="87" spans="1:12" x14ac:dyDescent="0.2">
      <c r="A87" t="e" vm="86">
        <v>#VALUE!</v>
      </c>
      <c r="B87" t="str" cm="1">
        <f t="array" aca="1" ref="B87" ca="1">_FV(table1[[#This Row],[DataField]],"Ticker symbol",TRUE)</f>
        <v>LLY</v>
      </c>
      <c r="F87" s="2" cm="1">
        <f t="array" aca="1" ref="F87" ca="1">_FV(table1[[#This Row],[DataField]],"Price")</f>
        <v>924.92</v>
      </c>
      <c r="G87" s="2" cm="1">
        <f t="array" aca="1" ref="G87" ca="1">_FV(table1[[#This Row],[DataField]],"52 week low",TRUE)</f>
        <v>623.78</v>
      </c>
      <c r="H87" s="2" cm="1">
        <f t="array" aca="1" ref="H87" ca="1">_FV(table1[[#This Row],[DataField]],"52 week high",TRUE)</f>
        <v>1133.95</v>
      </c>
      <c r="I87" s="4" cm="1">
        <f t="array" aca="1" ref="I87" ca="1">_FV(table1[[#This Row],[DataField]],"P/E",TRUE)</f>
        <v>40.289900000000003</v>
      </c>
      <c r="J87" s="2" t="str">
        <f ca="1">IF(table1[[#This Row],[Price]] &lt; (table1[[#This Row],[52Low]] * 0.25) + table1[[#This Row],[52Low]],  "TRUE", "FALSE")</f>
        <v>FALSE</v>
      </c>
      <c r="K87" s="2" t="str">
        <f ca="1">IF(table1[[#This Row],[Price]] &lt; (table1[[#This Row],[52Low]] * 0.1) + table1[[#This Row],[52Low]],  "TRUE", "FALSE")</f>
        <v>FALSE</v>
      </c>
      <c r="L87" s="6" cm="1">
        <f t="array" aca="1" ref="L87" ca="1">_FV(table1[[#This Row],[DataField]],"Market cap",TRUE)</f>
        <v>872530126408</v>
      </c>
    </row>
    <row r="88" spans="1:12" x14ac:dyDescent="0.2">
      <c r="A88" t="e" vm="87">
        <v>#VALUE!</v>
      </c>
      <c r="B88" t="str" cm="1">
        <f t="array" aca="1" ref="B88" ca="1">_FV(table1[[#This Row],[DataField]],"Ticker symbol",TRUE)</f>
        <v>FAST</v>
      </c>
      <c r="F88" s="2" cm="1">
        <f t="array" aca="1" ref="F88" ca="1">_FV(table1[[#This Row],[DataField]],"Price")</f>
        <v>45.19</v>
      </c>
      <c r="G88" s="2" cm="1">
        <f t="array" aca="1" ref="G88" ca="1">_FV(table1[[#This Row],[DataField]],"52 week low",TRUE)</f>
        <v>35.305</v>
      </c>
      <c r="H88" s="2" cm="1">
        <f t="array" aca="1" ref="H88" ca="1">_FV(table1[[#This Row],[DataField]],"52 week high",TRUE)</f>
        <v>50.63</v>
      </c>
      <c r="I88" s="4" cm="1">
        <f t="array" aca="1" ref="I88" ca="1">_FV(table1[[#This Row],[DataField]],"P/E",TRUE)</f>
        <v>41.303400000000003</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51892942320</v>
      </c>
    </row>
    <row r="89" spans="1:12" x14ac:dyDescent="0.2">
      <c r="A89" t="e" vm="88">
        <v>#VALUE!</v>
      </c>
      <c r="B89" t="str" cm="1">
        <f t="array" aca="1" ref="B89" ca="1">_FV(table1[[#This Row],[DataField]],"Ticker symbol",TRUE)</f>
        <v>COST</v>
      </c>
      <c r="F89" s="2" cm="1">
        <f t="array" aca="1" ref="F89" ca="1">_FV(table1[[#This Row],[DataField]],"Price")</f>
        <v>973.67499999999995</v>
      </c>
      <c r="G89" s="2" cm="1">
        <f t="array" aca="1" ref="G89" ca="1">_FV(table1[[#This Row],[DataField]],"52 week low",TRUE)</f>
        <v>844.06</v>
      </c>
      <c r="H89" s="2" cm="1">
        <f t="array" aca="1" ref="H89" ca="1">_FV(table1[[#This Row],[DataField]],"52 week high",TRUE)</f>
        <v>1067.08</v>
      </c>
      <c r="I89" s="4" cm="1">
        <f t="array" aca="1" ref="I89" ca="1">_FV(table1[[#This Row],[DataField]],"P/E",TRUE)</f>
        <v>52.1569</v>
      </c>
      <c r="J89" s="2" t="str">
        <f ca="1">IF(table1[[#This Row],[Price]] &lt; (table1[[#This Row],[52Low]] * 0.25) + table1[[#This Row],[52Low]],  "TRUE", "FALSE")</f>
        <v>TRUE</v>
      </c>
      <c r="K89" s="2" t="str">
        <f ca="1">IF(table1[[#This Row],[Price]] &lt; (table1[[#This Row],[52Low]] * 0.1) + table1[[#This Row],[52Low]],  "TRUE", "FALSE")</f>
        <v>FALSE</v>
      </c>
      <c r="L89" s="6" cm="1">
        <f t="array" aca="1" ref="L89" ca="1">_FV(table1[[#This Row],[DataField]],"Market cap",TRUE)</f>
        <v>431973347937</v>
      </c>
    </row>
    <row r="90" spans="1:12" x14ac:dyDescent="0.2">
      <c r="A90" t="e" vm="89">
        <v>#VALUE!</v>
      </c>
      <c r="B90" t="str" cm="1">
        <f t="array" aca="1" ref="B90" ca="1">_FV(table1[[#This Row],[DataField]],"Ticker symbol",TRUE)</f>
        <v>AVGO</v>
      </c>
      <c r="F90" s="2" cm="1">
        <f t="array" aca="1" ref="F90" ca="1">_FV(table1[[#This Row],[DataField]],"Price")</f>
        <v>321.89010000000002</v>
      </c>
      <c r="G90" s="2" cm="1">
        <f t="array" aca="1" ref="G90" ca="1">_FV(table1[[#This Row],[DataField]],"52 week low",TRUE)</f>
        <v>138.1</v>
      </c>
      <c r="H90" s="2" cm="1">
        <f t="array" aca="1" ref="H90" ca="1">_FV(table1[[#This Row],[DataField]],"52 week high",TRUE)</f>
        <v>414.61</v>
      </c>
      <c r="I90" s="4" cm="1">
        <f t="array" aca="1" ref="I90" ca="1">_FV(table1[[#This Row],[DataField]],"P/E",TRUE)</f>
        <v>67.482200000000006</v>
      </c>
      <c r="J90" s="2" t="str">
        <f ca="1">IF(table1[[#This Row],[Price]] &lt; (table1[[#This Row],[52Low]] * 0.25) + table1[[#This Row],[52Low]],  "TRUE", "FALSE")</f>
        <v>FALSE</v>
      </c>
      <c r="K90" s="2" t="str">
        <f ca="1">IF(table1[[#This Row],[Price]] &lt; (table1[[#This Row],[52Low]] * 0.1) + table1[[#This Row],[52Low]],  "TRUE", "FALSE")</f>
        <v>FALSE</v>
      </c>
      <c r="L90" s="6" cm="1">
        <f t="array" aca="1" ref="L90" ca="1">_FV(table1[[#This Row],[DataField]],"Market cap",TRUE)</f>
        <v>1524042755986</v>
      </c>
    </row>
    <row r="91" spans="1:12" x14ac:dyDescent="0.2">
      <c r="A91" t="e" vm="90">
        <v>#VALUE!</v>
      </c>
      <c r="B91" t="str" cm="1">
        <f t="array" aca="1" ref="B91" ca="1">_FV(table1[[#This Row],[DataField]],"Ticker symbol",TRUE)</f>
        <v>EQIX</v>
      </c>
      <c r="F91" s="2" cm="1">
        <f t="array" aca="1" ref="F91" ca="1">_FV(table1[[#This Row],[DataField]],"Price")</f>
        <v>961.92499999999995</v>
      </c>
      <c r="G91" s="2" cm="1">
        <f t="array" aca="1" ref="G91" ca="1">_FV(table1[[#This Row],[DataField]],"52 week low",TRUE)</f>
        <v>701.41</v>
      </c>
      <c r="H91" s="2" cm="1">
        <f t="array" aca="1" ref="H91" ca="1">_FV(table1[[#This Row],[DataField]],"52 week high",TRUE)</f>
        <v>992.9</v>
      </c>
      <c r="I91" s="4" cm="1">
        <f t="array" aca="1" ref="I91" ca="1">_FV(table1[[#This Row],[DataField]],"P/E",TRUE)</f>
        <v>69.905299999999997</v>
      </c>
      <c r="J91" s="2" t="str">
        <f ca="1">IF(table1[[#This Row],[Price]] &lt; (table1[[#This Row],[52Low]] * 0.25) + table1[[#This Row],[52Low]],  "TRUE", "FALSE")</f>
        <v>FALSE</v>
      </c>
      <c r="K91" s="2" t="str">
        <f ca="1">IF(table1[[#This Row],[Price]] &lt; (table1[[#This Row],[52Low]] * 0.1) + table1[[#This Row],[52Low]],  "TRUE", "FALSE")</f>
        <v>FALSE</v>
      </c>
      <c r="L91" s="6" cm="1">
        <f t="array" aca="1" ref="L91" ca="1">_FV(table1[[#This Row],[DataField]],"Market cap",TRUE)</f>
        <v>94513873540</v>
      </c>
    </row>
    <row r="92" spans="1:12" x14ac:dyDescent="0.2">
      <c r="A92" t="e" vm="91">
        <v>#VALUE!</v>
      </c>
      <c r="B92" t="str" cm="1">
        <f t="array" aca="1" ref="B92" ca="1">_FV(table1[[#This Row],[DataField]],"Ticker symbol",TRUE)</f>
        <v>SBUX</v>
      </c>
      <c r="F92" s="2" cm="1">
        <f t="array" aca="1" ref="F92" ca="1">_FV(table1[[#This Row],[DataField]],"Price")</f>
        <v>94.86</v>
      </c>
      <c r="G92" s="2" cm="1">
        <f t="array" aca="1" ref="G92" ca="1">_FV(table1[[#This Row],[DataField]],"52 week low",TRUE)</f>
        <v>75.5</v>
      </c>
      <c r="H92" s="2" cm="1">
        <f t="array" aca="1" ref="H92" ca="1">_FV(table1[[#This Row],[DataField]],"52 week high",TRUE)</f>
        <v>104.82</v>
      </c>
      <c r="I92" s="4" cm="1">
        <f t="array" aca="1" ref="I92" ca="1">_FV(table1[[#This Row],[DataField]],"P/E",TRUE)</f>
        <v>79.023700000000005</v>
      </c>
      <c r="J92" s="2" t="str">
        <f ca="1">IF(table1[[#This Row],[Price]] &lt; (table1[[#This Row],[52Low]] * 0.25) + table1[[#This Row],[52Low]],  "TRUE", "FALSE")</f>
        <v>FALSE</v>
      </c>
      <c r="K92" s="7" t="str">
        <f ca="1">IF(table1[[#This Row],[Price]] &lt; (table1[[#This Row],[52Low]] * 0.1) + table1[[#This Row],[52Low]],  "TRUE", "FALSE")</f>
        <v>FALSE</v>
      </c>
      <c r="L92" s="6" cm="1">
        <f t="array" aca="1" ref="L92" ca="1">_FV(table1[[#This Row],[DataField]],"Market cap",TRUE)</f>
        <v>108073998000</v>
      </c>
    </row>
    <row r="93" spans="1:12" x14ac:dyDescent="0.2">
      <c r="A93" t="e" vm="92">
        <v>#VALUE!</v>
      </c>
      <c r="B93" t="str" cm="1">
        <f t="array" aca="1" ref="B93" ca="1">_FV(table1[[#This Row],[DataField]],"Ticker symbol",TRUE)</f>
        <v>ABBV</v>
      </c>
      <c r="F93" s="2" cm="1">
        <f t="array" aca="1" ref="F93" ca="1">_FV(table1[[#This Row],[DataField]],"Price")</f>
        <v>204.6</v>
      </c>
      <c r="G93" s="2" cm="1">
        <f t="array" aca="1" ref="G93" ca="1">_FV(table1[[#This Row],[DataField]],"52 week low",TRUE)</f>
        <v>164.39</v>
      </c>
      <c r="H93" s="2" cm="1">
        <f t="array" aca="1" ref="H93" ca="1">_FV(table1[[#This Row],[DataField]],"52 week high",TRUE)</f>
        <v>244.81</v>
      </c>
      <c r="I93" s="4" cm="1">
        <f t="array" aca="1" ref="I93" ca="1">_FV(table1[[#This Row],[DataField]],"P/E",TRUE)</f>
        <v>86.683899999999994</v>
      </c>
      <c r="J93" s="2" t="str">
        <f ca="1">IF(table1[[#This Row],[Price]] &lt; (table1[[#This Row],[52Low]] * 0.25) + table1[[#This Row],[52Low]],  "TRUE", "FALSE")</f>
        <v>TRUE</v>
      </c>
      <c r="K93" s="2" t="str">
        <f ca="1">IF(table1[[#This Row],[Price]] &lt; (table1[[#This Row],[52Low]] * 0.1) + table1[[#This Row],[52Low]],  "TRUE", "FALSE")</f>
        <v>FALSE</v>
      </c>
      <c r="L93" s="6" cm="1">
        <f t="array" aca="1" ref="L93" ca="1">_FV(table1[[#This Row],[DataField]],"Market cap",TRUE)</f>
        <v>361767377400</v>
      </c>
    </row>
    <row r="94" spans="1:12" x14ac:dyDescent="0.2">
      <c r="A94" t="e" vm="93">
        <v>#VALUE!</v>
      </c>
      <c r="B94" t="str" cm="1">
        <f t="array" aca="1" ref="B94" ca="1">_FV(table1[[#This Row],[DataField]],"Ticker symbol",TRUE)</f>
        <v>BF.A</v>
      </c>
      <c r="F94" s="2" cm="1">
        <f t="array" aca="1" ref="F94" ca="1">_FV(table1[[#This Row],[DataField]],"Price")</f>
        <v>23.64</v>
      </c>
      <c r="G94" s="2" cm="1">
        <f t="array" aca="1" ref="G94" ca="1">_FV(table1[[#This Row],[DataField]],"52 week low",TRUE)</f>
        <v>23.01</v>
      </c>
      <c r="H94" s="2" cm="1">
        <f t="array" aca="1" ref="H94" ca="1">_FV(table1[[#This Row],[DataField]],"52 week high",TRUE)</f>
        <v>35.954999999999998</v>
      </c>
      <c r="I94" s="4" t="e" cm="1" vm="94">
        <f t="array" ref="I94">_FV(table1[[#This Row],[DataField]],"P/E",TRUE)</f>
        <v>#VALUE!</v>
      </c>
      <c r="J94" s="2" t="str">
        <f ca="1">IF(table1[[#This Row],[Price]] &lt; (table1[[#This Row],[52Low]] * 0.25) + table1[[#This Row],[52Low]],  "TRUE", "FALSE")</f>
        <v>TRUE</v>
      </c>
      <c r="K94" s="2" t="str">
        <f ca="1">IF(table1[[#This Row],[Price]] &lt; (table1[[#This Row],[52Low]] * 0.1) + table1[[#This Row],[52Low]],  "TRUE", "FALSE")</f>
        <v>TRUE</v>
      </c>
      <c r="L94" s="6" cm="1">
        <f t="array" aca="1" ref="L94" ca="1">_FV(table1[[#This Row],[DataField]],"Market cap",TRUE)</f>
        <v>10843753104</v>
      </c>
    </row>
  </sheetData>
  <phoneticPr fontId="2" type="noConversion"/>
  <conditionalFormatting sqref="B1:B1048576">
    <cfRule type="duplicateValues" dxfId="1" priority="1"/>
  </conditionalFormatting>
  <conditionalFormatting sqref="L89:L1048576 J1:K94">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2026-03-23T15:41:27Z</dcterms:modified>
</cp:coreProperties>
</file>