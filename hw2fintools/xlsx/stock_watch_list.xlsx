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C494941A-742D-AC46-AF82-B14641D0FB52}"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 l="1" a="1"/>
  <c r="F29" i="1" s="1"/>
  <c r="F100" i="1" a="1"/>
  <c r="F100" i="1" s="1"/>
  <c r="F23" i="1" a="1"/>
  <c r="F23" i="1" s="1"/>
  <c r="F22" i="1" a="1"/>
  <c r="F22" i="1" s="1"/>
  <c r="F101" i="1" a="1"/>
  <c r="F101" i="1" s="1"/>
  <c r="F9" i="1" a="1"/>
  <c r="F9" i="1" s="1"/>
  <c r="F44" i="1" a="1"/>
  <c r="F44" i="1" s="1"/>
  <c r="F36" i="1" a="1"/>
  <c r="F36" i="1" s="1"/>
  <c r="F102" i="1" a="1"/>
  <c r="F102" i="1" s="1"/>
  <c r="B87" i="1" a="1"/>
  <c r="B87" i="1" s="1"/>
  <c r="F87" i="1" a="1"/>
  <c r="F87" i="1" s="1"/>
  <c r="G87" i="1" a="1"/>
  <c r="G87" i="1" s="1"/>
  <c r="H87" i="1" a="1"/>
  <c r="H87" i="1" s="1"/>
  <c r="I87" i="1" a="1"/>
  <c r="I87" i="1" s="1"/>
  <c r="L87" i="1" a="1"/>
  <c r="L87" i="1" s="1"/>
  <c r="B101" i="1" a="1"/>
  <c r="B101" i="1" s="1"/>
  <c r="G101" i="1" a="1"/>
  <c r="G101" i="1" s="1"/>
  <c r="H101" i="1" a="1"/>
  <c r="H101" i="1" s="1"/>
  <c r="I101" i="1" a="1"/>
  <c r="I101" i="1" s="1"/>
  <c r="L101" i="1" a="1"/>
  <c r="L101" i="1" s="1"/>
  <c r="B76" i="1" a="1"/>
  <c r="B76" i="1" s="1"/>
  <c r="F76" i="1" a="1"/>
  <c r="F76" i="1" s="1"/>
  <c r="G76" i="1" a="1"/>
  <c r="G76" i="1" s="1"/>
  <c r="H76" i="1" a="1"/>
  <c r="H76" i="1" s="1"/>
  <c r="I76" i="1" a="1"/>
  <c r="I76" i="1" s="1"/>
  <c r="L76" i="1" a="1"/>
  <c r="L76" i="1" s="1"/>
  <c r="B80" i="1" a="1"/>
  <c r="B80" i="1" s="1"/>
  <c r="F80" i="1" a="1"/>
  <c r="F80" i="1" s="1"/>
  <c r="G80" i="1" a="1"/>
  <c r="G80" i="1" s="1"/>
  <c r="H80" i="1" a="1"/>
  <c r="H80" i="1" s="1"/>
  <c r="I80" i="1" a="1"/>
  <c r="I80" i="1" s="1"/>
  <c r="L80" i="1" a="1"/>
  <c r="L80" i="1" s="1"/>
  <c r="B90" i="1" a="1"/>
  <c r="B90" i="1" s="1"/>
  <c r="F90" i="1" a="1"/>
  <c r="F90" i="1" s="1"/>
  <c r="G90" i="1" a="1"/>
  <c r="G90" i="1" s="1"/>
  <c r="H90" i="1" a="1"/>
  <c r="H90" i="1" s="1"/>
  <c r="I90" i="1" a="1"/>
  <c r="I90" i="1" s="1"/>
  <c r="L90" i="1" a="1"/>
  <c r="L90" i="1" s="1"/>
  <c r="B89" i="1" a="1"/>
  <c r="B89" i="1" s="1"/>
  <c r="F89" i="1" a="1"/>
  <c r="F89" i="1" s="1"/>
  <c r="G89" i="1" a="1"/>
  <c r="G89" i="1" s="1"/>
  <c r="H89" i="1" a="1"/>
  <c r="H89" i="1" s="1"/>
  <c r="I89" i="1" a="1"/>
  <c r="I89" i="1" s="1"/>
  <c r="L89" i="1" a="1"/>
  <c r="L89" i="1" s="1"/>
  <c r="B92" i="1" a="1"/>
  <c r="B92" i="1" s="1"/>
  <c r="F92" i="1" a="1"/>
  <c r="F92" i="1" s="1"/>
  <c r="G92" i="1" a="1"/>
  <c r="G92" i="1" s="1"/>
  <c r="H92" i="1" a="1"/>
  <c r="H92" i="1" s="1"/>
  <c r="I92" i="1" a="1"/>
  <c r="I92" i="1" s="1"/>
  <c r="L92" i="1" a="1"/>
  <c r="L92" i="1" s="1"/>
  <c r="B98" i="1" a="1"/>
  <c r="B98" i="1" s="1"/>
  <c r="F98" i="1" a="1"/>
  <c r="F98" i="1" s="1"/>
  <c r="G98" i="1" a="1"/>
  <c r="G98" i="1" s="1"/>
  <c r="H98" i="1" a="1"/>
  <c r="H98" i="1" s="1"/>
  <c r="I98" i="1" a="1"/>
  <c r="I98" i="1" s="1"/>
  <c r="L98" i="1" a="1"/>
  <c r="L98" i="1" s="1"/>
  <c r="I45" i="1" a="1"/>
  <c r="I45" i="1" s="1"/>
  <c r="I12" i="1" a="1"/>
  <c r="I12" i="1" s="1"/>
  <c r="I46" i="1" a="1"/>
  <c r="I46" i="1" s="1"/>
  <c r="I38" i="1" a="1"/>
  <c r="I38" i="1" s="1"/>
  <c r="I47" i="1" a="1"/>
  <c r="I47" i="1" s="1"/>
  <c r="I3" i="1" a="1"/>
  <c r="I3" i="1" s="1"/>
  <c r="I48" i="1" a="1"/>
  <c r="I48" i="1" s="1"/>
  <c r="I39" i="1" a="1"/>
  <c r="I39" i="1" s="1"/>
  <c r="I49" i="1" a="1"/>
  <c r="I49" i="1" s="1"/>
  <c r="I50" i="1" a="1"/>
  <c r="I50" i="1" s="1"/>
  <c r="I51" i="1" a="1"/>
  <c r="I51" i="1" s="1"/>
  <c r="I52" i="1" a="1"/>
  <c r="I52" i="1" s="1"/>
  <c r="I30" i="1" a="1"/>
  <c r="I30" i="1" s="1"/>
  <c r="I31" i="1" a="1"/>
  <c r="I31" i="1" s="1"/>
  <c r="I53" i="1" a="1"/>
  <c r="I53" i="1" s="1"/>
  <c r="I54" i="1" a="1"/>
  <c r="I54" i="1" s="1"/>
  <c r="I55" i="1" a="1"/>
  <c r="I55" i="1" s="1"/>
  <c r="I18" i="1" a="1"/>
  <c r="I18" i="1" s="1"/>
  <c r="I7" i="1" a="1"/>
  <c r="I7" i="1" s="1"/>
  <c r="I56" i="1" a="1"/>
  <c r="I56" i="1" s="1"/>
  <c r="I57" i="1" a="1"/>
  <c r="I57" i="1" s="1"/>
  <c r="I58" i="1" a="1"/>
  <c r="I58" i="1" s="1"/>
  <c r="I26" i="1" a="1"/>
  <c r="I26" i="1" s="1"/>
  <c r="I35" i="1" a="1"/>
  <c r="I35" i="1" s="1"/>
  <c r="I59" i="1" a="1"/>
  <c r="I59" i="1" s="1"/>
  <c r="I60" i="1" a="1"/>
  <c r="I60" i="1" s="1"/>
  <c r="I61" i="1" a="1"/>
  <c r="I61" i="1" s="1"/>
  <c r="I63" i="1" a="1"/>
  <c r="I63" i="1" s="1"/>
  <c r="I64" i="1" a="1"/>
  <c r="I64" i="1" s="1"/>
  <c r="I65" i="1" a="1"/>
  <c r="I65" i="1" s="1"/>
  <c r="I24" i="1" a="1"/>
  <c r="I24" i="1" s="1"/>
  <c r="I66" i="1" a="1"/>
  <c r="I66" i="1" s="1"/>
  <c r="I68" i="1" a="1"/>
  <c r="I68" i="1" s="1"/>
  <c r="I69" i="1" a="1"/>
  <c r="I69" i="1" s="1"/>
  <c r="I70" i="1" a="1"/>
  <c r="I70" i="1" s="1"/>
  <c r="I10" i="1" a="1"/>
  <c r="I10" i="1" s="1"/>
  <c r="I71" i="1" a="1"/>
  <c r="I71" i="1" s="1"/>
  <c r="I4" i="1" a="1"/>
  <c r="I4" i="1" s="1"/>
  <c r="I20" i="1" a="1"/>
  <c r="I20" i="1" s="1"/>
  <c r="I72" i="1" a="1"/>
  <c r="I72" i="1" s="1"/>
  <c r="I15" i="1" a="1"/>
  <c r="I15" i="1" s="1"/>
  <c r="I73" i="1" a="1"/>
  <c r="I73" i="1" s="1"/>
  <c r="I74" i="1" a="1"/>
  <c r="I74" i="1" s="1"/>
  <c r="I27" i="1" a="1"/>
  <c r="I27" i="1" s="1"/>
  <c r="I41" i="1" a="1"/>
  <c r="I41" i="1" s="1"/>
  <c r="I77" i="1" a="1"/>
  <c r="I77" i="1" s="1"/>
  <c r="I78" i="1" a="1"/>
  <c r="I78" i="1" s="1"/>
  <c r="I11" i="1" a="1"/>
  <c r="I11" i="1" s="1"/>
  <c r="I21" i="1" a="1"/>
  <c r="I21" i="1" s="1"/>
  <c r="I37" i="1" a="1"/>
  <c r="I37" i="1" s="1"/>
  <c r="I25" i="1" a="1"/>
  <c r="I25" i="1" s="1"/>
  <c r="I79" i="1" a="1"/>
  <c r="I79" i="1" s="1"/>
  <c r="I42" i="1" a="1"/>
  <c r="I42" i="1" s="1"/>
  <c r="I81" i="1" a="1"/>
  <c r="I81" i="1" s="1"/>
  <c r="I28" i="1" a="1"/>
  <c r="I28" i="1" s="1"/>
  <c r="I82" i="1" a="1"/>
  <c r="I82" i="1" s="1"/>
  <c r="I13" i="1" a="1"/>
  <c r="I13" i="1" s="1"/>
  <c r="I83" i="1" a="1"/>
  <c r="I83" i="1" s="1"/>
  <c r="I84" i="1" a="1"/>
  <c r="I84" i="1" s="1"/>
  <c r="I85" i="1" a="1"/>
  <c r="I85" i="1" s="1"/>
  <c r="I5" i="1" a="1"/>
  <c r="I5" i="1" s="1"/>
  <c r="I19" i="1" a="1"/>
  <c r="I19" i="1" s="1"/>
  <c r="I86" i="1" a="1"/>
  <c r="I86" i="1" s="1"/>
  <c r="I40" i="1" a="1"/>
  <c r="I40" i="1" s="1"/>
  <c r="I33" i="1" a="1"/>
  <c r="I33" i="1" s="1"/>
  <c r="I14" i="1" a="1"/>
  <c r="I14" i="1" s="1"/>
  <c r="I88" i="1" a="1"/>
  <c r="I88" i="1" s="1"/>
  <c r="I91" i="1" a="1"/>
  <c r="I91" i="1" s="1"/>
  <c r="I93" i="1" a="1"/>
  <c r="I93" i="1" s="1"/>
  <c r="I94" i="1" a="1"/>
  <c r="I94" i="1" s="1"/>
  <c r="I16" i="1" a="1"/>
  <c r="I16" i="1" s="1"/>
  <c r="I95" i="1" a="1"/>
  <c r="I95" i="1" s="1"/>
  <c r="I96" i="1" a="1"/>
  <c r="I96" i="1" s="1"/>
  <c r="I34" i="1" a="1"/>
  <c r="I34" i="1" s="1"/>
  <c r="I97" i="1" a="1"/>
  <c r="I97" i="1" s="1"/>
  <c r="I8" i="1" a="1"/>
  <c r="I8" i="1" s="1"/>
  <c r="I43" i="1" a="1"/>
  <c r="I43" i="1" s="1"/>
  <c r="I32" i="1" a="1"/>
  <c r="I32" i="1" s="1"/>
  <c r="I99" i="1" a="1"/>
  <c r="I99" i="1" s="1"/>
  <c r="I17" i="1" a="1"/>
  <c r="I17" i="1" s="1"/>
  <c r="I6" i="1" a="1"/>
  <c r="I6" i="1" s="1"/>
  <c r="I29" i="1" a="1"/>
  <c r="I29" i="1" s="1"/>
  <c r="I100" i="1" a="1"/>
  <c r="I100" i="1" s="1"/>
  <c r="I23" i="1" a="1"/>
  <c r="I23" i="1" s="1"/>
  <c r="I22" i="1" a="1"/>
  <c r="I22" i="1" s="1"/>
  <c r="I9" i="1" a="1"/>
  <c r="I9" i="1" s="1"/>
  <c r="I44" i="1" a="1"/>
  <c r="I44" i="1" s="1"/>
  <c r="I36" i="1" a="1"/>
  <c r="I36" i="1" s="1"/>
  <c r="I102" i="1" a="1"/>
  <c r="I102" i="1" s="1"/>
  <c r="I62" i="1" a="1"/>
  <c r="I62" i="1" s="1"/>
  <c r="I67" i="1" a="1"/>
  <c r="I67" i="1" s="1"/>
  <c r="I75" i="1" a="1"/>
  <c r="I75" i="1" s="1"/>
  <c r="I2" i="1" a="1"/>
  <c r="I2" i="1" s="1"/>
  <c r="B75" i="1" a="1"/>
  <c r="B75" i="1" s="1"/>
  <c r="F75" i="1" a="1"/>
  <c r="F75" i="1" s="1"/>
  <c r="G75" i="1" a="1"/>
  <c r="G75" i="1" s="1"/>
  <c r="H75" i="1" a="1"/>
  <c r="H75" i="1" s="1"/>
  <c r="L75" i="1" a="1"/>
  <c r="L75" i="1" s="1"/>
  <c r="B67" i="1" a="1"/>
  <c r="B67" i="1" s="1"/>
  <c r="F67" i="1" a="1"/>
  <c r="F67" i="1" s="1"/>
  <c r="G67" i="1" a="1"/>
  <c r="G67" i="1" s="1"/>
  <c r="H67" i="1" a="1"/>
  <c r="H67" i="1" s="1"/>
  <c r="L67" i="1" a="1"/>
  <c r="L67" i="1" s="1"/>
  <c r="B62" i="1" a="1"/>
  <c r="B62" i="1" s="1"/>
  <c r="F62" i="1" a="1"/>
  <c r="F62" i="1" s="1"/>
  <c r="G62" i="1" a="1"/>
  <c r="G62" i="1" s="1"/>
  <c r="H62" i="1" a="1"/>
  <c r="H62" i="1" s="1"/>
  <c r="L62" i="1" a="1"/>
  <c r="L62" i="1" s="1"/>
  <c r="B44" i="1" a="1"/>
  <c r="B44" i="1" s="1"/>
  <c r="G44" i="1" a="1"/>
  <c r="G44" i="1" s="1"/>
  <c r="H44" i="1" a="1"/>
  <c r="H44" i="1" s="1"/>
  <c r="L44" i="1" a="1"/>
  <c r="L44" i="1" s="1"/>
  <c r="B88" i="1" a="1"/>
  <c r="B88" i="1" s="1"/>
  <c r="F88" i="1" a="1"/>
  <c r="F88" i="1" s="1"/>
  <c r="G88" i="1" a="1"/>
  <c r="G88" i="1" s="1"/>
  <c r="H88" i="1" a="1"/>
  <c r="H88" i="1" s="1"/>
  <c r="L88" i="1" a="1"/>
  <c r="L88" i="1" s="1"/>
  <c r="B54" i="1" a="1"/>
  <c r="B54" i="1" s="1"/>
  <c r="F54" i="1" a="1"/>
  <c r="F54" i="1" s="1"/>
  <c r="G54" i="1" a="1"/>
  <c r="G54" i="1" s="1"/>
  <c r="H54" i="1" a="1"/>
  <c r="H54" i="1" s="1"/>
  <c r="L54" i="1" a="1"/>
  <c r="L54" i="1" s="1"/>
  <c r="B47" i="1" a="1"/>
  <c r="B47" i="1" s="1"/>
  <c r="F47" i="1" a="1"/>
  <c r="F47" i="1" s="1"/>
  <c r="G47" i="1" a="1"/>
  <c r="G47" i="1" s="1"/>
  <c r="H47" i="1" a="1"/>
  <c r="H47" i="1" s="1"/>
  <c r="L47" i="1" a="1"/>
  <c r="L47" i="1" s="1"/>
  <c r="B99" i="1" a="1"/>
  <c r="B99" i="1" s="1"/>
  <c r="F99" i="1" a="1"/>
  <c r="F99" i="1" s="1"/>
  <c r="G99" i="1" a="1"/>
  <c r="G99" i="1" s="1"/>
  <c r="H99" i="1" a="1"/>
  <c r="H99" i="1" s="1"/>
  <c r="L99" i="1" a="1"/>
  <c r="L99" i="1" s="1"/>
  <c r="B97" i="1" a="1"/>
  <c r="B97" i="1" s="1"/>
  <c r="F97" i="1" a="1"/>
  <c r="F97" i="1" s="1"/>
  <c r="G97" i="1" a="1"/>
  <c r="G97" i="1" s="1"/>
  <c r="H97" i="1" a="1"/>
  <c r="H97" i="1" s="1"/>
  <c r="L97" i="1" a="1"/>
  <c r="L97" i="1" s="1"/>
  <c r="B50" i="1" a="1"/>
  <c r="B50" i="1" s="1"/>
  <c r="F50" i="1" a="1"/>
  <c r="F50" i="1" s="1"/>
  <c r="G50" i="1" a="1"/>
  <c r="G50" i="1" s="1"/>
  <c r="H50" i="1" a="1"/>
  <c r="H50" i="1" s="1"/>
  <c r="L50" i="1" a="1"/>
  <c r="L50" i="1" s="1"/>
  <c r="B81" i="1" a="1"/>
  <c r="B81" i="1" s="1"/>
  <c r="F81" i="1" a="1"/>
  <c r="F81" i="1" s="1"/>
  <c r="G81" i="1" a="1"/>
  <c r="G81" i="1" s="1"/>
  <c r="H81" i="1" a="1"/>
  <c r="H81" i="1" s="1"/>
  <c r="L81" i="1" a="1"/>
  <c r="L81" i="1" s="1"/>
  <c r="B102" i="1" a="1"/>
  <c r="B102" i="1" s="1"/>
  <c r="G102" i="1" a="1"/>
  <c r="G102" i="1" s="1"/>
  <c r="H102" i="1" a="1"/>
  <c r="H102" i="1" s="1"/>
  <c r="L102" i="1" a="1"/>
  <c r="L102" i="1" s="1"/>
  <c r="B85" i="1" a="1"/>
  <c r="B85" i="1" s="1"/>
  <c r="F85" i="1" a="1"/>
  <c r="F85" i="1" s="1"/>
  <c r="G85" i="1" a="1"/>
  <c r="G85" i="1" s="1"/>
  <c r="H85" i="1" a="1"/>
  <c r="H85" i="1" s="1"/>
  <c r="L85" i="1" a="1"/>
  <c r="L85" i="1" s="1"/>
  <c r="B38" i="1" a="1"/>
  <c r="B38" i="1" s="1"/>
  <c r="F38" i="1" a="1"/>
  <c r="F38" i="1" s="1"/>
  <c r="G38" i="1" a="1"/>
  <c r="G38" i="1" s="1"/>
  <c r="H38" i="1" a="1"/>
  <c r="H38" i="1" s="1"/>
  <c r="L38" i="1" a="1"/>
  <c r="L38" i="1" s="1"/>
  <c r="B83" i="1" a="1"/>
  <c r="B83" i="1" s="1"/>
  <c r="F83" i="1" a="1"/>
  <c r="F83" i="1" s="1"/>
  <c r="G83" i="1" a="1"/>
  <c r="G83" i="1" s="1"/>
  <c r="H83" i="1" a="1"/>
  <c r="H83" i="1" s="1"/>
  <c r="L83" i="1" a="1"/>
  <c r="L83" i="1" s="1"/>
  <c r="B39" i="1" a="1"/>
  <c r="B39" i="1" s="1"/>
  <c r="F39" i="1" a="1"/>
  <c r="F39" i="1" s="1"/>
  <c r="G39" i="1" a="1"/>
  <c r="G39" i="1" s="1"/>
  <c r="H39" i="1" a="1"/>
  <c r="H39" i="1" s="1"/>
  <c r="L39" i="1" a="1"/>
  <c r="L39" i="1" s="1"/>
  <c r="B36" i="1" a="1"/>
  <c r="B36" i="1" s="1"/>
  <c r="G36" i="1" a="1"/>
  <c r="G36" i="1" s="1"/>
  <c r="H36" i="1" a="1"/>
  <c r="H36" i="1" s="1"/>
  <c r="L36" i="1" a="1"/>
  <c r="L36" i="1" s="1"/>
  <c r="B22" i="1" a="1"/>
  <c r="B22" i="1" s="1"/>
  <c r="G22" i="1" a="1"/>
  <c r="G22" i="1" s="1"/>
  <c r="H22" i="1" a="1"/>
  <c r="H22" i="1" s="1"/>
  <c r="L22" i="1" a="1"/>
  <c r="L22" i="1" s="1"/>
  <c r="B29" i="1" a="1"/>
  <c r="B29" i="1" s="1"/>
  <c r="G29" i="1" a="1"/>
  <c r="G29" i="1" s="1"/>
  <c r="H29" i="1" a="1"/>
  <c r="H29" i="1" s="1"/>
  <c r="L29" i="1" a="1"/>
  <c r="L29" i="1" s="1"/>
  <c r="B100" i="1" a="1"/>
  <c r="B100" i="1" s="1"/>
  <c r="G100" i="1" a="1"/>
  <c r="G100" i="1" s="1"/>
  <c r="H100" i="1" a="1"/>
  <c r="H100" i="1" s="1"/>
  <c r="L100" i="1" a="1"/>
  <c r="L100" i="1" s="1"/>
  <c r="B43" i="1" a="1"/>
  <c r="B43" i="1" s="1"/>
  <c r="F43" i="1" a="1"/>
  <c r="F43" i="1" s="1"/>
  <c r="G43" i="1" a="1"/>
  <c r="G43" i="1" s="1"/>
  <c r="H43" i="1" a="1"/>
  <c r="H43" i="1" s="1"/>
  <c r="L43" i="1" a="1"/>
  <c r="L43" i="1" s="1"/>
  <c r="B96" i="1" a="1"/>
  <c r="B96" i="1" s="1"/>
  <c r="F96" i="1" a="1"/>
  <c r="F96" i="1" s="1"/>
  <c r="G96" i="1" a="1"/>
  <c r="G96" i="1" s="1"/>
  <c r="H96" i="1" a="1"/>
  <c r="H96" i="1" s="1"/>
  <c r="L96" i="1" a="1"/>
  <c r="L96" i="1" s="1"/>
  <c r="B95" i="1" a="1"/>
  <c r="B95" i="1" s="1"/>
  <c r="F95" i="1" a="1"/>
  <c r="F95" i="1" s="1"/>
  <c r="G95" i="1" a="1"/>
  <c r="G95" i="1" s="1"/>
  <c r="H95" i="1" a="1"/>
  <c r="H95" i="1" s="1"/>
  <c r="L95" i="1" a="1"/>
  <c r="L95" i="1" s="1"/>
  <c r="B94" i="1" a="1"/>
  <c r="B94" i="1" s="1"/>
  <c r="F94" i="1" a="1"/>
  <c r="F94" i="1" s="1"/>
  <c r="G94" i="1" a="1"/>
  <c r="G94" i="1" s="1"/>
  <c r="H94" i="1" a="1"/>
  <c r="H94" i="1" s="1"/>
  <c r="L94" i="1" a="1"/>
  <c r="L94" i="1" s="1"/>
  <c r="B93" i="1" a="1"/>
  <c r="B93" i="1" s="1"/>
  <c r="F93" i="1" a="1"/>
  <c r="F93" i="1" s="1"/>
  <c r="G93" i="1" a="1"/>
  <c r="G93" i="1" s="1"/>
  <c r="H93" i="1" a="1"/>
  <c r="H93" i="1" s="1"/>
  <c r="L93" i="1" a="1"/>
  <c r="L93" i="1" s="1"/>
  <c r="B91" i="1" a="1"/>
  <c r="B91" i="1" s="1"/>
  <c r="F91" i="1" a="1"/>
  <c r="F91" i="1" s="1"/>
  <c r="G91" i="1" a="1"/>
  <c r="G91" i="1" s="1"/>
  <c r="H91" i="1" a="1"/>
  <c r="H91" i="1" s="1"/>
  <c r="L91" i="1" a="1"/>
  <c r="L91" i="1" s="1"/>
  <c r="B86" i="1" a="1"/>
  <c r="B86" i="1" s="1"/>
  <c r="F86" i="1" a="1"/>
  <c r="F86" i="1" s="1"/>
  <c r="G86" i="1" a="1"/>
  <c r="G86" i="1" s="1"/>
  <c r="H86" i="1" a="1"/>
  <c r="H86" i="1" s="1"/>
  <c r="L86" i="1" a="1"/>
  <c r="L86" i="1" s="1"/>
  <c r="B84" i="1" a="1"/>
  <c r="B84" i="1" s="1"/>
  <c r="F84" i="1" a="1"/>
  <c r="F84" i="1" s="1"/>
  <c r="G84" i="1" a="1"/>
  <c r="G84" i="1" s="1"/>
  <c r="H84" i="1" a="1"/>
  <c r="H84" i="1" s="1"/>
  <c r="L84" i="1" a="1"/>
  <c r="L84" i="1" s="1"/>
  <c r="B79" i="1" a="1"/>
  <c r="B79" i="1" s="1"/>
  <c r="F79" i="1" a="1"/>
  <c r="F79" i="1" s="1"/>
  <c r="G79" i="1" a="1"/>
  <c r="G79" i="1" s="1"/>
  <c r="H79" i="1" a="1"/>
  <c r="H79" i="1" s="1"/>
  <c r="L79" i="1" a="1"/>
  <c r="L79" i="1" s="1"/>
  <c r="B78" i="1" a="1"/>
  <c r="B78" i="1" s="1"/>
  <c r="F78" i="1" a="1"/>
  <c r="F78" i="1" s="1"/>
  <c r="G78" i="1" a="1"/>
  <c r="G78" i="1" s="1"/>
  <c r="H78" i="1" a="1"/>
  <c r="H78" i="1" s="1"/>
  <c r="L78" i="1" a="1"/>
  <c r="L78" i="1" s="1"/>
  <c r="B77" i="1" a="1"/>
  <c r="B77" i="1" s="1"/>
  <c r="F77" i="1" a="1"/>
  <c r="F77" i="1" s="1"/>
  <c r="G77" i="1" a="1"/>
  <c r="G77" i="1" s="1"/>
  <c r="H77" i="1" a="1"/>
  <c r="H77" i="1" s="1"/>
  <c r="L77" i="1" a="1"/>
  <c r="L77" i="1" s="1"/>
  <c r="B74" i="1" a="1"/>
  <c r="B74" i="1" s="1"/>
  <c r="F74" i="1" a="1"/>
  <c r="F74" i="1" s="1"/>
  <c r="G74" i="1" a="1"/>
  <c r="G74" i="1" s="1"/>
  <c r="H74" i="1" a="1"/>
  <c r="H74" i="1" s="1"/>
  <c r="L74" i="1" a="1"/>
  <c r="L74" i="1" s="1"/>
  <c r="B73" i="1" a="1"/>
  <c r="B73" i="1" s="1"/>
  <c r="F73" i="1" a="1"/>
  <c r="F73" i="1" s="1"/>
  <c r="G73" i="1" a="1"/>
  <c r="G73" i="1" s="1"/>
  <c r="H73" i="1" a="1"/>
  <c r="H73" i="1" s="1"/>
  <c r="L73" i="1" a="1"/>
  <c r="L73" i="1" s="1"/>
  <c r="B72" i="1" a="1"/>
  <c r="B72" i="1" s="1"/>
  <c r="F72" i="1" a="1"/>
  <c r="F72" i="1" s="1"/>
  <c r="G72" i="1" a="1"/>
  <c r="G72" i="1" s="1"/>
  <c r="H72" i="1" a="1"/>
  <c r="H72" i="1" s="1"/>
  <c r="L72" i="1" a="1"/>
  <c r="L72" i="1" s="1"/>
  <c r="B71" i="1" a="1"/>
  <c r="B71" i="1" s="1"/>
  <c r="F71" i="1" a="1"/>
  <c r="F71" i="1" s="1"/>
  <c r="G71" i="1" a="1"/>
  <c r="G71" i="1" s="1"/>
  <c r="H71" i="1" a="1"/>
  <c r="H71" i="1" s="1"/>
  <c r="L71" i="1" a="1"/>
  <c r="L71" i="1" s="1"/>
  <c r="B70" i="1" a="1"/>
  <c r="B70" i="1" s="1"/>
  <c r="F70" i="1" a="1"/>
  <c r="F70" i="1" s="1"/>
  <c r="G70" i="1" a="1"/>
  <c r="G70" i="1" s="1"/>
  <c r="H70" i="1" a="1"/>
  <c r="H70" i="1" s="1"/>
  <c r="L70" i="1" a="1"/>
  <c r="L70" i="1" s="1"/>
  <c r="B69" i="1" a="1"/>
  <c r="B69" i="1" s="1"/>
  <c r="F69" i="1" a="1"/>
  <c r="F69" i="1" s="1"/>
  <c r="G69" i="1" a="1"/>
  <c r="G69" i="1" s="1"/>
  <c r="H69" i="1" a="1"/>
  <c r="H69" i="1" s="1"/>
  <c r="L69" i="1" a="1"/>
  <c r="L69" i="1" s="1"/>
  <c r="B68" i="1" a="1"/>
  <c r="B68" i="1" s="1"/>
  <c r="F68" i="1" a="1"/>
  <c r="F68" i="1" s="1"/>
  <c r="G68" i="1" a="1"/>
  <c r="G68" i="1" s="1"/>
  <c r="H68" i="1" a="1"/>
  <c r="H68" i="1" s="1"/>
  <c r="L68" i="1" a="1"/>
  <c r="L68" i="1" s="1"/>
  <c r="B66" i="1" a="1"/>
  <c r="B66" i="1" s="1"/>
  <c r="F66" i="1" a="1"/>
  <c r="F66" i="1" s="1"/>
  <c r="G66" i="1" a="1"/>
  <c r="G66" i="1" s="1"/>
  <c r="H66" i="1" a="1"/>
  <c r="H66" i="1" s="1"/>
  <c r="L66" i="1" a="1"/>
  <c r="L66" i="1" s="1"/>
  <c r="B63" i="1" a="1"/>
  <c r="B63" i="1" s="1"/>
  <c r="F63" i="1" a="1"/>
  <c r="F63" i="1" s="1"/>
  <c r="G63" i="1" a="1"/>
  <c r="G63" i="1" s="1"/>
  <c r="H63" i="1" a="1"/>
  <c r="H63" i="1" s="1"/>
  <c r="L63" i="1" a="1"/>
  <c r="L63" i="1" s="1"/>
  <c r="B61" i="1" a="1"/>
  <c r="B61" i="1" s="1"/>
  <c r="F61" i="1" a="1"/>
  <c r="F61" i="1" s="1"/>
  <c r="G61" i="1" a="1"/>
  <c r="G61" i="1" s="1"/>
  <c r="H61" i="1" a="1"/>
  <c r="H61" i="1" s="1"/>
  <c r="L61" i="1" a="1"/>
  <c r="L61" i="1" s="1"/>
  <c r="B65" i="1" a="1"/>
  <c r="B65" i="1" s="1"/>
  <c r="F65" i="1" a="1"/>
  <c r="F65" i="1" s="1"/>
  <c r="G65" i="1" a="1"/>
  <c r="G65" i="1" s="1"/>
  <c r="H65" i="1" a="1"/>
  <c r="H65" i="1" s="1"/>
  <c r="L65" i="1" a="1"/>
  <c r="L65" i="1" s="1"/>
  <c r="B64" i="1" a="1"/>
  <c r="B64" i="1" s="1"/>
  <c r="F64" i="1" a="1"/>
  <c r="F64" i="1" s="1"/>
  <c r="G64" i="1" a="1"/>
  <c r="G64" i="1" s="1"/>
  <c r="H64" i="1" a="1"/>
  <c r="H64" i="1" s="1"/>
  <c r="L64" i="1" a="1"/>
  <c r="L64" i="1" s="1"/>
  <c r="B60" i="1" a="1"/>
  <c r="B60" i="1" s="1"/>
  <c r="F60" i="1" a="1"/>
  <c r="F60" i="1" s="1"/>
  <c r="G60" i="1" a="1"/>
  <c r="G60" i="1" s="1"/>
  <c r="H60" i="1" a="1"/>
  <c r="H60" i="1" s="1"/>
  <c r="L60" i="1" a="1"/>
  <c r="L60" i="1" s="1"/>
  <c r="B59" i="1" a="1"/>
  <c r="B59" i="1" s="1"/>
  <c r="F59" i="1" a="1"/>
  <c r="F59" i="1" s="1"/>
  <c r="G59" i="1" a="1"/>
  <c r="G59" i="1" s="1"/>
  <c r="H59" i="1" a="1"/>
  <c r="H59" i="1" s="1"/>
  <c r="L59" i="1" a="1"/>
  <c r="L59" i="1" s="1"/>
  <c r="B58" i="1" a="1"/>
  <c r="B58" i="1" s="1"/>
  <c r="F58" i="1" a="1"/>
  <c r="F58" i="1" s="1"/>
  <c r="G58" i="1" a="1"/>
  <c r="G58" i="1" s="1"/>
  <c r="H58" i="1" a="1"/>
  <c r="H58" i="1" s="1"/>
  <c r="L58" i="1" a="1"/>
  <c r="L58" i="1" s="1"/>
  <c r="B57" i="1" a="1"/>
  <c r="B57" i="1" s="1"/>
  <c r="F57" i="1" a="1"/>
  <c r="F57" i="1" s="1"/>
  <c r="G57" i="1" a="1"/>
  <c r="G57" i="1" s="1"/>
  <c r="H57" i="1" a="1"/>
  <c r="H57" i="1" s="1"/>
  <c r="L57" i="1" a="1"/>
  <c r="L57" i="1" s="1"/>
  <c r="B56" i="1" a="1"/>
  <c r="B56" i="1" s="1"/>
  <c r="F56" i="1" a="1"/>
  <c r="F56" i="1" s="1"/>
  <c r="G56" i="1" a="1"/>
  <c r="G56" i="1" s="1"/>
  <c r="H56" i="1" a="1"/>
  <c r="H56" i="1" s="1"/>
  <c r="L56" i="1" a="1"/>
  <c r="L56" i="1" s="1"/>
  <c r="B55" i="1" a="1"/>
  <c r="B55" i="1" s="1"/>
  <c r="F55" i="1" a="1"/>
  <c r="F55" i="1" s="1"/>
  <c r="G55" i="1" a="1"/>
  <c r="G55" i="1" s="1"/>
  <c r="H55" i="1" a="1"/>
  <c r="H55" i="1" s="1"/>
  <c r="L55" i="1" a="1"/>
  <c r="L55" i="1" s="1"/>
  <c r="B53" i="1" a="1"/>
  <c r="B53" i="1" s="1"/>
  <c r="F53" i="1" a="1"/>
  <c r="F53" i="1" s="1"/>
  <c r="G53" i="1" a="1"/>
  <c r="G53" i="1" s="1"/>
  <c r="H53" i="1" a="1"/>
  <c r="H53" i="1" s="1"/>
  <c r="L53" i="1" a="1"/>
  <c r="L53" i="1" s="1"/>
  <c r="B52" i="1" a="1"/>
  <c r="B52" i="1" s="1"/>
  <c r="F52" i="1" a="1"/>
  <c r="F52" i="1" s="1"/>
  <c r="G52" i="1" a="1"/>
  <c r="G52" i="1" s="1"/>
  <c r="H52" i="1" a="1"/>
  <c r="H52" i="1" s="1"/>
  <c r="L52" i="1" a="1"/>
  <c r="L52" i="1" s="1"/>
  <c r="B51" i="1" a="1"/>
  <c r="B51" i="1" s="1"/>
  <c r="F51" i="1" a="1"/>
  <c r="F51" i="1" s="1"/>
  <c r="G51" i="1" a="1"/>
  <c r="G51" i="1" s="1"/>
  <c r="H51" i="1" a="1"/>
  <c r="H51" i="1" s="1"/>
  <c r="L51" i="1" a="1"/>
  <c r="L51" i="1" s="1"/>
  <c r="B49" i="1" a="1"/>
  <c r="B49" i="1" s="1"/>
  <c r="F49" i="1" a="1"/>
  <c r="F49" i="1" s="1"/>
  <c r="G49" i="1" a="1"/>
  <c r="G49" i="1" s="1"/>
  <c r="H49" i="1" a="1"/>
  <c r="H49" i="1" s="1"/>
  <c r="L49" i="1" a="1"/>
  <c r="L49" i="1" s="1"/>
  <c r="B48" i="1" a="1"/>
  <c r="B48" i="1" s="1"/>
  <c r="F48" i="1" a="1"/>
  <c r="F48" i="1" s="1"/>
  <c r="G48" i="1" a="1"/>
  <c r="G48" i="1" s="1"/>
  <c r="H48" i="1" a="1"/>
  <c r="H48" i="1" s="1"/>
  <c r="L48" i="1" a="1"/>
  <c r="L48" i="1" s="1"/>
  <c r="B46" i="1" a="1"/>
  <c r="B46" i="1" s="1"/>
  <c r="F46" i="1" a="1"/>
  <c r="F46" i="1" s="1"/>
  <c r="G46" i="1" a="1"/>
  <c r="G46" i="1" s="1"/>
  <c r="H46" i="1" a="1"/>
  <c r="H46" i="1" s="1"/>
  <c r="L46" i="1" a="1"/>
  <c r="L46" i="1" s="1"/>
  <c r="B45" i="1" a="1"/>
  <c r="B45" i="1" s="1"/>
  <c r="F45" i="1" a="1"/>
  <c r="F45" i="1" s="1"/>
  <c r="G45" i="1" a="1"/>
  <c r="G45" i="1" s="1"/>
  <c r="H45" i="1" a="1"/>
  <c r="H45" i="1" s="1"/>
  <c r="L45" i="1" a="1"/>
  <c r="L45" i="1" s="1"/>
  <c r="J101" i="1" l="1"/>
  <c r="J87" i="1"/>
  <c r="K87" i="1"/>
  <c r="K101" i="1"/>
  <c r="J76" i="1"/>
  <c r="J80" i="1"/>
  <c r="K76" i="1"/>
  <c r="K80" i="1"/>
  <c r="J90" i="1"/>
  <c r="K90" i="1"/>
  <c r="K89" i="1"/>
  <c r="J92" i="1"/>
  <c r="J89" i="1"/>
  <c r="J98" i="1"/>
  <c r="K92" i="1"/>
  <c r="K98" i="1"/>
  <c r="J75" i="1"/>
  <c r="K75" i="1"/>
  <c r="J67" i="1"/>
  <c r="J62" i="1"/>
  <c r="K67" i="1"/>
  <c r="K62" i="1"/>
  <c r="J44" i="1"/>
  <c r="K44" i="1"/>
  <c r="J88" i="1"/>
  <c r="K88" i="1"/>
  <c r="J54" i="1"/>
  <c r="K54" i="1"/>
  <c r="J47" i="1"/>
  <c r="K99" i="1"/>
  <c r="K47" i="1"/>
  <c r="J99" i="1"/>
  <c r="J97" i="1"/>
  <c r="K97" i="1"/>
  <c r="J50" i="1"/>
  <c r="J81" i="1"/>
  <c r="K50" i="1"/>
  <c r="J102" i="1"/>
  <c r="K81" i="1"/>
  <c r="J85" i="1"/>
  <c r="K102" i="1"/>
  <c r="K85" i="1"/>
  <c r="J38" i="1"/>
  <c r="J83" i="1"/>
  <c r="K38" i="1"/>
  <c r="J39" i="1"/>
  <c r="K83" i="1"/>
  <c r="K39" i="1"/>
  <c r="K22" i="1"/>
  <c r="J36" i="1"/>
  <c r="K36" i="1"/>
  <c r="J22" i="1"/>
  <c r="J29" i="1"/>
  <c r="K29" i="1"/>
  <c r="J100" i="1"/>
  <c r="J43" i="1"/>
  <c r="K100" i="1"/>
  <c r="J96" i="1"/>
  <c r="K43" i="1"/>
  <c r="J95" i="1"/>
  <c r="K96" i="1"/>
  <c r="J94" i="1"/>
  <c r="K95" i="1"/>
  <c r="J93" i="1"/>
  <c r="K94" i="1"/>
  <c r="K93" i="1"/>
  <c r="J91" i="1"/>
  <c r="J86" i="1"/>
  <c r="K91" i="1"/>
  <c r="J84" i="1"/>
  <c r="K86" i="1"/>
  <c r="K84" i="1"/>
  <c r="J79" i="1"/>
  <c r="K79" i="1"/>
  <c r="J78" i="1"/>
  <c r="K77" i="1"/>
  <c r="K78" i="1"/>
  <c r="J77" i="1"/>
  <c r="J74" i="1"/>
  <c r="J73" i="1"/>
  <c r="K74" i="1"/>
  <c r="K73" i="1"/>
  <c r="J72" i="1"/>
  <c r="K72" i="1"/>
  <c r="J71" i="1"/>
  <c r="K71" i="1"/>
  <c r="J70" i="1"/>
  <c r="K69" i="1"/>
  <c r="K70" i="1"/>
  <c r="J69" i="1"/>
  <c r="J68" i="1"/>
  <c r="K68" i="1"/>
  <c r="J66" i="1"/>
  <c r="K66" i="1"/>
  <c r="J63" i="1"/>
  <c r="K63" i="1"/>
  <c r="J65" i="1"/>
  <c r="J61" i="1"/>
  <c r="K61" i="1"/>
  <c r="J64" i="1"/>
  <c r="K65" i="1"/>
  <c r="J60" i="1"/>
  <c r="K64" i="1"/>
  <c r="K60" i="1"/>
  <c r="J59" i="1"/>
  <c r="K59" i="1"/>
  <c r="K58" i="1"/>
  <c r="J58" i="1"/>
  <c r="J57" i="1"/>
  <c r="K57" i="1"/>
  <c r="J56" i="1"/>
  <c r="K56" i="1"/>
  <c r="J55" i="1"/>
  <c r="K55" i="1"/>
  <c r="J53" i="1"/>
  <c r="K53" i="1"/>
  <c r="J52" i="1"/>
  <c r="J51" i="1"/>
  <c r="K52" i="1"/>
  <c r="K51" i="1"/>
  <c r="J49" i="1"/>
  <c r="J48" i="1"/>
  <c r="K49" i="1"/>
  <c r="K48" i="1"/>
  <c r="J46" i="1"/>
  <c r="K46" i="1"/>
  <c r="K45" i="1"/>
  <c r="J45" i="1"/>
  <c r="B82" i="1" l="1" a="1"/>
  <c r="B82" i="1" s="1"/>
  <c r="F82" i="1" a="1"/>
  <c r="F82" i="1" s="1"/>
  <c r="G82" i="1" a="1"/>
  <c r="G82" i="1" s="1"/>
  <c r="H82" i="1" a="1"/>
  <c r="H82" i="1" s="1"/>
  <c r="L82" i="1" a="1"/>
  <c r="L82" i="1" s="1"/>
  <c r="B40" i="1" a="1"/>
  <c r="B40" i="1" s="1"/>
  <c r="F40" i="1" a="1"/>
  <c r="F40" i="1" s="1"/>
  <c r="G40" i="1" a="1"/>
  <c r="G40" i="1" s="1"/>
  <c r="H40" i="1" a="1"/>
  <c r="H40" i="1" s="1"/>
  <c r="L40" i="1" a="1"/>
  <c r="L40" i="1" s="1"/>
  <c r="B4" i="1" a="1"/>
  <c r="B4" i="1" s="1"/>
  <c r="F4" i="1" a="1"/>
  <c r="F4" i="1" s="1"/>
  <c r="G4" i="1" a="1"/>
  <c r="G4" i="1" s="1"/>
  <c r="H4" i="1" a="1"/>
  <c r="H4" i="1" s="1"/>
  <c r="L4" i="1" a="1"/>
  <c r="L4" i="1" s="1"/>
  <c r="F19" i="1" a="1"/>
  <c r="F19" i="1" s="1"/>
  <c r="F33" i="1" a="1"/>
  <c r="F33" i="1" s="1"/>
  <c r="F14" i="1" a="1"/>
  <c r="F14" i="1" s="1"/>
  <c r="F16" i="1" a="1"/>
  <c r="F16" i="1" s="1"/>
  <c r="F34" i="1" a="1"/>
  <c r="F34" i="1" s="1"/>
  <c r="F8" i="1" a="1"/>
  <c r="F8" i="1" s="1"/>
  <c r="F32" i="1" a="1"/>
  <c r="F32" i="1" s="1"/>
  <c r="F17" i="1" a="1"/>
  <c r="F17" i="1" s="1"/>
  <c r="F6" i="1" a="1"/>
  <c r="F6" i="1" s="1"/>
  <c r="F37" i="1" a="1"/>
  <c r="F37" i="1" s="1"/>
  <c r="F42" i="1" a="1"/>
  <c r="F42" i="1" s="1"/>
  <c r="F41" i="1" a="1"/>
  <c r="F41" i="1" s="1"/>
  <c r="L2" i="1" a="1"/>
  <c r="L2" i="1" s="1"/>
  <c r="L12" i="1" a="1"/>
  <c r="L12" i="1" s="1"/>
  <c r="L3" i="1" a="1"/>
  <c r="L3" i="1" s="1"/>
  <c r="L30" i="1" a="1"/>
  <c r="L30" i="1" s="1"/>
  <c r="L31" i="1" a="1"/>
  <c r="L31" i="1" s="1"/>
  <c r="L18" i="1" a="1"/>
  <c r="L18" i="1" s="1"/>
  <c r="L7" i="1" a="1"/>
  <c r="L7" i="1" s="1"/>
  <c r="L26" i="1" a="1"/>
  <c r="L26" i="1" s="1"/>
  <c r="L35" i="1" a="1"/>
  <c r="L35" i="1" s="1"/>
  <c r="L24" i="1" a="1"/>
  <c r="L24" i="1" s="1"/>
  <c r="L10" i="1" a="1"/>
  <c r="L10" i="1" s="1"/>
  <c r="L20" i="1" a="1"/>
  <c r="L20" i="1" s="1"/>
  <c r="L15" i="1" a="1"/>
  <c r="L15" i="1" s="1"/>
  <c r="L27" i="1" a="1"/>
  <c r="L27" i="1" s="1"/>
  <c r="L11" i="1" a="1"/>
  <c r="L11" i="1" s="1"/>
  <c r="L21" i="1" a="1"/>
  <c r="L21" i="1" s="1"/>
  <c r="L25" i="1" a="1"/>
  <c r="L25" i="1" s="1"/>
  <c r="L28" i="1" a="1"/>
  <c r="L28" i="1" s="1"/>
  <c r="L13" i="1" a="1"/>
  <c r="L13" i="1" s="1"/>
  <c r="L5" i="1" a="1"/>
  <c r="L5" i="1" s="1"/>
  <c r="L19" i="1" a="1"/>
  <c r="L19" i="1" s="1"/>
  <c r="L33" i="1" a="1"/>
  <c r="L33" i="1" s="1"/>
  <c r="L14" i="1" a="1"/>
  <c r="L14" i="1" s="1"/>
  <c r="L16" i="1" a="1"/>
  <c r="L16" i="1" s="1"/>
  <c r="L34" i="1" a="1"/>
  <c r="L34" i="1" s="1"/>
  <c r="L8" i="1" a="1"/>
  <c r="L8" i="1" s="1"/>
  <c r="L32" i="1" a="1"/>
  <c r="L32" i="1" s="1"/>
  <c r="L17" i="1" a="1"/>
  <c r="L17" i="1" s="1"/>
  <c r="L6" i="1" a="1"/>
  <c r="L6" i="1" s="1"/>
  <c r="L23" i="1" a="1"/>
  <c r="L23" i="1" s="1"/>
  <c r="L9" i="1" a="1"/>
  <c r="L9" i="1" s="1"/>
  <c r="L37" i="1" a="1"/>
  <c r="L37" i="1" s="1"/>
  <c r="L42" i="1" a="1"/>
  <c r="L42" i="1" s="1"/>
  <c r="L41" i="1" a="1"/>
  <c r="L41" i="1" s="1"/>
  <c r="H2" i="1" a="1"/>
  <c r="H2" i="1" s="1"/>
  <c r="H12" i="1" a="1"/>
  <c r="H12" i="1" s="1"/>
  <c r="H3" i="1" a="1"/>
  <c r="H3" i="1" s="1"/>
  <c r="H30" i="1" a="1"/>
  <c r="H30" i="1" s="1"/>
  <c r="H31" i="1" a="1"/>
  <c r="H31" i="1" s="1"/>
  <c r="H18" i="1" a="1"/>
  <c r="H18" i="1" s="1"/>
  <c r="H7" i="1" a="1"/>
  <c r="H7" i="1" s="1"/>
  <c r="H26" i="1" a="1"/>
  <c r="H26" i="1" s="1"/>
  <c r="H35" i="1" a="1"/>
  <c r="H35" i="1" s="1"/>
  <c r="H24" i="1" a="1"/>
  <c r="H24" i="1" s="1"/>
  <c r="H10" i="1" a="1"/>
  <c r="H10" i="1" s="1"/>
  <c r="H20" i="1" a="1"/>
  <c r="H20" i="1" s="1"/>
  <c r="H15" i="1" a="1"/>
  <c r="H15" i="1" s="1"/>
  <c r="H27" i="1" a="1"/>
  <c r="H27" i="1" s="1"/>
  <c r="H11" i="1" a="1"/>
  <c r="H11" i="1" s="1"/>
  <c r="H21" i="1" a="1"/>
  <c r="H21" i="1" s="1"/>
  <c r="H25" i="1" a="1"/>
  <c r="H25" i="1" s="1"/>
  <c r="H28" i="1" a="1"/>
  <c r="H28" i="1" s="1"/>
  <c r="H13" i="1" a="1"/>
  <c r="H13" i="1" s="1"/>
  <c r="H5" i="1" a="1"/>
  <c r="H5" i="1" s="1"/>
  <c r="H19" i="1" a="1"/>
  <c r="H19" i="1" s="1"/>
  <c r="H33" i="1" a="1"/>
  <c r="H33" i="1" s="1"/>
  <c r="H14" i="1" a="1"/>
  <c r="H14" i="1" s="1"/>
  <c r="H16" i="1" a="1"/>
  <c r="H16" i="1" s="1"/>
  <c r="H34" i="1" a="1"/>
  <c r="H34" i="1" s="1"/>
  <c r="H8" i="1" a="1"/>
  <c r="H8" i="1" s="1"/>
  <c r="H32" i="1" a="1"/>
  <c r="H32" i="1" s="1"/>
  <c r="H17" i="1" a="1"/>
  <c r="H17" i="1" s="1"/>
  <c r="H6" i="1" a="1"/>
  <c r="H6" i="1" s="1"/>
  <c r="H23" i="1" a="1"/>
  <c r="H23" i="1" s="1"/>
  <c r="H9" i="1" a="1"/>
  <c r="H9" i="1" s="1"/>
  <c r="H37" i="1" a="1"/>
  <c r="H37" i="1" s="1"/>
  <c r="H42" i="1" a="1"/>
  <c r="H42" i="1" s="1"/>
  <c r="H41" i="1" a="1"/>
  <c r="H41" i="1" s="1"/>
  <c r="G2" i="1" a="1"/>
  <c r="G2" i="1" s="1"/>
  <c r="G12" i="1" a="1"/>
  <c r="G12" i="1" s="1"/>
  <c r="G3" i="1" a="1"/>
  <c r="G3" i="1" s="1"/>
  <c r="G30" i="1" a="1"/>
  <c r="G30" i="1" s="1"/>
  <c r="G31" i="1" a="1"/>
  <c r="G31" i="1" s="1"/>
  <c r="G18" i="1" a="1"/>
  <c r="G18" i="1" s="1"/>
  <c r="G7" i="1" a="1"/>
  <c r="G7" i="1" s="1"/>
  <c r="G26" i="1" a="1"/>
  <c r="G26" i="1" s="1"/>
  <c r="G35" i="1" a="1"/>
  <c r="G35" i="1" s="1"/>
  <c r="G24" i="1" a="1"/>
  <c r="G24" i="1" s="1"/>
  <c r="G10" i="1" a="1"/>
  <c r="G10" i="1" s="1"/>
  <c r="G20" i="1" a="1"/>
  <c r="G20" i="1" s="1"/>
  <c r="G15" i="1" a="1"/>
  <c r="G15" i="1" s="1"/>
  <c r="G27" i="1" a="1"/>
  <c r="G27" i="1" s="1"/>
  <c r="G11" i="1" a="1"/>
  <c r="G11" i="1" s="1"/>
  <c r="G21" i="1" a="1"/>
  <c r="G21" i="1" s="1"/>
  <c r="G25" i="1" a="1"/>
  <c r="G25" i="1" s="1"/>
  <c r="G28" i="1" a="1"/>
  <c r="G28" i="1" s="1"/>
  <c r="G13" i="1" a="1"/>
  <c r="G13" i="1" s="1"/>
  <c r="G5" i="1" a="1"/>
  <c r="G5" i="1" s="1"/>
  <c r="G19" i="1" a="1"/>
  <c r="G19" i="1" s="1"/>
  <c r="G33" i="1" a="1"/>
  <c r="G33" i="1" s="1"/>
  <c r="G14" i="1" a="1"/>
  <c r="G14" i="1" s="1"/>
  <c r="G16" i="1" a="1"/>
  <c r="G16" i="1" s="1"/>
  <c r="G34" i="1" a="1"/>
  <c r="G34" i="1" s="1"/>
  <c r="G8" i="1" a="1"/>
  <c r="G8" i="1" s="1"/>
  <c r="G32" i="1" a="1"/>
  <c r="G32" i="1" s="1"/>
  <c r="G17" i="1" a="1"/>
  <c r="G17" i="1" s="1"/>
  <c r="G6" i="1" a="1"/>
  <c r="G6" i="1" s="1"/>
  <c r="G23" i="1" a="1"/>
  <c r="G23" i="1" s="1"/>
  <c r="G9" i="1" a="1"/>
  <c r="G9" i="1" s="1"/>
  <c r="G37" i="1" a="1"/>
  <c r="G37" i="1" s="1"/>
  <c r="G42" i="1" a="1"/>
  <c r="G42" i="1" s="1"/>
  <c r="G41" i="1" a="1"/>
  <c r="G41" i="1" s="1"/>
  <c r="F2" i="1" a="1"/>
  <c r="F2" i="1" s="1"/>
  <c r="F12" i="1" a="1"/>
  <c r="F12" i="1" s="1"/>
  <c r="F3" i="1" a="1"/>
  <c r="F3" i="1" s="1"/>
  <c r="F30" i="1" a="1"/>
  <c r="F30" i="1" s="1"/>
  <c r="F31" i="1" a="1"/>
  <c r="F31" i="1" s="1"/>
  <c r="F18" i="1" a="1"/>
  <c r="F18" i="1" s="1"/>
  <c r="F7" i="1" a="1"/>
  <c r="F7" i="1" s="1"/>
  <c r="F26" i="1" a="1"/>
  <c r="F26" i="1" s="1"/>
  <c r="F35" i="1" a="1"/>
  <c r="F35" i="1" s="1"/>
  <c r="F24" i="1" a="1"/>
  <c r="F24" i="1" s="1"/>
  <c r="F10" i="1" a="1"/>
  <c r="F10" i="1" s="1"/>
  <c r="F20" i="1" a="1"/>
  <c r="F20" i="1" s="1"/>
  <c r="F15" i="1" a="1"/>
  <c r="F15" i="1" s="1"/>
  <c r="F27" i="1" a="1"/>
  <c r="F27" i="1" s="1"/>
  <c r="F11" i="1" a="1"/>
  <c r="F11" i="1" s="1"/>
  <c r="F21" i="1" a="1"/>
  <c r="F21" i="1" s="1"/>
  <c r="F25" i="1" a="1"/>
  <c r="F25" i="1" s="1"/>
  <c r="F28" i="1" a="1"/>
  <c r="F28" i="1" s="1"/>
  <c r="F13" i="1" a="1"/>
  <c r="F13" i="1" s="1"/>
  <c r="F5" i="1" a="1"/>
  <c r="F5" i="1" s="1"/>
  <c r="B41" i="1" a="1"/>
  <c r="B41" i="1" s="1"/>
  <c r="B42" i="1" a="1"/>
  <c r="B42" i="1" s="1"/>
  <c r="B37" i="1" a="1"/>
  <c r="B37" i="1" s="1"/>
  <c r="B9" i="1" a="1"/>
  <c r="B9" i="1" s="1"/>
  <c r="B23" i="1" a="1"/>
  <c r="B23" i="1" s="1"/>
  <c r="B6" i="1" a="1"/>
  <c r="B6" i="1" s="1"/>
  <c r="B17" i="1" a="1"/>
  <c r="B17" i="1" s="1"/>
  <c r="B32" i="1" a="1"/>
  <c r="B32" i="1" s="1"/>
  <c r="B8" i="1" a="1"/>
  <c r="B8" i="1" s="1"/>
  <c r="B34" i="1" a="1"/>
  <c r="B34" i="1" s="1"/>
  <c r="B16" i="1" a="1"/>
  <c r="B16" i="1" s="1"/>
  <c r="B14" i="1" a="1"/>
  <c r="B14" i="1" s="1"/>
  <c r="B33" i="1" a="1"/>
  <c r="B33" i="1" s="1"/>
  <c r="B19" i="1" a="1"/>
  <c r="B19" i="1" s="1"/>
  <c r="B5" i="1" a="1"/>
  <c r="B5" i="1" s="1"/>
  <c r="B13" i="1" a="1"/>
  <c r="B13" i="1" s="1"/>
  <c r="B28" i="1" a="1"/>
  <c r="B28" i="1" s="1"/>
  <c r="B25" i="1" a="1"/>
  <c r="B25" i="1" s="1"/>
  <c r="B21" i="1" a="1"/>
  <c r="B21" i="1" s="1"/>
  <c r="B11" i="1" a="1"/>
  <c r="B11" i="1" s="1"/>
  <c r="B27" i="1" a="1"/>
  <c r="B27" i="1" s="1"/>
  <c r="B15" i="1" a="1"/>
  <c r="B15" i="1" s="1"/>
  <c r="B20" i="1" a="1"/>
  <c r="B20" i="1" s="1"/>
  <c r="B10" i="1" a="1"/>
  <c r="B10" i="1" s="1"/>
  <c r="B24" i="1" a="1"/>
  <c r="B24" i="1" s="1"/>
  <c r="B35" i="1" a="1"/>
  <c r="B35" i="1" s="1"/>
  <c r="B26" i="1" a="1"/>
  <c r="B26" i="1" s="1"/>
  <c r="B7" i="1" a="1"/>
  <c r="B7" i="1" s="1"/>
  <c r="B18" i="1" a="1"/>
  <c r="B18" i="1" s="1"/>
  <c r="B31" i="1" a="1"/>
  <c r="B31" i="1" s="1"/>
  <c r="B30" i="1" a="1"/>
  <c r="B30" i="1" s="1"/>
  <c r="B3" i="1" a="1"/>
  <c r="B3" i="1" s="1"/>
  <c r="B12" i="1" a="1"/>
  <c r="B12" i="1" s="1"/>
  <c r="B2" i="1" a="1"/>
  <c r="B2" i="1" s="1"/>
  <c r="J82" i="1" l="1"/>
  <c r="J40" i="1"/>
  <c r="K82" i="1"/>
  <c r="K40" i="1"/>
  <c r="J4" i="1"/>
  <c r="K4" i="1"/>
  <c r="K27" i="1"/>
  <c r="K31" i="1"/>
  <c r="K41" i="1"/>
  <c r="K16" i="1"/>
  <c r="K23" i="1"/>
  <c r="K5" i="1"/>
  <c r="K12" i="1"/>
  <c r="J32" i="1"/>
  <c r="J25" i="1"/>
  <c r="J26" i="1"/>
  <c r="K24" i="1"/>
  <c r="K8" i="1"/>
  <c r="K21" i="1"/>
  <c r="J7" i="1"/>
  <c r="K6" i="1"/>
  <c r="K13" i="1"/>
  <c r="K2" i="1"/>
  <c r="K34" i="1"/>
  <c r="K42" i="1"/>
  <c r="K14" i="1"/>
  <c r="K15" i="1"/>
  <c r="K30" i="1"/>
  <c r="K3" i="1"/>
  <c r="J17" i="1"/>
  <c r="J28" i="1"/>
  <c r="K37" i="1"/>
  <c r="K33" i="1"/>
  <c r="K20" i="1"/>
  <c r="J35" i="1"/>
  <c r="K11" i="1"/>
  <c r="K18" i="1"/>
  <c r="K9" i="1"/>
  <c r="K19" i="1"/>
  <c r="K10" i="1"/>
  <c r="K17" i="1"/>
  <c r="K28" i="1"/>
  <c r="K35" i="1"/>
  <c r="K32" i="1"/>
  <c r="K25" i="1"/>
  <c r="K26" i="1"/>
  <c r="J2" i="1"/>
  <c r="K7" i="1"/>
  <c r="J8" i="1"/>
  <c r="J21" i="1"/>
  <c r="J27" i="1"/>
  <c r="J41" i="1"/>
  <c r="J16" i="1"/>
  <c r="J31" i="1"/>
  <c r="J6" i="1"/>
  <c r="J13" i="1"/>
  <c r="J24" i="1"/>
  <c r="J23" i="1"/>
  <c r="J5" i="1"/>
  <c r="J12" i="1"/>
  <c r="J34" i="1"/>
  <c r="J11" i="1"/>
  <c r="J18" i="1"/>
  <c r="J42" i="1"/>
  <c r="J14" i="1"/>
  <c r="J15" i="1"/>
  <c r="J30" i="1"/>
  <c r="J33" i="1"/>
  <c r="J20" i="1"/>
  <c r="J3" i="1"/>
  <c r="J37" i="1"/>
  <c r="J9" i="1"/>
  <c r="J19" i="1"/>
  <c r="J10"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42"/>
        </ext>
      </extLst>
    </bk>
    <bk>
      <extLst>
        <ext uri="{3e2802c4-a4d2-4d8b-9148-e3be6c30e623}">
          <xlrd:rvb i="43"/>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futureMetadata>
  <cellMetadata count="1">
    <bk>
      <rc t="1" v="0"/>
    </bk>
  </cellMetadata>
  <valueMetadata count="10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<sst xmlns="http://schemas.openxmlformats.org/spreadsheetml/2006/main" count="12" uniqueCount="12">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</sst>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20">
  <rv s="0">
    <v>https://www.bing.com/financeapi/forcetrigger?t=a1mou2&amp;q=XNAS%3aAAPL&amp;form=skydnc</v>
    <v>Learn more on Bing</v>
  </rv>
  <rv s="1">
    <v>0</v>
    <v>APPLE INC. (XNAS:AAPL)</v>
    <v>2</v>
    <v>3</v>
    <v>Finance</v>
    <v>4</v>
    <v>en-US</v>
    <v>a1mou2</v>
    <v>268435456</v>
    <v>1</v>
    <v>Powered by Refinitiv</v>
    <v>288.62</v>
    <v>169.21010000000001</v>
    <v>1.1186</v>
    <v>-0.97</v>
    <v>-3.8960000000000002E-3</v>
    <v>1.78</v>
    <v>7.1780000000000004E-3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249.19990000000001</v>
    <v>Computers, Phones &amp; Household Electronics</v>
    <v>Stock</v>
    <v>46101.999966238283</v>
    <v>0</v>
    <v>246</v>
    <v>3646122573000</v>
    <v>APPLE INC.</v>
    <v>APPLE INC.</v>
    <v>247.97499999999999</v>
    <v>31.506399999999999</v>
    <v>248.96</v>
    <v>247.99</v>
    <v>249.77</v>
    <v>14702700000</v>
    <v>AAPL</v>
    <v>APPLE INC. (XNAS:AAPL)</v>
    <v>88331081</v>
    <v>41779741</v>
    <v>1977</v>
  </rv>
  <rv s="2">
    <v>1</v>
  </rv>
  <rv s="0">
    <v>https://www.bing.com/financeapi/forcetrigger?t=a1nhlh&amp;q=XNAS%3aAMZN&amp;form=skydnc</v>
    <v>Learn more on Bing</v>
  </rv>
  <rv s="1">
    <v>0</v>
    <v>AMAZON.COM, INC. (XNAS:AMZN)</v>
    <v>2</v>
    <v>3</v>
    <v>Finance</v>
    <v>4</v>
    <v>en-US</v>
    <v>a1nhlh</v>
    <v>268435456</v>
    <v>1</v>
    <v>Powered by Refinitiv</v>
    <v>258.60000000000002</v>
    <v>161.38</v>
    <v>1.3867</v>
    <v>-3.39</v>
    <v>-1.6239E-2</v>
    <v>1.73</v>
    <v>8.4240000000000009E-3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207.54</v>
    <v>Diversified Retail</v>
    <v>Stock</v>
    <v>46101.999975115628</v>
    <v>3</v>
    <v>204.316</v>
    <v>2204630520400</v>
    <v>AMAZON.COM, INC.</v>
    <v>AMAZON.COM, INC.</v>
    <v>207.4</v>
    <v>29.1067</v>
    <v>208.76</v>
    <v>205.37</v>
    <v>207.1</v>
    <v>10734920000</v>
    <v>AMZN</v>
    <v>AMAZON.COM, INC. (XNAS:AMZN)</v>
    <v>63694603</v>
    <v>49439508</v>
    <v>1996</v>
  </rv>
  <rv s="2">
    <v>4</v>
  </rv>
  <rv s="0">
    <v>https://www.bing.com/financeapi/forcetrigger?t=a1u3rw&amp;q=XNAS%3aGOOGL&amp;form=skydnc</v>
    <v>Learn more on Bing</v>
  </rv>
  <rv s="1">
    <v>0</v>
    <v>ALPHABET INC. (XNAS:GOOGL)</v>
    <v>2</v>
    <v>3</v>
    <v>Finance</v>
    <v>4</v>
    <v>en-US</v>
    <v>a1u3rw</v>
    <v>268435456</v>
    <v>1</v>
    <v>Powered by Refinitiv</v>
    <v>349</v>
    <v>140.53</v>
    <v>1.1034999999999999</v>
    <v>-6.13</v>
    <v>-1.9959000000000001E-2</v>
    <v>1.6</v>
    <v>5.3159999999999995E-3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306</v>
    <v>Software &amp; IT Services</v>
    <v>Stock</v>
    <v>46101.999817082811</v>
    <v>6</v>
    <v>298.27</v>
    <v>3641197000000</v>
    <v>ALPHABET INC.</v>
    <v>ALPHABET INC.</v>
    <v>305.45999999999998</v>
    <v>27.8446</v>
    <v>307.13</v>
    <v>301</v>
    <v>302.60000000000002</v>
    <v>12097000000</v>
    <v>GOOGL</v>
    <v>ALPHABET INC. (XNAS:GOOGL)</v>
    <v>44364079</v>
    <v>31124882</v>
    <v>2015</v>
  </rv>
  <rv s="2">
    <v>7</v>
  </rv>
  <rv s="0">
    <v>http://en.wikipedia.org/wiki/Public_domain</v>
    <v>Public domain</v>
  </rv>
  <rv s="0">
    <v>https://en.wikipedia.org/wiki/Microsoft</v>
    <v>Wikipedia</v>
  </rv>
  <rv s="3">
    <v>9</v>
    <v>10</v>
  </rv>
  <rv s="4">
    <v>9</v>
    <v>https://www.bing.com/th?id=AMMS_e6e837c7bf3a77408619758b7447855a&amp;qlt=95</v>
    <v>11</v>
    <v>0</v>
    <v>https://www.bing.com/images/search?form=xlimg&amp;q=microsoft</v>
    <v>Image of MICROSOFT CORPORATION</v>
  </rv>
  <rv s="0">
    <v>https://www.bing.com/financeapi/forcetrigger?t=a1xzim&amp;q=XNAS%3aMSFT&amp;form=skydnc</v>
    <v>Learn more on Bing</v>
  </rv>
  <rv s="5">
    <v>5</v>
    <v>MICROSOFT CORPORATION (XNAS:MSFT)</v>
    <v>7</v>
    <v>8</v>
    <v>Finance</v>
    <v>4</v>
    <v>en-US</v>
    <v>a1xzim</v>
    <v>268435456</v>
    <v>1</v>
    <v>Powered by Refinitiv</v>
    <v>555.45000000000005</v>
    <v>344.79</v>
    <v>1.0891999999999999</v>
    <v>-7.15</v>
    <v>-1.8380000000000001E-2</v>
    <v>1.7</v>
    <v>4.4520000000000002E-3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387</v>
    <v>12</v>
    <v>Software &amp; IT Services</v>
    <v>Stock</v>
    <v>46101.999993981248</v>
    <v>13</v>
    <v>380.12</v>
    <v>2835624946230</v>
    <v>MICROSOFT CORPORATION</v>
    <v>MICROSOFT CORPORATION</v>
    <v>386.79</v>
    <v>24.340499999999999</v>
    <v>389.02</v>
    <v>381.87</v>
    <v>383.57</v>
    <v>7425629000</v>
    <v>MSFT</v>
    <v>MICROSOFT CORPORATION (XNAS:MSFT)</v>
    <v>50853154</v>
    <v>33001826</v>
    <v>1993</v>
  </rv>
  <rv s="2">
    <v>14</v>
  </rv>
  <rv s="0">
    <v>https://www.bing.com/financeapi/forcetrigger?t=a24p1h&amp;q=XNAS%3aTXN&amp;form=skydnc</v>
    <v>Learn more on Bing</v>
  </rv>
  <rv s="1">
    <v>0</v>
    <v>TEXAS INSTRUMENTS INCORPORATED (XNAS:TXN)</v>
    <v>2</v>
    <v>3</v>
    <v>Finance</v>
    <v>4</v>
    <v>en-US</v>
    <v>a24p1h</v>
    <v>268435456</v>
    <v>1</v>
    <v>Powered by Refinitiv</v>
    <v>231.32</v>
    <v>139.94999999999999</v>
    <v>1.0118</v>
    <v>-1.1000000000000001</v>
    <v>-5.8420000000000008E-3</v>
    <v>2.09</v>
    <v>1.1165000000000001E-2</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190.33</v>
    <v>Semiconductors &amp; Semiconductor Equipment</v>
    <v>Stock</v>
    <v>46101.999860532029</v>
    <v>16</v>
    <v>185.84</v>
    <v>170429643846</v>
    <v>TEXAS INSTRUMENTS INCORPORATED</v>
    <v>TEXAS INSTRUMENTS INCORPORATED</v>
    <v>188.52</v>
    <v>34.358699999999999</v>
    <v>188.29</v>
    <v>187.19</v>
    <v>189.28</v>
    <v>910463400</v>
    <v>TXN</v>
    <v>TEXAS INSTRUMENTS INCORPORATED (XNAS:TXN)</v>
    <v>15025199</v>
    <v>6369425</v>
    <v>1938</v>
  </rv>
  <rv s="2">
    <v>17</v>
  </rv>
  <rv s="0">
    <v>https://www.bing.com/financeapi/forcetrigger?t=a1pwqh&amp;q=XNAS%3aCMCSA&amp;form=skydnc</v>
    <v>Learn more on Bing</v>
  </rv>
  <rv s="1">
    <v>0</v>
    <v>COMCAST CORPORATION (XNAS:CMCSA)</v>
    <v>2</v>
    <v>3</v>
    <v>Finance</v>
    <v>4</v>
    <v>en-US</v>
    <v>a1pwqh</v>
    <v>268435456</v>
    <v>1</v>
    <v>Powered by Refinitiv</v>
    <v>35.337299999999999</v>
    <v>24.1234</v>
    <v>0.78590000000000004</v>
    <v>0.04</v>
    <v>1.3800000000000002E-3</v>
    <v>0.04</v>
    <v>1.3780000000000001E-3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29.515000000000001</v>
    <v>Telecommunications Services</v>
    <v>Stock</v>
    <v>46101.998706921091</v>
    <v>19</v>
    <v>28.84</v>
    <v>104409490920</v>
    <v>COMCAST CORPORATION</v>
    <v>COMCAST CORPORATION</v>
    <v>28.925000000000001</v>
    <v>5.3983999999999996</v>
    <v>28.98</v>
    <v>29.02</v>
    <v>29.06</v>
    <v>3597846000</v>
    <v>CMCSA</v>
    <v>COMCAST CORPORATION (XNAS:CMCSA)</v>
    <v>246107119</v>
    <v>26901389</v>
    <v>2001</v>
  </rv>
  <rv s="2">
    <v>20</v>
  </rv>
  <rv s="0">
    <v>https://www.bing.com/financeapi/forcetrigger?t=a23www&amp;q=XNYS%3aT&amp;form=skydnc</v>
    <v>Learn more on Bing</v>
  </rv>
  <rv s="1">
    <v>0</v>
    <v>AT&amp;T INC. (XNYS:T)</v>
    <v>2</v>
    <v>3</v>
    <v>Finance</v>
    <v>4</v>
    <v>en-US</v>
    <v>a23www</v>
    <v>268435456</v>
    <v>1</v>
    <v>Powered by Refinitiv</v>
    <v>29.79</v>
    <v>22.95</v>
    <v>0.33079999999999998</v>
    <v>0.56999999999999995</v>
    <v>2.0548E-2</v>
    <v>0.01</v>
    <v>3.5319999999999997E-4</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28.63</v>
    <v>Telecommunications Services</v>
    <v>Stock</v>
    <v>46101.999662407034</v>
    <v>22</v>
    <v>27.835000000000001</v>
    <v>198186334870</v>
    <v>AT&amp;T INC.</v>
    <v>AT&amp;T INC.</v>
    <v>27.835000000000001</v>
    <v>9.0902999999999992</v>
    <v>27.74</v>
    <v>28.31</v>
    <v>28.32</v>
    <v>7000577000</v>
    <v>T</v>
    <v>AT&amp;T INC. (XNYS:T)</v>
    <v>128734186</v>
    <v>40444052</v>
    <v>1983</v>
  </rv>
  <rv s="2">
    <v>23</v>
  </rv>
  <rv s="0">
    <v>https://www.bing.com/financeapi/forcetrigger?t=a25obh&amp;q=XNYS%3aVZ&amp;form=skydnc</v>
    <v>Learn more on Bing</v>
  </rv>
  <rv s="1">
    <v>0</v>
    <v>VERIZON COMMUNICATIONS INC. (XNYS:VZ)</v>
    <v>2</v>
    <v>3</v>
    <v>Finance</v>
    <v>4</v>
    <v>en-US</v>
    <v>a25obh</v>
    <v>268435456</v>
    <v>1</v>
    <v>Powered by Refinitiv</v>
    <v>51.664999999999999</v>
    <v>38.39</v>
    <v>0.27239999999999998</v>
    <v>0.5</v>
    <v>1.0104999999999999E-2</v>
    <v>0.16</v>
    <v>3.2009999999999999E-3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50.454999999999998</v>
    <v>Telecommunications Services</v>
    <v>Stock</v>
    <v>46101.998630532034</v>
    <v>25</v>
    <v>49.49</v>
    <v>210799846320</v>
    <v>VERIZON COMMUNICATIONS INC.</v>
    <v>VERIZON COMMUNICATIONS INC.</v>
    <v>49.74</v>
    <v>12.1873</v>
    <v>49.48</v>
    <v>49.98</v>
    <v>50.14</v>
    <v>4217684000</v>
    <v>VZ</v>
    <v>VERIZON COMMUNICATIONS INC. (XNYS:VZ)</v>
    <v>67321764</v>
    <v>27347291</v>
    <v>1983</v>
  </rv>
  <rv s="2">
    <v>26</v>
  </rv>
  <rv s="0">
    <v>https://www.bing.com/financeapi/forcetrigger?t=a1tppr&amp;q=XNYS%3aGD&amp;form=skydnc</v>
    <v>Learn more on Bing</v>
  </rv>
  <rv s="1">
    <v>0</v>
    <v>GENERAL DYNAMICS CORPORATION (XNYS:GD)</v>
    <v>2</v>
    <v>3</v>
    <v>Finance</v>
    <v>4</v>
    <v>en-US</v>
    <v>a1tppr</v>
    <v>268435456</v>
    <v>1</v>
    <v>Powered by Refinitiv</v>
    <v>369.7</v>
    <v>239.2</v>
    <v>0.38340000000000002</v>
    <v>-3.85</v>
    <v>-1.1011999999999999E-2</v>
    <v>0.67</v>
    <v>1.9380000000000001E-3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352.04989999999998</v>
    <v>Aerospace &amp; Defense</v>
    <v>Stock</v>
    <v>46101.999763344531</v>
    <v>28</v>
    <v>343.08</v>
    <v>93495385044</v>
    <v>GENERAL DYNAMICS CORPORATION</v>
    <v>GENERAL DYNAMICS CORPORATION</v>
    <v>349.01</v>
    <v>22.3751</v>
    <v>349.63</v>
    <v>345.78</v>
    <v>346.45</v>
    <v>270389800</v>
    <v>GD</v>
    <v>GENERAL DYNAMICS CORPORATION (XNYS:GD)</v>
    <v>2894137</v>
    <v>1233422</v>
    <v>1952</v>
  </rv>
  <rv s="2">
    <v>29</v>
  </rv>
  <rv s="0">
    <v>https://www.bing.com/financeapi/forcetrigger?t=a1wzw7&amp;q=XNYS%3aLMT&amp;form=skydnc</v>
    <v>Learn more on Bing</v>
  </rv>
  <rv s="1">
    <v>0</v>
    <v>LOCKHEED MARTIN CORPORATION (XNYS:LMT)</v>
    <v>2</v>
    <v>3</v>
    <v>Finance</v>
    <v>4</v>
    <v>en-US</v>
    <v>a1wzw7</v>
    <v>268435456</v>
    <v>1</v>
    <v>Powered by Refinitiv</v>
    <v>692</v>
    <v>410.11</v>
    <v>0.22259999999999999</v>
    <v>-10.08</v>
    <v>-1.5812E-2</v>
    <v>-2.12</v>
    <v>-3.3789999999999996E-3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638.50990000000002</v>
    <v>Aerospace &amp; Defense</v>
    <v>Stock</v>
    <v>46101.999681503905</v>
    <v>31</v>
    <v>622.37</v>
    <v>144359219886</v>
    <v>LOCKHEED MARTIN CORPORATION</v>
    <v>LOCKHEED MARTIN CORPORATION</v>
    <v>635.86</v>
    <v>29.6708</v>
    <v>637.51</v>
    <v>627.42999999999995</v>
    <v>625.30999999999995</v>
    <v>230080200</v>
    <v>LMT</v>
    <v>LOCKHEED MARTIN CORPORATION (XNYS:LMT)</v>
    <v>6511253</v>
    <v>1613175</v>
    <v>1994</v>
  </rv>
  <rv s="2">
    <v>32</v>
  </rv>
  <rv s="0">
    <v>https://www.bing.com/financeapi/forcetrigger?t=a1mvm7&amp;q=XNYS%3aADM&amp;form=skydnc</v>
    <v>Learn more on Bing</v>
  </rv>
  <rv s="1">
    <v>0</v>
    <v>ARCHER-DANIELS-MIDLAND COMPANY. (XNYS:ADM)</v>
    <v>2</v>
    <v>3</v>
    <v>Finance</v>
    <v>4</v>
    <v>en-US</v>
    <v>a1mvm7</v>
    <v>268435456</v>
    <v>1</v>
    <v>Powered by Refinitiv</v>
    <v>73.72</v>
    <v>40.98</v>
    <v>0.68500000000000005</v>
    <v>-2.4700000000000002</v>
    <v>-3.5985000000000003E-2</v>
    <v>0.27</v>
    <v>4.0799999999999994E-3</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68.819999999999993</v>
    <v>Food &amp; Tobacco</v>
    <v>Stock</v>
    <v>46101.979712360939</v>
    <v>34</v>
    <v>65.069999999999993</v>
    <v>31841123106</v>
    <v>ARCHER-DANIELS-MIDLAND COMPANY.</v>
    <v>ARCHER-DANIELS-MIDLAND COMPANY.</v>
    <v>68.819999999999993</v>
    <v>30.8004</v>
    <v>68.64</v>
    <v>66.17</v>
    <v>66.44</v>
    <v>481201800</v>
    <v>ADM</v>
    <v>ARCHER-DANIELS-MIDLAND COMPANY. (XNYS:ADM)</v>
    <v>16669302</v>
    <v>3647753</v>
    <v>1923</v>
  </rv>
  <rv s="2">
    <v>35</v>
  </rv>
  <rv s="0">
    <v>http://zh.wikipedia.org/wiki/味可美</v>
    <v>Wikipedia</v>
  </rv>
  <rv s="3">
    <v>9</v>
    <v>37</v>
  </rv>
  <rv s="4">
    <v>9</v>
    <v>https://www.bing.com/th?id=AMMS_8d96836a886471f7120ce0135f3ca8bd&amp;qlt=95</v>
    <v>38</v>
    <v>0</v>
    <v>https://www.bing.com/images/search?form=xlimg&amp;q=mccormick+%26+company</v>
    <v>Image of MCCORMICK &amp; COMPANY, INCORPORATED</v>
  </rv>
  <rv s="0">
    <v>https://www.bing.com/financeapi/forcetrigger?t=a1xof2&amp;q=XNYS%3aMKC.V&amp;form=skydnc</v>
    <v>Learn more on Bing</v>
  </rv>
  <rv s="6">
    <v>10</v>
    <v>MCCORMICK &amp; COMPANY, INCORPORATED (XNYS:MKC.V)</v>
    <v>7</v>
    <v>11</v>
    <v>Finance</v>
    <v>4</v>
    <v>en-US</v>
    <v>a1xof2</v>
    <v>268435456</v>
    <v>1</v>
    <v>Powered by Refinitiv</v>
    <v>82.53</v>
    <v>53.25</v>
    <v>0.69079999999999997</v>
    <v>-0.89800000000000002</v>
    <v>-1.6584000000000002E-2</v>
    <v>0.01</v>
    <v>1.8780000000000001E-4</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54.18</v>
    <v>39</v>
    <v>Food &amp; Tobacco</v>
    <v>Stock</v>
    <v>46101.987290856247</v>
    <v>40</v>
    <v>53.25</v>
    <v>14294334150</v>
    <v>MCCORMICK &amp; COMPANY, INCORPORATED</v>
    <v>MCCORMICK &amp; COMPANY, INCORPORATED</v>
    <v>53.75</v>
    <v>54.148000000000003</v>
    <v>53.25</v>
    <v>53.26</v>
    <v>268438200</v>
    <v>MKC.V</v>
    <v>MCCORMICK &amp; COMPANY, INCORPORATED (XNYS:MKC.V)</v>
    <v>14449</v>
    <v>7439</v>
    <v>1915</v>
  </rv>
  <rv s="2">
    <v>41</v>
  </rv>
  <rv s="7">
    <v>12</v>
    <v>P/E</v>
    <v>0</v>
  </rv>
  <rv s="0">
    <v>https://www.bing.com/financeapi/forcetrigger?t=axyhnm&amp;q=XNAS%3aPEP&amp;form=skydnc</v>
    <v>Learn more on Bing</v>
  </rv>
  <rv s="1">
    <v>0</v>
    <v>Pepsico, Inc. (XNAS:PEP)</v>
    <v>2</v>
    <v>3</v>
    <v>Finance</v>
    <v>4</v>
    <v>en-US</v>
    <v>axyhnm</v>
    <v>268435456</v>
    <v>1</v>
    <v>Powered by Refinitiv</v>
    <v>171.48</v>
    <v>127.6</v>
    <v>0.42799999999999999</v>
    <v>-2.7</v>
    <v>-1.7677000000000002E-2</v>
    <v>1.478</v>
    <v>9.8510000000000004E-3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153.41</v>
    <v>Beverages</v>
    <v>Stock</v>
    <v>46101.998094767972</v>
    <v>44</v>
    <v>149.34</v>
    <v>205052015960</v>
    <v>Pepsico, Inc.</v>
    <v>Pepsico, Inc.</v>
    <v>152.44999999999999</v>
    <v>25.000399999999999</v>
    <v>152.74</v>
    <v>150.04</v>
    <v>151.518</v>
    <v>1366649000</v>
    <v>PEP</v>
    <v>Pepsico, Inc. (XNAS:PEP)</v>
    <v>14480711</v>
    <v>6601107</v>
    <v>1986</v>
  </rv>
  <rv s="2">
    <v>45</v>
  </rv>
  <rv s="0">
    <v>https://www.bing.com/financeapi/forcetrigger?t=a1uwu2&amp;q=XNYS%3aHSY&amp;form=skydnc</v>
    <v>Learn more on Bing</v>
  </rv>
  <rv s="1">
    <v>0</v>
    <v>THE HERSHEY COMPANY (XNYS:HSY)</v>
    <v>2</v>
    <v>3</v>
    <v>Finance</v>
    <v>4</v>
    <v>en-US</v>
    <v>a1uwu2</v>
    <v>268435456</v>
    <v>1</v>
    <v>Powered by Refinitiv</v>
    <v>239.48</v>
    <v>150.04</v>
    <v>0.1734</v>
    <v>-0.44</v>
    <v>-2.0890000000000001E-3</v>
    <v>-3.3877000000000002</v>
    <v>-1.6121E-2</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212.37</v>
    <v>Food &amp; Tobacco</v>
    <v>Stock</v>
    <v>46101.992799733591</v>
    <v>47</v>
    <v>208.98</v>
    <v>42593465726</v>
    <v>THE HERSHEY COMPANY</v>
    <v>THE HERSHEY COMPANY</v>
    <v>211.69</v>
    <v>48.400399999999998</v>
    <v>210.58</v>
    <v>210.14</v>
    <v>206.75229999999999</v>
    <v>202690900</v>
    <v>HSY</v>
    <v>THE HERSHEY COMPANY (XNYS:HSY)</v>
    <v>5666597</v>
    <v>1754045</v>
    <v>1927</v>
  </rv>
  <rv s="2">
    <v>48</v>
  </rv>
  <rv s="0">
    <v>https://www.bing.com/financeapi/forcetrigger?t=a2319c&amp;q=XNYS%3aSJM&amp;form=skydnc</v>
    <v>Learn more on Bing</v>
  </rv>
  <rv s="8">
    <v>12</v>
    <v>THE J. M. SMUCKER COMPANY (XNYS:SJM)</v>
    <v>2</v>
    <v>13</v>
    <v>Finance</v>
    <v>4</v>
    <v>en-US</v>
    <v>a2319c</v>
    <v>268435456</v>
    <v>1</v>
    <v>Powered by Refinitiv</v>
    <v>120.76</v>
    <v>93.3</v>
    <v>0.24890000000000001</v>
    <v>-1.04</v>
    <v>-1.0358000000000001E-2</v>
    <v>0.93</v>
    <v>9.3589999999999993E-3</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100.89</v>
    <v>Food &amp; Tobacco</v>
    <v>Stock</v>
    <v>46101.980223147657</v>
    <v>50</v>
    <v>98.8</v>
    <v>10597641571</v>
    <v>THE J. M. SMUCKER COMPANY</v>
    <v>THE J. M. SMUCKER COMPANY</v>
    <v>100.86</v>
    <v>100.41</v>
    <v>99.37</v>
    <v>100.3</v>
    <v>106648300</v>
    <v>SJM</v>
    <v>THE J. M. SMUCKER COMPANY (XNYS:SJM)</v>
    <v>2968641</v>
    <v>2686927</v>
    <v>1921</v>
  </rv>
  <rv s="2">
    <v>51</v>
  </rv>
  <rv s="0">
    <v>https://www.bing.com/financeapi/forcetrigger?t=a24km7&amp;q=XNYS%3aTSN&amp;form=skydnc</v>
    <v>Learn more on Bing</v>
  </rv>
  <rv s="1">
    <v>0</v>
    <v>TYSON FOODS, INCORPORATED (XNYS:TSN)</v>
    <v>2</v>
    <v>3</v>
    <v>Finance</v>
    <v>4</v>
    <v>en-US</v>
    <v>a24km7</v>
    <v>268435456</v>
    <v>1</v>
    <v>Powered by Refinitiv</v>
    <v>66.41</v>
    <v>50.56</v>
    <v>0.48349999999999999</v>
    <v>-0.94</v>
    <v>-1.5900000000000001E-2</v>
    <v>1.1599999999999999</v>
    <v>1.9938000000000001E-2</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59.48</v>
    <v>Food &amp; Tobacco</v>
    <v>Stock</v>
    <v>46101.958333344533</v>
    <v>53</v>
    <v>57.96</v>
    <v>20483956220</v>
    <v>TYSON FOODS, INCORPORATED</v>
    <v>TYSON FOODS, INCORPORATED</v>
    <v>59.08</v>
    <v>103.672</v>
    <v>59.12</v>
    <v>58.18</v>
    <v>59.34</v>
    <v>352079000</v>
    <v>TSN</v>
    <v>TYSON FOODS, INCORPORATED (XNYS:TSN)</v>
    <v>5879814</v>
    <v>3188367</v>
    <v>1986</v>
  </rv>
  <rv s="2">
    <v>54</v>
  </rv>
  <rv s="0">
    <v>https://www.bing.com/financeapi/forcetrigger?t=a1pvu2&amp;q=XNYS%3aCLX&amp;form=skydnc</v>
    <v>Learn more on Bing</v>
  </rv>
  <rv s="1">
    <v>0</v>
    <v>THE CLOROX COMPANY (XNYS:CLX)</v>
    <v>2</v>
    <v>3</v>
    <v>Finance</v>
    <v>4</v>
    <v>en-US</v>
    <v>a1pvu2</v>
    <v>268435456</v>
    <v>1</v>
    <v>Powered by Refinitiv</v>
    <v>150.84</v>
    <v>96.6601</v>
    <v>0.63670000000000004</v>
    <v>-0.47</v>
    <v>-4.4080000000000005E-3</v>
    <v>0.26</v>
    <v>2.4490000000000002E-3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107.4</v>
    <v>Personal &amp; Household Products &amp; Services</v>
    <v>Stock</v>
    <v>46101.99987925859</v>
    <v>56</v>
    <v>105.62</v>
    <v>12834798185</v>
    <v>THE CLOROX COMPANY</v>
    <v>THE CLOROX COMPANY</v>
    <v>107.21</v>
    <v>17.4209</v>
    <v>106.62</v>
    <v>106.15</v>
    <v>106.41</v>
    <v>120911900</v>
    <v>CLX</v>
    <v>THE CLOROX COMPANY (XNYS:CLX)</v>
    <v>4823269</v>
    <v>1980257</v>
    <v>1986</v>
  </rv>
  <rv s="2">
    <v>57</v>
  </rv>
  <rv s="0">
    <v>https://www.bing.com/financeapi/forcetrigger?t=a1yjxm&amp;q=XNYS%3aNKE&amp;form=skydnc</v>
    <v>Learn more on Bing</v>
  </rv>
  <rv s="1">
    <v>0</v>
    <v>NIKE, INC. (XNYS:NKE)</v>
    <v>2</v>
    <v>3</v>
    <v>Finance</v>
    <v>4</v>
    <v>en-US</v>
    <v>a1yjxm</v>
    <v>268435456</v>
    <v>1</v>
    <v>Powered by Refinitiv</v>
    <v>80.165000000000006</v>
    <v>52.174999999999997</v>
    <v>1.3226</v>
    <v>-1.07</v>
    <v>-2.0022000000000002E-2</v>
    <v>0.56000000000000005</v>
    <v>1.0692999999999999E-2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53.61</v>
    <v>Textiles &amp; Apparel</v>
    <v>Stock</v>
    <v>46101.999906620309</v>
    <v>59</v>
    <v>52.174999999999997</v>
    <v>77527657710</v>
    <v>NIKE, INC.</v>
    <v>NIKE, INC.</v>
    <v>52.94</v>
    <v>31.335599999999999</v>
    <v>53.44</v>
    <v>52.37</v>
    <v>52.93</v>
    <v>1480383000</v>
    <v>NKE</v>
    <v>NIKE, INC. (XNYS:NKE)</v>
    <v>19566100</v>
    <v>15907513</v>
    <v>1969</v>
  </rv>
  <rv s="2">
    <v>60</v>
  </rv>
  <rv s="0">
    <v>https://www.bing.com/financeapi/forcetrigger?t=a1uj52&amp;q=XNYS%3aHD&amp;form=skydnc</v>
    <v>Learn more on Bing</v>
  </rv>
  <rv s="1">
    <v>0</v>
    <v>THE HOME DEPOT, INC. (XNYS:HD)</v>
    <v>2</v>
    <v>3</v>
    <v>Finance</v>
    <v>4</v>
    <v>en-US</v>
    <v>a1uj52</v>
    <v>268435456</v>
    <v>1</v>
    <v>Powered by Refinitiv</v>
    <v>426.75</v>
    <v>320.2645</v>
    <v>1.0974999999999999</v>
    <v>-7.46</v>
    <v>-2.2728999999999999E-2</v>
    <v>3.1030000000000002</v>
    <v>9.6740000000000003E-3</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472400</v>
    <v>New York Stock Exchange</v>
    <v>XNYS</v>
    <v>XNYS</v>
    <v>2455 Paces Ferry Road, ATLANTA, GA, 30339 US</v>
    <v>330.23</v>
    <v>Specialty Retailers</v>
    <v>Stock</v>
    <v>46101.999583193749</v>
    <v>62</v>
    <v>320.2645</v>
    <v>319470688625</v>
    <v>THE HOME DEPOT, INC.</v>
    <v>THE HOME DEPOT, INC.</v>
    <v>327.75</v>
    <v>23.0562</v>
    <v>328.21</v>
    <v>320.75</v>
    <v>323.85300000000001</v>
    <v>996011500</v>
    <v>HD</v>
    <v>THE HOME DEPOT, INC. (XNYS:HD)</v>
    <v>9672177</v>
    <v>3886969</v>
    <v>1978</v>
  </rv>
  <rv s="2">
    <v>63</v>
  </rv>
  <rv s="0">
    <v>https://www.bing.com/financeapi/forcetrigger?t=a1x2ur&amp;q=XNYS%3aLOW&amp;form=skydnc</v>
    <v>Learn more on Bing</v>
  </rv>
  <rv s="1">
    <v>0</v>
    <v>LOWE'S COMPANIES, INC. (XNYS:LOW)</v>
    <v>2</v>
    <v>3</v>
    <v>Finance</v>
    <v>4</v>
    <v>en-US</v>
    <v>a1x2ur</v>
    <v>268435456</v>
    <v>1</v>
    <v>Powered by Refinitiv</v>
    <v>293.06</v>
    <v>206.38499999999999</v>
    <v>0.98970000000000002</v>
    <v>-5.08</v>
    <v>-2.2114999999999999E-2</v>
    <v>1.8698999999999999</v>
    <v>8.3239999999999998E-3</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229.85890000000001</v>
    <v>Specialty Retailers</v>
    <v>Stock</v>
    <v>46101.99975993047</v>
    <v>65</v>
    <v>224.15</v>
    <v>126017430000</v>
    <v>LOWE'S COMPANIES, INC.</v>
    <v>LOWE'S COMPANIES, INC.</v>
    <v>229.23500000000001</v>
    <v>19.39</v>
    <v>229.71</v>
    <v>224.63</v>
    <v>226.4999</v>
    <v>561000000</v>
    <v>LOW</v>
    <v>LOWE'S COMPANIES, INC. (XNYS:LOW)</v>
    <v>3643980</v>
    <v>2831459</v>
    <v>1952</v>
  </rv>
  <rv s="2">
    <v>66</v>
  </rv>
  <rv s="0">
    <v>https://www.bing.com/financeapi/forcetrigger?t=a256cw&amp;q=XNYS%3aV&amp;form=skydnc</v>
    <v>Learn more on Bing</v>
  </rv>
  <rv s="1">
    <v>0</v>
    <v>VISA INC. (XNYS:V)</v>
    <v>2</v>
    <v>3</v>
    <v>Finance</v>
    <v>4</v>
    <v>en-US</v>
    <v>a256cw</v>
    <v>268435456</v>
    <v>1</v>
    <v>Powered by Refinitiv</v>
    <v>375.51</v>
    <v>297.03219999999999</v>
    <v>0.79910000000000003</v>
    <v>1.91</v>
    <v>6.3730000000000002E-3</v>
    <v>1.48</v>
    <v>4.9069999999999999E-3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302.92</v>
    <v>Professional &amp; Commercial Services</v>
    <v>Stock</v>
    <v>46101.999927546094</v>
    <v>68</v>
    <v>299.01010000000002</v>
    <v>574890434580</v>
    <v>VISA INC.</v>
    <v>VISA INC.</v>
    <v>299.85000000000002</v>
    <v>28.302499999999998</v>
    <v>299.70999999999998</v>
    <v>301.62</v>
    <v>303.10000000000002</v>
    <v>1906009000</v>
    <v>V</v>
    <v>VISA INC. (XNYS:V)</v>
    <v>14398132</v>
    <v>7689668</v>
    <v>2007</v>
  </rv>
  <rv s="2">
    <v>69</v>
  </rv>
  <rv s="0">
    <v>https://www.bing.com/financeapi/forcetrigger?t=a24ynm&amp;q=XNYS%3aUPS&amp;form=skydnc</v>
    <v>Learn more on Bing</v>
  </rv>
  <rv s="1">
    <v>0</v>
    <v>UNITED PARCEL SERVICE, INC. (XNYS:UPS)</v>
    <v>2</v>
    <v>3</v>
    <v>Finance</v>
    <v>4</v>
    <v>en-US</v>
    <v>a24ynm</v>
    <v>268435456</v>
    <v>1</v>
    <v>Powered by Refinitiv</v>
    <v>122.41</v>
    <v>82</v>
    <v>1.1105</v>
    <v>-0.7</v>
    <v>-7.2490000000000002E-3</v>
    <v>0.69</v>
    <v>7.1979999999999995E-3</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97.64</v>
    <v>Freight &amp; Logistics Services</v>
    <v>Stock</v>
    <v>46101.999865983591</v>
    <v>71</v>
    <v>95.17</v>
    <v>81449644194</v>
    <v>UNITED PARCEL SERVICE, INC.</v>
    <v>UNITED PARCEL SERVICE, INC.</v>
    <v>97.09</v>
    <v>14.7186</v>
    <v>96.56</v>
    <v>95.86</v>
    <v>96.55</v>
    <v>849672900</v>
    <v>UPS</v>
    <v>UNITED PARCEL SERVICE, INC. (XNYS:UPS)</v>
    <v>34639778</v>
    <v>6022114</v>
    <v>1999</v>
  </rv>
  <rv s="2">
    <v>72</v>
  </rv>
  <rv s="0">
    <v>https://www.bing.com/financeapi/forcetrigger?t=a1rxu2&amp;q=XNYS%3aEMN&amp;form=skydnc</v>
    <v>Learn more on Bing</v>
  </rv>
  <rv s="1">
    <v>0</v>
    <v>EASTMAN CHEMICAL COMPANY (XNYS:EMN)</v>
    <v>2</v>
    <v>3</v>
    <v>Finance</v>
    <v>4</v>
    <v>en-US</v>
    <v>a1rxu2</v>
    <v>268435456</v>
    <v>1</v>
    <v>Powered by Refinitiv</v>
    <v>91.27</v>
    <v>56.11</v>
    <v>1.2499</v>
    <v>-3.43</v>
    <v>-4.9884000000000005E-2</v>
    <v>1.08</v>
    <v>1.6531000000000001E-2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13000</v>
    <v>New York Stock Exchange</v>
    <v>XNYS</v>
    <v>XNYS</v>
    <v>Po Box 511, 200 South Wilcox Drive, KINGSPORT, TN, 37660 US</v>
    <v>69.17</v>
    <v>Chemicals</v>
    <v>Stock</v>
    <v>46101.997421550783</v>
    <v>74</v>
    <v>64.59</v>
    <v>7453976609</v>
    <v>EASTMAN CHEMICAL COMPANY</v>
    <v>EASTMAN CHEMICAL COMPANY</v>
    <v>68.86</v>
    <v>18.077100000000002</v>
    <v>68.760000000000005</v>
    <v>65.33</v>
    <v>66.41</v>
    <v>114097300</v>
    <v>EMN</v>
    <v>EASTMAN CHEMICAL COMPANY (XNYS:EMN)</v>
    <v>5098217</v>
    <v>1586132</v>
    <v>1993</v>
  </rv>
  <rv s="2">
    <v>75</v>
  </rv>
  <rv s="0">
    <v>https://www.bing.com/financeapi/forcetrigger?t=a1x8c7&amp;q=XNYS%3aLYB&amp;form=skydnc</v>
    <v>Learn more on Bing</v>
  </rv>
  <rv s="8">
    <v>12</v>
    <v>LyondellBasell Industries NV (XNYS:LYB)</v>
    <v>2</v>
    <v>13</v>
    <v>Finance</v>
    <v>4</v>
    <v>en-US</v>
    <v>a1x8c7</v>
    <v>268435456</v>
    <v>1</v>
    <v>Powered by Refinitiv</v>
    <v>77.36</v>
    <v>41.58</v>
    <v>0.46479999999999999</v>
    <v>-1.25</v>
    <v>-1.6763E-2</v>
    <v>-7.0000000000000007E-2</v>
    <v>-9.5469999999999995E-4</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18970</v>
    <v>New York Stock Exchange</v>
    <v>XNYS</v>
    <v>XNYS</v>
    <v>4th Floor, One Vine Street, LONDON, W1J 0AH GB</v>
    <v>75.745000000000005</v>
    <v>Chemicals</v>
    <v>Stock</v>
    <v>46101.999480902341</v>
    <v>77</v>
    <v>72.819999999999993</v>
    <v>23621504399</v>
    <v>LyondellBasell Industries NV</v>
    <v>LyondellBasell Industries NV</v>
    <v>74.819999999999993</v>
    <v>74.569999999999993</v>
    <v>73.319999999999993</v>
    <v>73.25</v>
    <v>322170000</v>
    <v>LYB</v>
    <v>LyondellBasell Industries NV (XNYS:LYB)</v>
    <v>23437406</v>
    <v>9010155</v>
    <v>2009</v>
  </rv>
  <rv s="2">
    <v>78</v>
  </rv>
  <rv s="0">
    <v>https://www.bing.com/financeapi/forcetrigger?t=a1qlnm&amp;q=XNYS%3aCVS&amp;form=skydnc</v>
    <v>Learn more on Bing</v>
  </rv>
  <rv s="1">
    <v>0</v>
    <v>CVS HEALTH CORPORATION (XNYS:CVS)</v>
    <v>2</v>
    <v>3</v>
    <v>Finance</v>
    <v>4</v>
    <v>en-US</v>
    <v>a1qlnm</v>
    <v>268435456</v>
    <v>1</v>
    <v>Powered by Refinitiv</v>
    <v>85.15</v>
    <v>58.35</v>
    <v>0.50849999999999995</v>
    <v>-0.38</v>
    <v>-5.2880000000000002E-3</v>
    <v>0.47</v>
    <v>6.5750000000000001E-3</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71.73</v>
    <v>Healthcare Providers &amp; Services</v>
    <v>Stock</v>
    <v>46101.985265532028</v>
    <v>80</v>
    <v>70.209999999999994</v>
    <v>90937642280</v>
    <v>CVS HEALTH CORPORATION</v>
    <v>CVS HEALTH CORPORATION</v>
    <v>71.5</v>
    <v>52.549199999999999</v>
    <v>71.86</v>
    <v>71.48</v>
    <v>71.95</v>
    <v>1272211000</v>
    <v>CVS</v>
    <v>CVS HEALTH CORPORATION (XNYS:CVS)</v>
    <v>18871390</v>
    <v>7591022</v>
    <v>1996</v>
  </rv>
  <rv s="2">
    <v>81</v>
  </rv>
  <rv s="0">
    <v>https://www.bing.com/financeapi/forcetrigger?t=a1w8ec&amp;q=XNYS%3aJNJ&amp;form=skydnc</v>
    <v>Learn more on Bing</v>
  </rv>
  <rv s="1">
    <v>0</v>
    <v>JOHNSON &amp; JOHNSON (XNYS:JNJ)</v>
    <v>2</v>
    <v>3</v>
    <v>Finance</v>
    <v>4</v>
    <v>en-US</v>
    <v>a1w8ec</v>
    <v>268435456</v>
    <v>1</v>
    <v>Powered by Refinitiv</v>
    <v>251.71</v>
    <v>141.5</v>
    <v>0.34849999999999998</v>
    <v>-2.23</v>
    <v>-9.3860000000000002E-3</v>
    <v>1.68</v>
    <v>7.1380000000000002E-3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238.29</v>
    <v>Pharmaceuticals</v>
    <v>Stock</v>
    <v>46101.99500958281</v>
    <v>83</v>
    <v>234.5</v>
    <v>566915241810</v>
    <v>JOHNSON &amp; JOHNSON</v>
    <v>JOHNSON &amp; JOHNSON</v>
    <v>236.83</v>
    <v>21.517499999999998</v>
    <v>237.6</v>
    <v>235.37</v>
    <v>237.05</v>
    <v>2408613000</v>
    <v>JNJ</v>
    <v>JOHNSON &amp; JOHNSON (XNYS:JNJ)</v>
    <v>17156623</v>
    <v>8659328</v>
    <v>1887</v>
  </rv>
  <rv s="2">
    <v>84</v>
  </rv>
  <rv s="0">
    <v>https://www.bing.com/financeapi/forcetrigger?t=a1xg3m&amp;q=XNYS%3aMDT&amp;form=skydnc</v>
    <v>Learn more on Bing</v>
  </rv>
  <rv s="1">
    <v>0</v>
    <v>MEDTRONIC PUBLIC LIMITED COMPANY (XNYS:MDT)</v>
    <v>2</v>
    <v>3</v>
    <v>Finance</v>
    <v>4</v>
    <v>en-US</v>
    <v>a1xg3m</v>
    <v>268435456</v>
    <v>1</v>
    <v>Powered by Refinitiv</v>
    <v>106.33</v>
    <v>79.55</v>
    <v>0.76729999999999998</v>
    <v>-0.71</v>
    <v>-8.1729999999999997E-3</v>
    <v>0.51880000000000004</v>
    <v>6.0209999999999994E-3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87.275000000000006</v>
    <v>Healthcare Equipment &amp; Supplies</v>
    <v>Stock</v>
    <v>46101.98250918906</v>
    <v>86</v>
    <v>85.78</v>
    <v>110619531600</v>
    <v>MEDTRONIC PUBLIC LIMITED COMPANY</v>
    <v>MEDTRONIC PUBLIC LIMITED COMPANY</v>
    <v>86.83</v>
    <v>24.257400000000001</v>
    <v>86.87</v>
    <v>86.16</v>
    <v>86.678799999999995</v>
    <v>1283885000</v>
    <v>MDT</v>
    <v>MEDTRONIC PUBLIC LIMITED COMPANY (XNYS:MDT)</v>
    <v>11113868</v>
    <v>8591337</v>
    <v>2014</v>
  </rv>
  <rv s="2">
    <v>87</v>
  </rv>
  <rv s="0">
    <v>https://www.bing.com/financeapi/forcetrigger?t=a24xlh&amp;q=XNYS%3aUNH&amp;form=skydnc</v>
    <v>Learn more on Bing</v>
  </rv>
  <rv s="1">
    <v>0</v>
    <v>UNITEDHEALTH GROUP INCORPORATED (XNYS:UNH)</v>
    <v>2</v>
    <v>3</v>
    <v>Finance</v>
    <v>4</v>
    <v>en-US</v>
    <v>a24xlh</v>
    <v>268435456</v>
    <v>1</v>
    <v>Powered by Refinitiv</v>
    <v>606.36</v>
    <v>234.6</v>
    <v>0.39989999999999998</v>
    <v>-4.8499999999999996</v>
    <v>-1.7294E-2</v>
    <v>2.5099999999999998</v>
    <v>9.1079999999999998E-3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283.10000000000002</v>
    <v>Healthcare Providers &amp; Services</v>
    <v>Stock</v>
    <v>46101.999454675781</v>
    <v>89</v>
    <v>275</v>
    <v>250146373721</v>
    <v>UNITEDHEALTH GROUP INCORPORATED</v>
    <v>UNITEDHEALTH GROUP INCORPORATED</v>
    <v>278.99</v>
    <v>21.255500000000001</v>
    <v>280.44</v>
    <v>275.58999999999997</v>
    <v>278.10000000000002</v>
    <v>907675800</v>
    <v>UNH</v>
    <v>UNITEDHEALTH GROUP INCORPORATED (XNYS:UNH)</v>
    <v>38893036</v>
    <v>7598119</v>
    <v>2015</v>
  </rv>
  <rv s="2">
    <v>90</v>
  </rv>
  <rv s="0">
    <v>https://www.bing.com/financeapi/forcetrigger?t=a1om4c&amp;q=XNYS%3aBLK&amp;form=skydnc</v>
    <v>Learn more on Bing</v>
  </rv>
  <rv s="1">
    <v>0</v>
    <v>BLACKROCK, INC. (XNYS:BLK)</v>
    <v>2</v>
    <v>3</v>
    <v>Finance</v>
    <v>4</v>
    <v>en-US</v>
    <v>a1om4c</v>
    <v>268435456</v>
    <v>1</v>
    <v>Powered by Refinitiv</v>
    <v>1219.9399000000001</v>
    <v>773.74009999999998</v>
    <v>1.4930000000000001</v>
    <v>-11.69</v>
    <v>-1.2057E-2</v>
    <v>11.09</v>
    <v>1.1576999999999999E-2</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971.79</v>
    <v>Investment Banking &amp; Investment Services</v>
    <v>Stock</v>
    <v>46101.999200277343</v>
    <v>92</v>
    <v>945.52</v>
    <v>148994758265</v>
    <v>BLACKROCK, INC.</v>
    <v>BLACKROCK, INC.</v>
    <v>970.26</v>
    <v>27.977399999999999</v>
    <v>969.6</v>
    <v>957.91</v>
    <v>969</v>
    <v>155541500</v>
    <v>BLK</v>
    <v>BLACKROCK, INC. (XNYS:BLK)</v>
    <v>1410189</v>
    <v>960684</v>
    <v>2024</v>
  </rv>
  <rv s="2">
    <v>93</v>
  </rv>
  <rv s="0">
    <v>https://www.bing.com/financeapi/forcetrigger?t=a1ook2&amp;q=XNYS%3aBMY&amp;form=skydnc</v>
    <v>Learn more on Bing</v>
  </rv>
  <rv s="1">
    <v>0</v>
    <v>BRISTOL-MYERS SQUIBB COMPANY (XNYS:BMY)</v>
    <v>2</v>
    <v>3</v>
    <v>Finance</v>
    <v>4</v>
    <v>en-US</v>
    <v>a1ook2</v>
    <v>268435456</v>
    <v>1</v>
    <v>Powered by Refinitiv</v>
    <v>62.886400000000002</v>
    <v>42.52</v>
    <v>0.3009</v>
    <v>-0.63</v>
    <v>-1.0842000000000001E-2</v>
    <v>0.17</v>
    <v>2.9580000000000001E-3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58.545000000000002</v>
    <v>Pharmaceuticals</v>
    <v>Stock</v>
    <v>46101.998452858592</v>
    <v>95</v>
    <v>56.91</v>
    <v>117056525520</v>
    <v>BRISTOL-MYERS SQUIBB COMPANY</v>
    <v>BRISTOL-MYERS SQUIBB COMPANY</v>
    <v>58.26</v>
    <v>16.828399999999998</v>
    <v>58.11</v>
    <v>57.48</v>
    <v>57.65</v>
    <v>2036474000</v>
    <v>BMY</v>
    <v>BRISTOL-MYERS SQUIBB COMPANY (XNYS:BMY)</v>
    <v>65847757</v>
    <v>12318723</v>
    <v>1933</v>
  </rv>
  <rv s="2">
    <v>96</v>
  </rv>
  <rv s="0">
    <v>http://it.wikipedia.org/wiki/T._Rowe_Price</v>
    <v>Wikipedia</v>
  </rv>
  <rv s="3">
    <v>9</v>
    <v>98</v>
  </rv>
  <rv s="4">
    <v>9</v>
    <v>https://www.bing.com/th?id=AMMS_4c600be848f66590834841f27e6f786d&amp;qlt=95</v>
    <v>99</v>
    <v>0</v>
    <v>https://www.bing.com/images/search?form=xlimg&amp;q=t.+rowe+price</v>
    <v>Image of T. ROWE PRICE GROUP, INC.</v>
  </rv>
  <rv s="0">
    <v>https://www.bing.com/financeapi/forcetrigger?t=a24i3m&amp;q=XNAS%3aTROW&amp;form=skydnc</v>
    <v>Learn more on Bing</v>
  </rv>
  <rv s="5">
    <v>5</v>
    <v>T. ROWE PRICE GROUP, INC. (XNAS:TROW)</v>
    <v>7</v>
    <v>8</v>
    <v>Finance</v>
    <v>4</v>
    <v>en-US</v>
    <v>a24i3m</v>
    <v>268435456</v>
    <v>1</v>
    <v>Powered by Refinitiv</v>
    <v>118.22</v>
    <v>77.849999999999994</v>
    <v>1.5442</v>
    <v>-0.9</v>
    <v>-1.0334000000000001E-2</v>
    <v>0.63</v>
    <v>7.3089999999999995E-3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Harbor Point, 1307 Point Street, BALTIMORE, MD, 21231 US</v>
    <v>87.46</v>
    <v>100</v>
    <v>Investment Banking &amp; Investment Services</v>
    <v>Stock</v>
    <v>46101.996807881253</v>
    <v>101</v>
    <v>85.22</v>
    <v>18755452521</v>
    <v>T. ROWE PRICE GROUP, INC.</v>
    <v>T. ROWE PRICE GROUP, INC.</v>
    <v>86.95</v>
    <v>9.4204000000000008</v>
    <v>87.09</v>
    <v>86.19</v>
    <v>86.82</v>
    <v>217605900</v>
    <v>TROW</v>
    <v>T. ROWE PRICE GROUP, INC. (XNAS:TROW)</v>
    <v>9438661</v>
    <v>2206536</v>
    <v>2000</v>
  </rv>
  <rv s="2">
    <v>102</v>
  </rv>
  <rv s="0">
    <v>https://www.bing.com/financeapi/forcetrigger?t=a1z11h&amp;q=XNYS%3aO&amp;form=skydnc</v>
    <v>Learn more on Bing</v>
  </rv>
  <rv s="1">
    <v>0</v>
    <v>REALTY INCOME CORPORATION (XNYS:O)</v>
    <v>2</v>
    <v>3</v>
    <v>Finance</v>
    <v>4</v>
    <v>en-US</v>
    <v>a1z11h</v>
    <v>268435456</v>
    <v>1</v>
    <v>Powered by Refinitiv</v>
    <v>67.935000000000002</v>
    <v>50.71</v>
    <v>0.79330000000000001</v>
    <v>-1.69</v>
    <v>-2.6980000000000001E-2</v>
    <v>0.24</v>
    <v>3.9379999999999997E-3</v>
    <v>USD</v>
    <v>Realty Income Corporation is a real estate investment trust. The Company is engaged in the acquisition, ownership, and management of freestanding commercial properties leased under long‑term net lease agreements to a diversified base of operators, including a blend of investment grade, investment grade equivalent, and other clients. It owns a portfolio of over 15,500 properties in all 50 United States (U.S.) states, the United Kingdom, and eight other countries in Europe. It is engaged in a single business activity, which is the leasing of property to clients, generally on a net basis. That business activity spans various geographic boundaries and includes property types and clients engaged in various industries. Its property types include retail, industrial, gaming, and other. Its industry concentrations include grocery, convenience stores, home improvement, dollar stores, restaurants-quick service, health and fitness, drug stores, automotive service, among others.</v>
    <v>544</v>
    <v>New York Stock Exchange</v>
    <v>XNYS</v>
    <v>XNYS</v>
    <v>11995 El Camino Real, SAN DIEGO, CA, 92130 US</v>
    <v>62.6</v>
    <v>Residential &amp; Commercial REIT</v>
    <v>Stock</v>
    <v>46101.998865358597</v>
    <v>104</v>
    <v>60.6</v>
    <v>56832230190</v>
    <v>REALTY INCOME CORPORATION</v>
    <v>REALTY INCOME CORPORATION</v>
    <v>62.3</v>
    <v>53.802399999999999</v>
    <v>62.64</v>
    <v>60.95</v>
    <v>61.19</v>
    <v>932440200</v>
    <v>O</v>
    <v>REALTY INCOME CORPORATION (XNYS:O)</v>
    <v>10257281</v>
    <v>6864723</v>
    <v>1997</v>
  </rv>
  <rv s="2">
    <v>105</v>
  </rv>
  <rv s="0">
    <v>https://www.bing.com/financeapi/forcetrigger?t=a23d6h&amp;q=XNYS%3aSPG&amp;form=skydnc</v>
    <v>Learn more on Bing</v>
  </rv>
  <rv s="1">
    <v>0</v>
    <v>SIMON PROPERTY GROUP, INC. (XNYS:SPG)</v>
    <v>2</v>
    <v>3</v>
    <v>Finance</v>
    <v>4</v>
    <v>en-US</v>
    <v>a23d6h</v>
    <v>268435456</v>
    <v>1</v>
    <v>Powered by Refinitiv</v>
    <v>205.11500000000001</v>
    <v>136.34</v>
    <v>1.4060999999999999</v>
    <v>-6.79</v>
    <v>-3.5491999999999996E-2</v>
    <v>3.18</v>
    <v>1.7233999999999999E-2</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3100</v>
    <v>New York Stock Exchange</v>
    <v>XNYS</v>
    <v>XNYS</v>
    <v>225 West Washington Street, INDIANAPOLIS, IN, 46204-3438 US</v>
    <v>191.94</v>
    <v>Residential &amp; Commercial REIT</v>
    <v>Stock</v>
    <v>46101.999986921095</v>
    <v>107</v>
    <v>183.21</v>
    <v>59960382916</v>
    <v>SIMON PROPERTY GROUP, INC.</v>
    <v>SIMON PROPERTY GROUP, INC.</v>
    <v>191.71</v>
    <v>13.497999999999999</v>
    <v>191.31</v>
    <v>184.52</v>
    <v>187.7</v>
    <v>324953300</v>
    <v>SPG</v>
    <v>SIMON PROPERTY GROUP, INC. (XNYS:SPG)</v>
    <v>3861093</v>
    <v>1578170</v>
    <v>2025</v>
  </rv>
  <rv s="2">
    <v>108</v>
  </rv>
  <rv s="0">
    <v>https://www.bing.com/financeapi/forcetrigger?t=a1qlz2&amp;q=XNYS%3aCVX&amp;form=skydnc</v>
    <v>Learn more on Bing</v>
  </rv>
  <rv s="1">
    <v>0</v>
    <v>CHEVRON CORPORATION (XNYS:CVX)</v>
    <v>2</v>
    <v>3</v>
    <v>Finance</v>
    <v>4</v>
    <v>en-US</v>
    <v>a1qlz2</v>
    <v>268435456</v>
    <v>1</v>
    <v>Powered by Refinitiv</v>
    <v>205.08</v>
    <v>132.04</v>
    <v>0.5978</v>
    <v>0.28999999999999998</v>
    <v>1.4399999999999999E-3</v>
    <v>0.27</v>
    <v>1.338E-3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205.08</v>
    <v>Oil &amp; Gas</v>
    <v>Stock</v>
    <v>46101.999984027345</v>
    <v>110</v>
    <v>201</v>
    <v>402529016050</v>
    <v>CHEVRON CORPORATION</v>
    <v>CHEVRON CORPORATION</v>
    <v>201.4</v>
    <v>30.310400000000001</v>
    <v>201.44</v>
    <v>201.73</v>
    <v>202</v>
    <v>1995385000</v>
    <v>CVX</v>
    <v>CHEVRON CORPORATION (XNYS:CVX)</v>
    <v>35849471</v>
    <v>12251235</v>
    <v>1926</v>
  </rv>
  <rv s="2">
    <v>111</v>
  </rv>
  <rv s="0">
    <v>https://www.bing.com/financeapi/forcetrigger?t=a269ec&amp;q=XNYS%3aXOM&amp;form=skydnc</v>
    <v>Learn more on Bing</v>
  </rv>
  <rv s="1">
    <v>0</v>
    <v>EXXON MOBIL CORPORATION (XNYS:XOM)</v>
    <v>2</v>
    <v>3</v>
    <v>Finance</v>
    <v>4</v>
    <v>en-US</v>
    <v>a269ec</v>
    <v>268435456</v>
    <v>1</v>
    <v>Powered by Refinitiv</v>
    <v>162.44</v>
    <v>97.8</v>
    <v>0.32100000000000001</v>
    <v>1.51</v>
    <v>9.5469999999999999E-3</v>
    <v>0.21820000000000001</v>
    <v>1.3669999999999999E-3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162.44</v>
    <v>Oil &amp; Gas</v>
    <v>Stock</v>
    <v>46101.999878460156</v>
    <v>113</v>
    <v>159.1</v>
    <v>665307207880</v>
    <v>EXXON MOBIL CORPORATION</v>
    <v>EXXON MOBIL CORPORATION</v>
    <v>159.35</v>
    <v>23.6751</v>
    <v>158.16</v>
    <v>159.66999999999999</v>
    <v>159.88820000000001</v>
    <v>4166764000</v>
    <v>XOM</v>
    <v>EXXON MOBIL CORPORATION (XNYS:XOM)</v>
    <v>53942142</v>
    <v>21799027</v>
    <v>1882</v>
  </rv>
  <rv s="2">
    <v>114</v>
  </rv>
  <rv s="0">
    <v>https://www.bing.com/financeapi/forcetrigger?t=a1x4f2&amp;q=XNAS%3aLRCX&amp;form=skydnc</v>
    <v>Learn more on Bing</v>
  </rv>
  <rv s="1">
    <v>0</v>
    <v>LAM RESEARCH CORPORATION (XNAS:LRCX)</v>
    <v>2</v>
    <v>3</v>
    <v>Finance</v>
    <v>4</v>
    <v>en-US</v>
    <v>a1x4f2</v>
    <v>268435456</v>
    <v>1</v>
    <v>Powered by Refinitiv</v>
    <v>256.68</v>
    <v>56.32</v>
    <v>1.7527999999999999</v>
    <v>-5.63</v>
    <v>-2.4060999999999999E-2</v>
    <v>1.04</v>
    <v>4.5539999999999999E-3</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236.84</v>
    <v>Semiconductors &amp; Semiconductor Equipment</v>
    <v>Stock</v>
    <v>46101.999898159374</v>
    <v>116</v>
    <v>222.04499999999999</v>
    <v>285169345560</v>
    <v>LAM RESEARCH CORPORATION</v>
    <v>LAM RESEARCH CORPORATION</v>
    <v>234.32</v>
    <v>46.8018</v>
    <v>233.99</v>
    <v>228.36</v>
    <v>229.4</v>
    <v>1248771000</v>
    <v>LRCX</v>
    <v>LAM RESEARCH CORPORATION (XNAS:LRCX)</v>
    <v>26176384</v>
    <v>10103368</v>
    <v>1989</v>
  </rv>
  <rv s="2">
    <v>117</v>
  </rv>
  <rv s="0">
    <v>https://www.bing.com/financeapi/forcetrigger?t=a1ndww&amp;q=XNAS%3aAMD&amp;form=skydnc</v>
    <v>Learn more on Bing</v>
  </rv>
  <rv s="1">
    <v>0</v>
    <v>ADVANCED MICRO DEVICES, INC. (XNAS:AMD)</v>
    <v>2</v>
    <v>3</v>
    <v>Finance</v>
    <v>4</v>
    <v>en-US</v>
    <v>a1ndww</v>
    <v>268435456</v>
    <v>1</v>
    <v>Powered by Refinitiv</v>
    <v>267.07990000000001</v>
    <v>76.48</v>
    <v>1.9626999999999999</v>
    <v>-3.94</v>
    <v>-1.9193999999999999E-2</v>
    <v>1.1468</v>
    <v>5.6959999999999997E-3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206.3</v>
    <v>Semiconductors &amp; Semiconductor Equipment</v>
    <v>Stock</v>
    <v>46101.999758946091</v>
    <v>119</v>
    <v>198.26</v>
    <v>328250646630</v>
    <v>ADVANCED MICRO DEVICES, INC.</v>
    <v>ADVANCED MICRO DEVICES, INC.</v>
    <v>204.88499999999999</v>
    <v>77.303799999999995</v>
    <v>205.27</v>
    <v>201.33</v>
    <v>202.4768</v>
    <v>1630411000</v>
    <v>AMD</v>
    <v>ADVANCED MICRO DEVICES, INC. (XNAS:AMD)</v>
    <v>37265103</v>
    <v>34178804</v>
    <v>1969</v>
  </rv>
  <rv s="2">
    <v>120</v>
  </rv>
  <rv s="0">
    <v>https://www.bing.com/financeapi/forcetrigger?t=a1ntlh&amp;q=XNAS%3aASML&amp;form=skydnc</v>
    <v>Learn more on Bing</v>
  </rv>
  <rv s="1">
    <v>0</v>
    <v>ASML Holding NV (XNAS:ASML)</v>
    <v>2</v>
    <v>14</v>
    <v>Finance</v>
    <v>4</v>
    <v>en-US</v>
    <v>a1ntlh</v>
    <v>268435456</v>
    <v>1</v>
    <v>Powered by Refinitiv</v>
    <v>1547.22</v>
    <v>578.51</v>
    <v>2.2077</v>
    <v>-49.14</v>
    <v>-3.5962999999999995E-2</v>
    <v>5.7</v>
    <v>4.3270000000000001E-3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1370</v>
    <v>Semiconductors &amp; Semiconductor Equipment</v>
    <v>Stock</v>
    <v>46101.999539918746</v>
    <v>122</v>
    <v>1291.0999999999999</v>
    <v>533920450212</v>
    <v>ASML Holding NV</v>
    <v>ASML Holding NV</v>
    <v>1357.2550000000001</v>
    <v>45.381700000000002</v>
    <v>1366.39</v>
    <v>1317.25</v>
    <v>1322.95</v>
    <v>388147700</v>
    <v>ASML</v>
    <v>ASML Holding NV (XNAS:ASML)</v>
    <v>2645128</v>
    <v>1473943</v>
    <v>1994</v>
  </rv>
  <rv s="2">
    <v>123</v>
  </rv>
  <rv s="0">
    <v>https://www.bing.com/financeapi/forcetrigger?t=a1yv52&amp;q=XNAS%3aNVDA&amp;form=skydnc</v>
    <v>Learn more on Bing</v>
  </rv>
  <rv s="1">
    <v>0</v>
    <v>NVIDIA CORPORATION (XNAS:NVDA)</v>
    <v>2</v>
    <v>3</v>
    <v>Finance</v>
    <v>4</v>
    <v>en-US</v>
    <v>a1yv52</v>
    <v>268435456</v>
    <v>1</v>
    <v>Powered by Refinitiv</v>
    <v>212.18989999999999</v>
    <v>86.62</v>
    <v>2.3338999999999999</v>
    <v>-5.86</v>
    <v>-3.2818E-2</v>
    <v>2.19</v>
    <v>1.2681E-2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178.26</v>
    <v>Semiconductors &amp; Semiconductor Equipment</v>
    <v>Stock</v>
    <v>46101.999998749998</v>
    <v>125</v>
    <v>171.72</v>
    <v>4196609999999</v>
    <v>NVIDIA CORPORATION</v>
    <v>NVIDIA CORPORATION</v>
    <v>178</v>
    <v>35.231999999999999</v>
    <v>178.56</v>
    <v>172.7</v>
    <v>174.89</v>
    <v>24300000000</v>
    <v>NVDA</v>
    <v>NVIDIA CORPORATION (XNAS:NVDA)</v>
    <v>241323528</v>
    <v>190086453</v>
    <v>1998</v>
  </rv>
  <rv s="2">
    <v>126</v>
  </rv>
  <rv s="0">
    <v>https://www.bing.com/financeapi/forcetrigger?t=a1wjz2&amp;q=XNYS%3aKMB&amp;form=skydnc</v>
    <v>Learn more on Bing</v>
  </rv>
  <rv s="1">
    <v>0</v>
    <v>KIMBERLY-CLARK CORPORATION (XNAS:KMB)</v>
    <v>2</v>
    <v>3</v>
    <v>Finance</v>
    <v>4</v>
    <v>en-US</v>
    <v>a1wjz2</v>
    <v>268435456</v>
    <v>1</v>
    <v>Powered by Refinitiv</v>
    <v>147.12</v>
    <v>96.26</v>
    <v>0.28989999999999999</v>
    <v>-0.38</v>
    <v>-3.8549999999999999E-3</v>
    <v>1</v>
    <v>1.0182999999999999E-2</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99.6</v>
    <v>Personal &amp; Household Products &amp; Services</v>
    <v>Stock</v>
    <v>46101.992759710156</v>
    <v>128</v>
    <v>97.795000000000002</v>
    <v>32594779680</v>
    <v>KIMBERLY-CLARK CORPORATION</v>
    <v>KIMBERLY-CLARK CORPORATION</v>
    <v>98.93</v>
    <v>20.101099999999999</v>
    <v>98.58</v>
    <v>98.2</v>
    <v>99.2</v>
    <v>331922400</v>
    <v>KMB</v>
    <v>KIMBERLY-CLARK CORPORATION (XNAS:KMB)</v>
    <v>13109726</v>
    <v>4823540</v>
    <v>1928</v>
  </rv>
  <rv s="2">
    <v>129</v>
  </rv>
  <rv s="0">
    <v>http://en.wikipedia.org/wiki/McDonald's</v>
    <v>Wikipedia</v>
  </rv>
  <rv s="3">
    <v>9</v>
    <v>131</v>
  </rv>
  <rv s="4">
    <v>9</v>
    <v>https://www.bing.com/th?id=AMMS_7d8255243964a8970376f8dd41121106&amp;qlt=95</v>
    <v>132</v>
    <v>0</v>
    <v>https://www.bing.com/images/search?form=xlimg&amp;q=mcdonald%27s</v>
    <v>Image of MCDONALD'S CORPORATION</v>
  </rv>
  <rv s="0">
    <v>https://www.bing.com/financeapi/forcetrigger?t=a1xdec&amp;q=XNYS%3aMCD&amp;form=skydnc</v>
    <v>Learn more on Bing</v>
  </rv>
  <rv s="5">
    <v>5</v>
    <v>MCDONALD'S CORPORATION (XNYS:MCD)</v>
    <v>7</v>
    <v>8</v>
    <v>Finance</v>
    <v>4</v>
    <v>en-US</v>
    <v>a1xdec</v>
    <v>268435456</v>
    <v>1</v>
    <v>Powered by Refinitiv</v>
    <v>341.75</v>
    <v>283.47000000000003</v>
    <v>0.5353</v>
    <v>-0.73</v>
    <v>-2.3580000000000003E-3</v>
    <v>1.02</v>
    <v>3.3029999999999999E-3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311.37</v>
    <v>133</v>
    <v>Hotels &amp; Entertainment Services</v>
    <v>Stock</v>
    <v>46101.999665312498</v>
    <v>134</v>
    <v>307.62</v>
    <v>219406607610</v>
    <v>MCDONALD'S CORPORATION</v>
    <v>MCDONALD'S CORPORATION</v>
    <v>309.8</v>
    <v>25.898900000000001</v>
    <v>309.58</v>
    <v>308.85000000000002</v>
    <v>309.87</v>
    <v>710398600</v>
    <v>MCD</v>
    <v>MCDONALD'S CORPORATION (XNYS:MCD)</v>
    <v>6436566</v>
    <v>3326990</v>
    <v>1964</v>
  </rv>
  <rv s="2">
    <v>135</v>
  </rv>
  <rv s="0">
    <v>https://www.bing.com/financeapi/forcetrigger?t=a246z2&amp;q=XNYS%3aTGT&amp;form=skydnc</v>
    <v>Learn more on Bing</v>
  </rv>
  <rv s="1">
    <v>0</v>
    <v>TARGET CORPORATION (XNYS:TGT)</v>
    <v>2</v>
    <v>3</v>
    <v>Finance</v>
    <v>4</v>
    <v>en-US</v>
    <v>a246z2</v>
    <v>268435456</v>
    <v>1</v>
    <v>Powered by Refinitiv</v>
    <v>126</v>
    <v>83.44</v>
    <v>1.0646</v>
    <v>-1.21</v>
    <v>-1.057E-2</v>
    <v>0.74</v>
    <v>6.5339999999999999E-3</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115.27</v>
    <v>Diversified Retail</v>
    <v>Stock</v>
    <v>46101.998908286718</v>
    <v>137</v>
    <v>112.69</v>
    <v>51290425256</v>
    <v>TARGET CORPORATION</v>
    <v>TARGET CORPORATION</v>
    <v>114</v>
    <v>13.889799999999999</v>
    <v>114.47</v>
    <v>113.26</v>
    <v>114</v>
    <v>452855600</v>
    <v>TGT</v>
    <v>TARGET CORPORATION (XNYS:TGT)</v>
    <v>19717452</v>
    <v>6227656</v>
    <v>1902</v>
  </rv>
  <rv s="2">
    <v>138</v>
  </rv>
  <rv s="0">
    <v>https://www.bing.com/financeapi/forcetrigger?t=a25ya2&amp;q=XNYS%3aWMT&amp;form=skydnc</v>
    <v>Learn more on Bing</v>
  </rv>
  <rv s="1">
    <v>0</v>
    <v>WALMART INC. (XNAS:WMT)</v>
    <v>2</v>
    <v>3</v>
    <v>Finance</v>
    <v>4</v>
    <v>en-US</v>
    <v>a25ya2</v>
    <v>268435456</v>
    <v>1</v>
    <v>Powered by Refinitiv</v>
    <v>134.69</v>
    <v>79.81</v>
    <v>0.68330000000000002</v>
    <v>-1.823</v>
    <v>-1.5085999999999999E-2</v>
    <v>0.31</v>
    <v>2.6050000000000001E-3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121.3</v>
    <v>Food &amp; Drug Retailing</v>
    <v>Stock</v>
    <v>46101.999915728906</v>
    <v>140</v>
    <v>118.02</v>
    <v>948875286040</v>
    <v>WALMART INC.</v>
    <v>WALMART INC.</v>
    <v>120.63</v>
    <v>44.27</v>
    <v>120.843</v>
    <v>119.02</v>
    <v>119.33</v>
    <v>7972402000</v>
    <v>WMT</v>
    <v>WALMART INC. (XNAS:WMT)</v>
    <v>57545642</v>
    <v>23705159</v>
    <v>1969</v>
  </rv>
  <rv s="2">
    <v>141</v>
  </rv>
  <rv s="0">
    <v>https://www.bing.com/financeapi/forcetrigger?t=a1mpqh&amp;q=XNYS%3aABBV&amp;form=skydnc</v>
    <v>Learn more on Bing</v>
  </rv>
  <rv s="1">
    <v>0</v>
    <v>ABBVIE INC. (XNYS:ABBV)</v>
    <v>2</v>
    <v>3</v>
    <v>Finance</v>
    <v>4</v>
    <v>en-US</v>
    <v>a1mpqh</v>
    <v>268435456</v>
    <v>1</v>
    <v>Powered by Refinitiv</v>
    <v>244.81</v>
    <v>164.39</v>
    <v>0.3952</v>
    <v>-1.1599999999999999</v>
    <v>-5.6249999999999998E-3</v>
    <v>1.18</v>
    <v>5.7540000000000004E-3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207.78</v>
    <v>Pharmaceuticals</v>
    <v>Stock</v>
    <v>46101.999836041403</v>
    <v>143</v>
    <v>203.06</v>
    <v>362598416830</v>
    <v>ABBVIE INC.</v>
    <v>ABBVIE INC.</v>
    <v>206.26499999999999</v>
    <v>86.882999999999996</v>
    <v>206.23</v>
    <v>205.07</v>
    <v>206.25</v>
    <v>1768169000</v>
    <v>ABBV</v>
    <v>ABBVIE INC. (XNYS:ABBV)</v>
    <v>27982356</v>
    <v>6523811</v>
    <v>2012</v>
  </rv>
  <rv s="2">
    <v>144</v>
  </rv>
  <rv s="0">
    <v>https://www.bing.com/financeapi/forcetrigger?t=a1mw4c&amp;q=XNAS%3aADP&amp;form=skydnc</v>
    <v>Learn more on Bing</v>
  </rv>
  <rv s="1">
    <v>0</v>
    <v>AUTOMATIC DATA PROCESSING, INC. (XNAS:ADP)</v>
    <v>2</v>
    <v>3</v>
    <v>Finance</v>
    <v>4</v>
    <v>en-US</v>
    <v>a1mw4c</v>
    <v>268435456</v>
    <v>1</v>
    <v>Powered by Refinitiv</v>
    <v>329.92950000000002</v>
    <v>203.26</v>
    <v>0.84050000000000002</v>
    <v>-1.97</v>
    <v>-9.3520000000000009E-3</v>
    <v>2.7416999999999998</v>
    <v>1.3138E-2</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Boulevard, ROSELAND, NJ, 07068 US</v>
    <v>212.79</v>
    <v>Software &amp; IT Services</v>
    <v>Stock</v>
    <v>46101.99415630781</v>
    <v>146</v>
    <v>208.56</v>
    <v>84027838967</v>
    <v>AUTOMATIC DATA PROCESSING, INC.</v>
    <v>AUTOMATIC DATA PROCESSING, INC.</v>
    <v>211.27</v>
    <v>20.236799999999999</v>
    <v>210.66</v>
    <v>208.69</v>
    <v>211.43170000000001</v>
    <v>402644300</v>
    <v>ADP</v>
    <v>AUTOMATIC DATA PROCESSING, INC. (XNAS:ADP)</v>
    <v>19084187</v>
    <v>4045412</v>
    <v>1961</v>
  </rv>
  <rv s="2">
    <v>147</v>
  </rv>
  <rv s="0">
    <v>https://www.bing.com/financeapi/forcetrigger?t=a1ngur&amp;q=XNYS%3aAMT&amp;form=skydnc</v>
    <v>Learn more on Bing</v>
  </rv>
  <rv s="1">
    <v>0</v>
    <v>AMERICAN TOWER CORPORATION (XNYS:AMT)</v>
    <v>2</v>
    <v>3</v>
    <v>Finance</v>
    <v>4</v>
    <v>en-US</v>
    <v>a1ngur</v>
    <v>268435456</v>
    <v>1</v>
    <v>Powered by Refinitiv</v>
    <v>234.33</v>
    <v>166.88</v>
    <v>0.91769999999999996</v>
    <v>-5.97</v>
    <v>-3.2666000000000001E-2</v>
    <v>0.51</v>
    <v>2.885E-3</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4866</v>
    <v>New York Stock Exchange</v>
    <v>XNYS</v>
    <v>XNYS</v>
    <v>116 Huntington Ave, BOSTON, MA, 02116 US</v>
    <v>185.72</v>
    <v>Residential &amp; Commercial REIT</v>
    <v>Stock</v>
    <v>46101.992355335155</v>
    <v>149</v>
    <v>175.6</v>
    <v>82399131792</v>
    <v>AMERICAN TOWER CORPORATION</v>
    <v>AMERICAN TOWER CORPORATION</v>
    <v>184.02</v>
    <v>32.758899999999997</v>
    <v>182.76</v>
    <v>176.79</v>
    <v>177.3</v>
    <v>466084800</v>
    <v>AMT</v>
    <v>AMERICAN TOWER CORPORATION (XNYS:AMT)</v>
    <v>6368009</v>
    <v>3075264</v>
    <v>1996</v>
  </rv>
  <rv s="2">
    <v>150</v>
  </rv>
  <rv s="0">
    <v>https://www.bing.com/financeapi/forcetrigger?t=a1nkm7&amp;q=XNYS%3aAOS&amp;form=skydnc</v>
    <v>Learn more on Bing</v>
  </rv>
  <rv s="1">
    <v>0</v>
    <v>A. O. SMITH CORPORATION (XNYS:AOS)</v>
    <v>2</v>
    <v>3</v>
    <v>Finance</v>
    <v>4</v>
    <v>en-US</v>
    <v>a1nkm7</v>
    <v>268435456</v>
    <v>1</v>
    <v>Powered by Refinitiv</v>
    <v>81.864999999999995</v>
    <v>58.83</v>
    <v>1.3592</v>
    <v>-0.45</v>
    <v>-6.9720000000000008E-3</v>
    <v>0.5</v>
    <v>7.8019999999999999E-3</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64.91</v>
    <v>Machinery, Equipment &amp; Components</v>
    <v>Stock</v>
    <v>46101.99403393516</v>
    <v>152</v>
    <v>63.34</v>
    <v>8859788782</v>
    <v>A. O. SMITH CORPORATION</v>
    <v>A. O. SMITH CORPORATION</v>
    <v>64.430000000000007</v>
    <v>16.6584</v>
    <v>64.540000000000006</v>
    <v>64.09</v>
    <v>64.59</v>
    <v>138239800</v>
    <v>AOS</v>
    <v>A. O. SMITH CORPORATION (XNYS:AOS)</v>
    <v>2863534</v>
    <v>1299863</v>
    <v>1986</v>
  </rv>
  <rv s="2">
    <v>153</v>
  </rv>
  <rv s="0">
    <v>https://www.bing.com/financeapi/forcetrigger?t=a1nz8m&amp;q=XNAS%3aAVGO&amp;form=skydnc</v>
    <v>Learn more on Bing</v>
  </rv>
  <rv s="1">
    <v>0</v>
    <v>BROADCOM INC. (XNAS:AVGO)</v>
    <v>2</v>
    <v>3</v>
    <v>Finance</v>
    <v>4</v>
    <v>en-US</v>
    <v>a1nz8m</v>
    <v>268435456</v>
    <v>1</v>
    <v>Powered by Refinitiv</v>
    <v>414.61</v>
    <v>138.1</v>
    <v>1.2487999999999999</v>
    <v>-9.33</v>
    <v>-2.9170999999999999E-2</v>
    <v>2.5901000000000001</v>
    <v>8.3409999999999995E-3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321.51</v>
    <v>Semiconductors &amp; Semiconductor Equipment</v>
    <v>Stock</v>
    <v>46101.999965971874</v>
    <v>155</v>
    <v>309.92</v>
    <v>1470161760680</v>
    <v>BROADCOM INC.</v>
    <v>BROADCOM INC.</v>
    <v>320.12</v>
    <v>67.052400000000006</v>
    <v>319.83999999999997</v>
    <v>310.51</v>
    <v>313.1001</v>
    <v>4734668000</v>
    <v>AVGO</v>
    <v>BROADCOM INC. (XNAS:AVGO)</v>
    <v>43325937</v>
    <v>26776804</v>
    <v>2018</v>
  </rv>
  <rv s="2">
    <v>156</v>
  </rv>
  <rv s="0">
    <v>https://www.bing.com/financeapi/forcetrigger?t=a1o1jc&amp;q=XNYS%3aAWK&amp;form=skydnc</v>
    <v>Learn more on Bing</v>
  </rv>
  <rv s="1">
    <v>0</v>
    <v>AMERICAN WATER WORKS COMPANY, INC. (XNYS:AWK)</v>
    <v>2</v>
    <v>3</v>
    <v>Finance</v>
    <v>4</v>
    <v>en-US</v>
    <v>a1o1jc</v>
    <v>268435456</v>
    <v>1</v>
    <v>Powered by Refinitiv</v>
    <v>155.5</v>
    <v>121.27500000000001</v>
    <v>0.73309999999999997</v>
    <v>-1.31</v>
    <v>-9.555000000000001E-3</v>
    <v>1.29</v>
    <v>9.4999999999999998E-3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7000</v>
    <v>New York Stock Exchange</v>
    <v>XNYS</v>
    <v>XNYS</v>
    <v>1 Water Street, CAMDEN, NJ, 08102-1658 US</v>
    <v>137.74</v>
    <v>Water Utilities</v>
    <v>Stock</v>
    <v>46101.959152638279</v>
    <v>158</v>
    <v>135.13999999999999</v>
    <v>26507389373</v>
    <v>AMERICAN WATER WORKS COMPANY, INC.</v>
    <v>AMERICAN WATER WORKS COMPANY, INC.</v>
    <v>137.09</v>
    <v>23.8337</v>
    <v>137.1</v>
    <v>135.79</v>
    <v>137.08000000000001</v>
    <v>195208700</v>
    <v>AWK</v>
    <v>AMERICAN WATER WORKS COMPANY, INC. (XNYS:AWK)</v>
    <v>4091888</v>
    <v>2012663</v>
    <v>1936</v>
  </rv>
  <rv s="2">
    <v>159</v>
  </rv>
  <rv s="0">
    <v>https://www.bing.com/financeapi/forcetrigger?t=a1o9gh&amp;q=XNYS%3aBBY&amp;form=skydnc</v>
    <v>Learn more on Bing</v>
  </rv>
  <rv s="1">
    <v>0</v>
    <v>Best Buy Co., Inc. (XNYS:BBY)</v>
    <v>2</v>
    <v>3</v>
    <v>Finance</v>
    <v>4</v>
    <v>en-US</v>
    <v>a1o9gh</v>
    <v>268435456</v>
    <v>1</v>
    <v>Powered by Refinitiv</v>
    <v>84.99</v>
    <v>54.99</v>
    <v>1.3809</v>
    <v>-1.39</v>
    <v>-2.1654E-2</v>
    <v>0.4</v>
    <v>6.3690000000000005E-3</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82000</v>
    <v>New York Stock Exchange</v>
    <v>XNYS</v>
    <v>XNYS</v>
    <v>7601 Penn Ave S, RICHFIELD, MN, 55423 US</v>
    <v>64.099999999999994</v>
    <v>Specialty Retailers</v>
    <v>Stock</v>
    <v>46101.999465601562</v>
    <v>161</v>
    <v>62.1</v>
    <v>13132271280</v>
    <v>Best Buy Co., Inc.</v>
    <v>Best Buy Co., Inc.</v>
    <v>64</v>
    <v>12.717599999999999</v>
    <v>64.19</v>
    <v>62.8</v>
    <v>63.2</v>
    <v>209112600</v>
    <v>BBY</v>
    <v>Best Buy Co., Inc. (XNYS:BBY)</v>
    <v>9930406</v>
    <v>5208049</v>
    <v>1966</v>
  </rv>
  <rv s="2">
    <v>162</v>
  </rv>
  <rv s="0">
    <v>https://www.bing.com/financeapi/forcetrigger?t=a1odur&amp;q=XNYS%3aBF.A&amp;form=skydnc</v>
    <v>Learn more on Bing</v>
  </rv>
  <rv s="8">
    <v>12</v>
    <v>BROWN-FORMAN CORPORATION (XNYS:BF.A)</v>
    <v>2</v>
    <v>13</v>
    <v>Finance</v>
    <v>4</v>
    <v>en-US</v>
    <v>a1odur</v>
    <v>268435456</v>
    <v>1</v>
    <v>Powered by Refinitiv</v>
    <v>35.954999999999998</v>
    <v>23.01</v>
    <v>0.49590000000000001</v>
    <v>-0.26</v>
    <v>-1.1022000000000001E-2</v>
    <v>7.0000000000000007E-2</v>
    <v>3.0000000000000001E-3</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23.75</v>
    <v>Beverages</v>
    <v>Stock</v>
    <v>46101.958333356248</v>
    <v>164</v>
    <v>23.01</v>
    <v>10701554988</v>
    <v>BROWN-FORMAN CORPORATION</v>
    <v>BROWN-FORMAN CORPORATION</v>
    <v>23.75</v>
    <v>23.59</v>
    <v>23.33</v>
    <v>23.4</v>
    <v>458703600</v>
    <v>BF.A</v>
    <v>BROWN-FORMAN CORPORATION (XNYS:BF.A)</v>
    <v>627477</v>
    <v>247857</v>
    <v>1933</v>
  </rv>
  <rv s="2">
    <v>165</v>
  </rv>
  <rv s="0">
    <v>https://www.bing.com/financeapi/forcetrigger?t=a1p7zr&amp;q=XNYS%3aCAT&amp;form=skydnc</v>
    <v>Learn more on Bing</v>
  </rv>
  <rv s="1">
    <v>0</v>
    <v>CATERPILLAR INC. (XNYS:CAT)</v>
    <v>2</v>
    <v>3</v>
    <v>Finance</v>
    <v>4</v>
    <v>en-US</v>
    <v>a1p7zr</v>
    <v>268435456</v>
    <v>1</v>
    <v>Powered by Refinitiv</v>
    <v>789.81</v>
    <v>267.3</v>
    <v>1.5362</v>
    <v>-7.77</v>
    <v>-1.1283000000000001E-2</v>
    <v>4.62</v>
    <v>6.7850000000000002E-3</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694.06</v>
    <v>Machinery, Equipment &amp; Components</v>
    <v>Stock</v>
    <v>46101.997483251565</v>
    <v>167</v>
    <v>670.44</v>
    <v>316804816824</v>
    <v>CATERPILLAR INC.</v>
    <v>CATERPILLAR INC.</v>
    <v>686.63</v>
    <v>36.165999999999997</v>
    <v>688.65</v>
    <v>680.88</v>
    <v>685.5</v>
    <v>465287300</v>
    <v>CAT</v>
    <v>CATERPILLAR INC. (XNYS:CAT)</v>
    <v>5131128</v>
    <v>2850763</v>
    <v>1986</v>
  </rv>
  <rv s="2">
    <v>168</v>
  </rv>
  <rv s="0">
    <v>https://www.bing.com/financeapi/forcetrigger?t=a1pcf2&amp;q=XNYS%3aCCI&amp;form=skydnc</v>
    <v>Learn more on Bing</v>
  </rv>
  <rv s="1">
    <v>0</v>
    <v>CROWN CASTLE INC. (XNYS:CCI)</v>
    <v>2</v>
    <v>3</v>
    <v>Finance</v>
    <v>4</v>
    <v>en-US</v>
    <v>a1pcf2</v>
    <v>268435456</v>
    <v>1</v>
    <v>Powered by Refinitiv</v>
    <v>115.76</v>
    <v>77.010000000000005</v>
    <v>0.95720000000000005</v>
    <v>-2.71</v>
    <v>-3.1856000000000002E-2</v>
    <v>0.68799999999999994</v>
    <v>8.3540000000000003E-3</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4000</v>
    <v>New York Stock Exchange</v>
    <v>XNYS</v>
    <v>XNYS</v>
    <v>8020 Katy Freeway, HOUSTON, TX, 77024 US</v>
    <v>86.015000000000001</v>
    <v>Residential &amp; Commercial REIT</v>
    <v>Stock</v>
    <v>46101.996133830471</v>
    <v>170</v>
    <v>81.7</v>
    <v>35914758144</v>
    <v>CROWN CASTLE INC.</v>
    <v>CROWN CASTLE INC.</v>
    <v>85.13</v>
    <v>33.704000000000001</v>
    <v>85.07</v>
    <v>82.36</v>
    <v>83.048000000000002</v>
    <v>436070400</v>
    <v>CCI</v>
    <v>CROWN CASTLE INC. (XNYS:CCI)</v>
    <v>5086834</v>
    <v>3186224</v>
    <v>2014</v>
  </rv>
  <rv s="2">
    <v>171</v>
  </rv>
  <rv s="0">
    <v>https://www.bing.com/financeapi/forcetrigger?t=a1pshw&amp;q=XNYS%3aCL&amp;form=skydnc</v>
    <v>Learn more on Bing</v>
  </rv>
  <rv s="1">
    <v>0</v>
    <v>COLGATE-PALMOLIVE COMPANY (XNYS:CL)</v>
    <v>2</v>
    <v>3</v>
    <v>Finance</v>
    <v>4</v>
    <v>en-US</v>
    <v>a1pshw</v>
    <v>268435456</v>
    <v>1</v>
    <v>Powered by Refinitiv</v>
    <v>99.33</v>
    <v>74.545000000000002</v>
    <v>0.33510000000000001</v>
    <v>-0.38</v>
    <v>-4.444E-3</v>
    <v>0.35</v>
    <v>4.1120000000000002E-3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86.144999999999996</v>
    <v>Personal &amp; Household Products &amp; Services</v>
    <v>Stock</v>
    <v>46101.972977950783</v>
    <v>173</v>
    <v>84.07</v>
    <v>68227765760</v>
    <v>COLGATE-PALMOLIVE COMPANY</v>
    <v>COLGATE-PALMOLIVE COMPANY</v>
    <v>86.025000000000006</v>
    <v>32.616199999999999</v>
    <v>85.5</v>
    <v>85.12</v>
    <v>85.47</v>
    <v>801548000</v>
    <v>CL</v>
    <v>COLGATE-PALMOLIVE COMPANY (XNYS:CL)</v>
    <v>12313738</v>
    <v>6411886</v>
    <v>1923</v>
  </rv>
  <rv s="2">
    <v>174</v>
  </rv>
  <rv s="0">
    <v>https://www.bing.com/financeapi/forcetrigger?t=a1q19c&amp;q=XNYS%3aCNI&amp;form=skydnc</v>
    <v>Learn more on Bing</v>
  </rv>
  <rv s="1">
    <v>0</v>
    <v>Canadian National Railway Company (XNYS:CNI)</v>
    <v>2</v>
    <v>15</v>
    <v>Finance</v>
    <v>4</v>
    <v>en-US</v>
    <v>a1q19c</v>
    <v>268435456</v>
    <v>1</v>
    <v>Powered by Refinitiv</v>
    <v>113.08499999999999</v>
    <v>90.74</v>
    <v>0.99009999999999998</v>
    <v>-0.69</v>
    <v>-6.9630000000000004E-3</v>
    <v>0.12</v>
    <v>1.219E-3</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100.22</v>
    <v>Freight &amp; Logistics Services</v>
    <v>Stock</v>
    <v>46101.973349189066</v>
    <v>176</v>
    <v>97.98</v>
    <v>64942908000</v>
    <v>Canadian National Railway Company</v>
    <v>Canadian National Railway Company</v>
    <v>98.93</v>
    <v>17.971699999999998</v>
    <v>99.1</v>
    <v>98.41</v>
    <v>98.53</v>
    <v>611400000</v>
    <v>CNI</v>
    <v>Canadian National Railway Company (XNYS:CNI)</v>
    <v>2168865</v>
    <v>2045373</v>
    <v>1995</v>
  </rv>
  <rv s="2">
    <v>177</v>
  </rv>
  <rv s="0">
    <v>https://www.bing.com/financeapi/forcetrigger?t=a1q6k2&amp;q=XNAS%3aCOST&amp;form=skydnc</v>
    <v>Learn more on Bing</v>
  </rv>
  <rv s="1">
    <v>0</v>
    <v>COSTCO WHOLESALE CORPORATION (XNAS:COST)</v>
    <v>2</v>
    <v>3</v>
    <v>Finance</v>
    <v>4</v>
    <v>en-US</v>
    <v>a1q6k2</v>
    <v>268435456</v>
    <v>1</v>
    <v>Powered by Refinitiv</v>
    <v>1067.08</v>
    <v>844.06</v>
    <v>0.997</v>
    <v>-2.4500000000000002</v>
    <v>-2.513E-3</v>
    <v>1.8271999999999999</v>
    <v>1.879E-3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980.76</v>
    <v>Diversified Retail</v>
    <v>Stock</v>
    <v>46101.999650890626</v>
    <v>179</v>
    <v>970.54</v>
    <v>431376635325</v>
    <v>COSTCO WHOLESALE CORPORATION</v>
    <v>COSTCO WHOLESALE CORPORATION</v>
    <v>975.08</v>
    <v>52.084800000000001</v>
    <v>974.78</v>
    <v>972.33</v>
    <v>974.15719999999999</v>
    <v>443652500</v>
    <v>COST</v>
    <v>COSTCO WHOLESALE CORPORATION (XNAS:COST)</v>
    <v>2621555</v>
    <v>1918915</v>
    <v>1987</v>
  </rv>
  <rv s="2">
    <v>180</v>
  </rv>
  <rv s="0">
    <v>https://www.bing.com/financeapi/forcetrigger?t=a1q7jc&amp;q=XNYS%3aCPB&amp;form=skydnc</v>
    <v>Learn more on Bing</v>
  </rv>
  <rv s="1">
    <v>0</v>
    <v>THE CAMPBELL'S COMPANY (XNAS:CPB)</v>
    <v>2</v>
    <v>3</v>
    <v>Finance</v>
    <v>4</v>
    <v>en-US</v>
    <v>a1q7jc</v>
    <v>268435456</v>
    <v>1</v>
    <v>Powered by Refinitiv</v>
    <v>40.590000000000003</v>
    <v>20.8</v>
    <v>5.3900000000000003E-2</v>
    <v>0.04</v>
    <v>1.902E-3</v>
    <v>0.04</v>
    <v>1.8979999999999999E-3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21.21</v>
    <v>Food &amp; Tobacco</v>
    <v>Stock</v>
    <v>46101.999807256252</v>
    <v>182</v>
    <v>20.8</v>
    <v>6281946755</v>
    <v>THE CAMPBELL'S COMPANY</v>
    <v>THE CAMPBELL'S COMPANY</v>
    <v>20.98</v>
    <v>10.909700000000001</v>
    <v>21.03</v>
    <v>21.07</v>
    <v>21.11</v>
    <v>298146500</v>
    <v>CPB</v>
    <v>THE CAMPBELL'S COMPANY (XNAS:CPB)</v>
    <v>11692495</v>
    <v>9515639</v>
    <v>1922</v>
  </rv>
  <rv s="2">
    <v>183</v>
  </rv>
  <rv s="0">
    <v>https://www.bing.com/financeapi/forcetrigger?t=a1qpw7&amp;q=XNYS%3aD&amp;form=skydnc</v>
    <v>Learn more on Bing</v>
  </rv>
  <rv s="1">
    <v>0</v>
    <v>Dominion Energy, Inc. (XNYS:D)</v>
    <v>2</v>
    <v>3</v>
    <v>Finance</v>
    <v>4</v>
    <v>en-US</v>
    <v>a1qpw7</v>
    <v>268435456</v>
    <v>1</v>
    <v>Powered by Refinitiv</v>
    <v>67.569900000000004</v>
    <v>48.07</v>
    <v>0.67810000000000004</v>
    <v>-1.64</v>
    <v>-2.6876000000000001E-2</v>
    <v>0.57999999999999996</v>
    <v>9.7680000000000006E-3</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61.26</v>
    <v>Electrical Utilities &amp; IPPs</v>
    <v>Stock</v>
    <v>46101.998282812499</v>
    <v>185</v>
    <v>59.09</v>
    <v>52192923886</v>
    <v>Dominion Energy, Inc.</v>
    <v>Dominion Energy, Inc.</v>
    <v>61.1</v>
    <v>17.1996</v>
    <v>61.02</v>
    <v>59.38</v>
    <v>59.96</v>
    <v>878964700</v>
    <v>D</v>
    <v>Dominion Energy, Inc. (XNYS:D)</v>
    <v>7784767</v>
    <v>5857336</v>
    <v>1983</v>
  </rv>
  <rv s="2">
    <v>186</v>
  </rv>
  <rv s="0">
    <v>https://www.bing.com/financeapi/forcetrigger?t=a1qvjc&amp;q=XNYS%3aDE&amp;form=skydnc</v>
    <v>Learn more on Bing</v>
  </rv>
  <rv s="1">
    <v>0</v>
    <v>DEERE &amp; COMPANY (XNYS:DE)</v>
    <v>2</v>
    <v>3</v>
    <v>Finance</v>
    <v>4</v>
    <v>en-US</v>
    <v>a1qvjc</v>
    <v>268435456</v>
    <v>1</v>
    <v>Powered by Refinitiv</v>
    <v>674.18989999999997</v>
    <v>404.42</v>
    <v>0.99450000000000005</v>
    <v>-7.85</v>
    <v>-1.3831E-2</v>
    <v>6.27</v>
    <v>1.1202E-2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573.71</v>
    <v>Machinery, Equipment &amp; Components</v>
    <v>Stock</v>
    <v>46101.999283321093</v>
    <v>188</v>
    <v>551.27499999999998</v>
    <v>151187159029</v>
    <v>DEERE &amp; COMPANY</v>
    <v>DEERE &amp; COMPANY</v>
    <v>568.57000000000005</v>
    <v>32.000399999999999</v>
    <v>567.58000000000004</v>
    <v>559.73</v>
    <v>566</v>
    <v>270107300</v>
    <v>DE</v>
    <v>DEERE &amp; COMPANY (XNYS:DE)</v>
    <v>2727249</v>
    <v>1819850</v>
    <v>1958</v>
  </rv>
  <rv s="2">
    <v>189</v>
  </rv>
  <rv s="0">
    <v>https://www.bing.com/financeapi/forcetrigger?t=a1qwoc&amp;q=XNYS%3aDEO&amp;form=skydnc</v>
    <v>Learn more on Bing</v>
  </rv>
  <rv s="1">
    <v>0</v>
    <v>DIAGEO PLC (XNYS:DEO)</v>
    <v>2</v>
    <v>16</v>
    <v>Finance</v>
    <v>4</v>
    <v>en-US</v>
    <v>a1qwoc</v>
    <v>268435456</v>
    <v>1</v>
    <v>Powered by Refinitiv</v>
    <v>116.69</v>
    <v>73.64</v>
    <v>0.39839999999999998</v>
    <v>-0.73</v>
    <v>-9.7859999999999996E-3</v>
    <v>0.16</v>
    <v>2.166E-3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74.88</v>
    <v>Beverages</v>
    <v>Stock</v>
    <v>46101.982422997658</v>
    <v>191</v>
    <v>73.64</v>
    <v>42803539700</v>
    <v>DIAGEO PLC</v>
    <v>DIAGEO PLC</v>
    <v>74.66</v>
    <v>17.063600000000001</v>
    <v>74.599999999999994</v>
    <v>73.87</v>
    <v>74.03</v>
    <v>2226452000</v>
    <v>DEO</v>
    <v>DIAGEO PLC (XNYS:DEO)</v>
    <v>2525907</v>
    <v>2269088</v>
    <v>1886</v>
  </rv>
  <rv s="2">
    <v>192</v>
  </rv>
  <rv s="0">
    <v>https://www.bing.com/financeapi/forcetrigger?t=a1r5fr&amp;q=XNYS%3aDLR&amp;form=skydnc</v>
    <v>Learn more on Bing</v>
  </rv>
  <rv s="1">
    <v>0</v>
    <v>DIGITAL REALTY TRUST, INC. (XNYS:DLR)</v>
    <v>2</v>
    <v>3</v>
    <v>Finance</v>
    <v>4</v>
    <v>en-US</v>
    <v>a1r5fr</v>
    <v>268435456</v>
    <v>1</v>
    <v>Powered by Refinitiv</v>
    <v>184.79</v>
    <v>129.94999999999999</v>
    <v>1.1084000000000001</v>
    <v>-6.55</v>
    <v>-3.6419E-2</v>
    <v>1.71</v>
    <v>9.8670000000000008E-3</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 provides its customers with access to the connected data communities with a global data center footprint of 300+ facilities in 55+ metros across 30+ countries on six continents. The Company’s PlatformDIGITAL is a global data center platform for scaling digital business which enables customers to deploy critical infrastructure with a global data center provider.</v>
    <v>4282</v>
    <v>New York Stock Exchange</v>
    <v>XNYS</v>
    <v>XNYS</v>
    <v>2323 Bryan Street, Suite 1800, DALLAS, TX, 75201 US</v>
    <v>180.27500000000001</v>
    <v>Residential &amp; Commercial REIT</v>
    <v>Stock</v>
    <v>46101.968814617969</v>
    <v>194</v>
    <v>173.08</v>
    <v>59548548820</v>
    <v>DIGITAL REALTY TRUST, INC.</v>
    <v>DIGITAL REALTY TRUST, INC.</v>
    <v>179.99</v>
    <v>50.237400000000001</v>
    <v>179.85</v>
    <v>173.3</v>
    <v>175.01</v>
    <v>343615400</v>
    <v>DLR</v>
    <v>DIGITAL REALTY TRUST, INC. (XNYS:DLR)</v>
    <v>3062728</v>
    <v>2067524</v>
    <v>2004</v>
  </rv>
  <rv s="2">
    <v>195</v>
  </rv>
  <rv s="0">
    <v>https://www.bing.com/financeapi/forcetrigger?t=bpifbh&amp;q=XNYS%3aDOW&amp;form=skydnc</v>
    <v>Learn more on Bing</v>
  </rv>
  <rv s="8">
    <v>12</v>
    <v>Dow Inc. (XNYS:DOW)</v>
    <v>2</v>
    <v>13</v>
    <v>Finance</v>
    <v>4</v>
    <v>en-US</v>
    <v>bpifbh</v>
    <v>268435456</v>
    <v>1</v>
    <v>Powered by Refinitiv</v>
    <v>38.58</v>
    <v>20.401900000000001</v>
    <v>0.57330000000000003</v>
    <v>-0.84</v>
    <v>-2.2406000000000002E-2</v>
    <v>-0.35</v>
    <v>-9.5499999999999995E-3</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38.32</v>
    <v>Chemicals</v>
    <v>Stock</v>
    <v>46101.999982140624</v>
    <v>197</v>
    <v>36.479999999999997</v>
    <v>26374051010</v>
    <v>Dow Inc.</v>
    <v>Dow Inc.</v>
    <v>37.82</v>
    <v>37.49</v>
    <v>36.65</v>
    <v>36.299999999999997</v>
    <v>719619400</v>
    <v>DOW</v>
    <v>Dow Inc. (XNYS:DOW)</v>
    <v>15453512</v>
    <v>14698950</v>
    <v>2018</v>
  </rv>
  <rv s="2">
    <v>198</v>
  </rv>
  <rv s="0">
    <v>https://www.bing.com/financeapi/forcetrigger?t=a1rdzr&amp;q=XNYS%3aDUK&amp;form=skydnc</v>
    <v>Learn more on Bing</v>
  </rv>
  <rv s="1">
    <v>0</v>
    <v>DUKE ENERGY CORPORATION (XNYS:DUK)</v>
    <v>2</v>
    <v>3</v>
    <v>Finance</v>
    <v>4</v>
    <v>en-US</v>
    <v>a1rdzr</v>
    <v>268435456</v>
    <v>1</v>
    <v>Powered by Refinitiv</v>
    <v>134.49</v>
    <v>111.22</v>
    <v>0.47039999999999998</v>
    <v>-2.93</v>
    <v>-2.2584E-2</v>
    <v>0.66610000000000003</v>
    <v>5.2529999999999999E-3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130.54</v>
    <v>Electrical Utilities &amp; IPPs</v>
    <v>Stock</v>
    <v>46101.996108529689</v>
    <v>200</v>
    <v>126.77</v>
    <v>98616446829</v>
    <v>DUKE ENERGY CORPORATION</v>
    <v>DUKE ENERGY CORPORATION</v>
    <v>130.43</v>
    <v>20.060400000000001</v>
    <v>129.74</v>
    <v>126.81</v>
    <v>127.4761</v>
    <v>777670900</v>
    <v>DUK</v>
    <v>DUKE ENERGY CORPORATION (XNYS:DUK)</v>
    <v>7644784</v>
    <v>4925430</v>
    <v>2005</v>
  </rv>
  <rv s="2">
    <v>201</v>
  </rv>
  <rv s="0">
    <v>https://www.bing.com/financeapi/forcetrigger?t=a1rmkr&amp;q=XNYS%3aED&amp;form=skydnc</v>
    <v>Learn more on Bing</v>
  </rv>
  <rv s="1">
    <v>0</v>
    <v>CONSOLIDATED EDISON, INC. (XNYS:ED)</v>
    <v>2</v>
    <v>3</v>
    <v>Finance</v>
    <v>4</v>
    <v>en-US</v>
    <v>a1rmkr</v>
    <v>268435456</v>
    <v>1</v>
    <v>Powered by Refinitiv</v>
    <v>116.23</v>
    <v>94.96</v>
    <v>0.35249999999999998</v>
    <v>-2.2400000000000002</v>
    <v>-2.0055999999999997E-2</v>
    <v>2.13</v>
    <v>1.9460999999999999E-2</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15407</v>
    <v>New York Stock Exchange</v>
    <v>XNYS</v>
    <v>XNYS</v>
    <v>4 Irving Place, NEW YORK, NY, 10003 US</v>
    <v>111.9686</v>
    <v>Electrical Utilities &amp; IPPs</v>
    <v>Stock</v>
    <v>46101.97780201328</v>
    <v>203</v>
    <v>108.82</v>
    <v>39544580515</v>
    <v>CONSOLIDATED EDISON, INC.</v>
    <v>CONSOLIDATED EDISON, INC.</v>
    <v>111.82</v>
    <v>19.756699999999999</v>
    <v>111.69</v>
    <v>109.45</v>
    <v>111.58</v>
    <v>361302700</v>
    <v>ED</v>
    <v>CONSOLIDATED EDISON, INC. (XNYS:ED)</v>
    <v>4149957</v>
    <v>2553631</v>
    <v>1997</v>
  </rv>
  <rv s="2">
    <v>204</v>
  </rv>
  <rv s="0">
    <v>https://www.bing.com/financeapi/forcetrigger?t=a1s24c&amp;q=XNYS%3aEOG&amp;form=skydnc</v>
    <v>Learn more on Bing</v>
  </rv>
  <rv s="1">
    <v>0</v>
    <v>EOG RESOURCES, INC. (XNYS:EOG)</v>
    <v>2</v>
    <v>3</v>
    <v>Finance</v>
    <v>4</v>
    <v>en-US</v>
    <v>a1s24c</v>
    <v>268435456</v>
    <v>1</v>
    <v>Powered by Refinitiv</v>
    <v>140.91990000000001</v>
    <v>101.5936</v>
    <v>0.34439999999999998</v>
    <v>-0.09</v>
    <v>-6.4829999999999998E-4</v>
    <v>-0.42</v>
    <v>-3.0270000000000002E-3</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3400</v>
    <v>New York Stock Exchange</v>
    <v>XNYS</v>
    <v>XNYS</v>
    <v>1111 Bagby, Sky Lobby 2, HOUSTON, TX, 77002 US</v>
    <v>140.91990000000001</v>
    <v>Oil &amp; Gas</v>
    <v>Stock</v>
    <v>46101.992137117966</v>
    <v>206</v>
    <v>138.25</v>
    <v>74427465795</v>
    <v>EOG RESOURCES, INC.</v>
    <v>EOG RESOURCES, INC.</v>
    <v>139.35</v>
    <v>15.2265</v>
    <v>138.82</v>
    <v>138.72999999999999</v>
    <v>138.31</v>
    <v>536491500</v>
    <v>EOG</v>
    <v>EOG RESOURCES, INC. (XNYS:EOG)</v>
    <v>15690064</v>
    <v>5956089</v>
    <v>1985</v>
  </rv>
  <rv s="2">
    <v>207</v>
  </rv>
  <rv s="0">
    <v>https://www.bing.com/financeapi/forcetrigger?t=a1s4mw&amp;q=XNAS%3aEQIX&amp;form=skydnc</v>
    <v>Learn more on Bing</v>
  </rv>
  <rv s="1">
    <v>0</v>
    <v>EQUINIX, INC. (XNAS:EQIX)</v>
    <v>2</v>
    <v>3</v>
    <v>Finance</v>
    <v>4</v>
    <v>en-US</v>
    <v>a1s4mw</v>
    <v>268435456</v>
    <v>1</v>
    <v>Powered by Refinitiv</v>
    <v>992.9</v>
    <v>701.41</v>
    <v>1.0073000000000001</v>
    <v>-15.6</v>
    <v>-1.6004000000000001E-2</v>
    <v>7.84</v>
    <v>8.1740000000000007E-3</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979.38499999999999</v>
    <v>Residential &amp; Commercial REIT</v>
    <v>Stock</v>
    <v>46101.998240878907</v>
    <v>209</v>
    <v>953.72</v>
    <v>94242198658</v>
    <v>EQUINIX, INC.</v>
    <v>EQUINIX, INC.</v>
    <v>975.73</v>
    <v>70.838099999999997</v>
    <v>974.76</v>
    <v>959.16</v>
    <v>967</v>
    <v>98254930</v>
    <v>EQIX</v>
    <v>EQUINIX, INC. (XNAS:EQIX)</v>
    <v>1817929</v>
    <v>764695</v>
    <v>1998</v>
  </rv>
  <rv s="2">
    <v>210</v>
  </rv>
  <rv s="0">
    <v>https://www.bing.com/financeapi/forcetrigger?t=a1sl52&amp;q=XNAS%3aFAST&amp;form=skydnc</v>
    <v>Learn more on Bing</v>
  </rv>
  <rv s="1">
    <v>0</v>
    <v>FASTENAL COMPANY (XNAS:FAST)</v>
    <v>2</v>
    <v>3</v>
    <v>Finance</v>
    <v>4</v>
    <v>en-US</v>
    <v>a1sl52</v>
    <v>268435456</v>
    <v>1</v>
    <v>Powered by Refinitiv</v>
    <v>50.63</v>
    <v>35.305</v>
    <v>0.86770000000000003</v>
    <v>-0.73</v>
    <v>-1.6407999999999999E-2</v>
    <v>0.13</v>
    <v>2.9709999999999997E-3</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44.795000000000002</v>
    <v>Machinery, Equipment &amp; Components</v>
    <v>Stock</v>
    <v>46101.999589837498</v>
    <v>212</v>
    <v>43.465000000000003</v>
    <v>50250833280</v>
    <v>FASTENAL COMPANY</v>
    <v>FASTENAL COMPANY</v>
    <v>44.37</v>
    <v>40.663600000000002</v>
    <v>44.49</v>
    <v>43.76</v>
    <v>43.89</v>
    <v>1148328000</v>
    <v>FAST</v>
    <v>FASTENAL COMPANY (XNAS:FAST)</v>
    <v>30102429</v>
    <v>7563578</v>
    <v>1968</v>
  </rv>
  <rv s="2">
    <v>213</v>
  </rv>
  <rv s="0">
    <v>https://www.bing.com/financeapi/forcetrigger?t=a1sqr7&amp;q=XNYS%3aFDX&amp;form=skydnc</v>
    <v>Learn more on Bing</v>
  </rv>
  <rv s="1">
    <v>0</v>
    <v>FEDEX CORPORATION (XNYS:FDX)</v>
    <v>2</v>
    <v>3</v>
    <v>Finance</v>
    <v>4</v>
    <v>en-US</v>
    <v>a1sqr7</v>
    <v>268435456</v>
    <v>1</v>
    <v>Powered by Refinitiv</v>
    <v>392.86</v>
    <v>194.29499999999999</v>
    <v>1.2805</v>
    <v>2.74</v>
    <v>7.6939999999999995E-3</v>
    <v>0.55900000000000005</v>
    <v>1.5579999999999999E-3</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383.18</v>
    <v>Freight &amp; Logistics Services</v>
    <v>Stock</v>
    <v>46101.999372245315</v>
    <v>215</v>
    <v>356.54</v>
    <v>85624050180</v>
    <v>FEDEX CORPORATION</v>
    <v>FEDEX CORPORATION</v>
    <v>380.82</v>
    <v>19.658300000000001</v>
    <v>356.11</v>
    <v>358.85</v>
    <v>359.40899999999999</v>
    <v>238606800</v>
    <v>FDX</v>
    <v>FEDEX CORPORATION (XNYS:FDX)</v>
    <v>6967940</v>
    <v>1825016</v>
    <v>1997</v>
  </rv>
  <rv s="2">
    <v>216</v>
  </rv>
  <rv s="0">
    <v>https://www.bing.com/financeapi/forcetrigger?t=a1t227&amp;q=XNYS%3aFLO&amp;form=skydnc</v>
    <v>Learn more on Bing</v>
  </rv>
  <rv s="1">
    <v>0</v>
    <v>FLOWERS FOODS, INC. (XNYS:FLO)</v>
    <v>2</v>
    <v>3</v>
    <v>Finance</v>
    <v>4</v>
    <v>en-US</v>
    <v>a1t227</v>
    <v>268435456</v>
    <v>1</v>
    <v>Powered by Refinitiv</v>
    <v>20.23</v>
    <v>8.17</v>
    <v>0.3952</v>
    <v>-0.19</v>
    <v>-2.2700000000000001E-2</v>
    <v>5.0700000000000002E-2</v>
    <v>6.1980000000000004E-3</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10300</v>
    <v>New York Stock Exchange</v>
    <v>XNYS</v>
    <v>XNYS</v>
    <v>1919 Flowers Cir, THOMASVILLE, GA, 31757 US</v>
    <v>8.3699999999999992</v>
    <v>Food &amp; Tobacco</v>
    <v>Stock</v>
    <v>46101.998820914065</v>
    <v>218</v>
    <v>8.17</v>
    <v>1730514174</v>
    <v>FLOWERS FOODS, INC.</v>
    <v>FLOWERS FOODS, INC.</v>
    <v>8.36</v>
    <v>21.179099999999998</v>
    <v>8.3699999999999992</v>
    <v>8.18</v>
    <v>8.2307000000000006</v>
    <v>211554300</v>
    <v>FLO</v>
    <v>FLOWERS FOODS, INC. (XNYS:FLO)</v>
    <v>9228918</v>
    <v>6341276</v>
    <v>2000</v>
  </rv>
  <rv s="2">
    <v>219</v>
  </rv>
  <rv s="0">
    <v>https://www.bing.com/financeapi/forcetrigger?t=a1tvzr&amp;q=XNYS%3aGIS&amp;form=skydnc</v>
    <v>Learn more on Bing</v>
  </rv>
  <rv s="1">
    <v>0</v>
    <v>GENERAL MILLS, INC. (XNYS:GIS)</v>
    <v>2</v>
    <v>3</v>
    <v>Finance</v>
    <v>4</v>
    <v>en-US</v>
    <v>a1tvzr</v>
    <v>268435456</v>
    <v>1</v>
    <v>Powered by Refinitiv</v>
    <v>62.61</v>
    <v>37.01</v>
    <v>7.3000000000000001E-3</v>
    <v>-0.49</v>
    <v>-1.3067E-2</v>
    <v>0.23</v>
    <v>6.2150000000000009E-3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37.67</v>
    <v>Food &amp; Tobacco</v>
    <v>Stock</v>
    <v>46101.999114964841</v>
    <v>221</v>
    <v>37.01</v>
    <v>19751541212</v>
    <v>GENERAL MILLS, INC.</v>
    <v>GENERAL MILLS, INC.</v>
    <v>37.53</v>
    <v>8.0452999999999992</v>
    <v>37.5</v>
    <v>37.01</v>
    <v>37.24</v>
    <v>533681200</v>
    <v>GIS</v>
    <v>GENERAL MILLS, INC. (XNYS:GIS)</v>
    <v>28159050</v>
    <v>8886108</v>
    <v>1928</v>
  </rv>
  <rv s="2">
    <v>222</v>
  </rv>
  <rv s="0">
    <v>https://www.bing.com/financeapi/forcetrigger?t=a1uv7w&amp;q=XNYS%3aHRL&amp;form=skydnc</v>
    <v>Learn more on Bing</v>
  </rv>
  <rv s="1">
    <v>0</v>
    <v>HORMEL FOODS CORPORATION (XNYS:HRL)</v>
    <v>2</v>
    <v>3</v>
    <v>Finance</v>
    <v>4</v>
    <v>en-US</v>
    <v>a1uv7w</v>
    <v>268435456</v>
    <v>1</v>
    <v>Powered by Refinitiv</v>
    <v>32.07</v>
    <v>21.03</v>
    <v>0.37090000000000001</v>
    <v>-0.23</v>
    <v>-1.0281999999999999E-2</v>
    <v>0.19</v>
    <v>8.5819999999999994E-3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22.495000000000001</v>
    <v>Food &amp; Tobacco</v>
    <v>Stock</v>
    <v>46101.993641365625</v>
    <v>224</v>
    <v>22.135000000000002</v>
    <v>12183292188</v>
    <v>HORMEL FOODS CORPORATION</v>
    <v>HORMEL FOODS CORPORATION</v>
    <v>22.41</v>
    <v>25.1707</v>
    <v>22.37</v>
    <v>22.14</v>
    <v>22.33</v>
    <v>550284200</v>
    <v>HRL</v>
    <v>HORMEL FOODS CORPORATION (XNYS:HRL)</v>
    <v>8899561</v>
    <v>4706931</v>
    <v>1928</v>
  </rv>
  <rv s="2">
    <v>225</v>
  </rv>
  <rv s="0">
    <v>https://www.bing.com/financeapi/forcetrigger?t=a1vmf2&amp;q=XNAS%3aINTC&amp;form=skydnc</v>
    <v>Learn more on Bing</v>
  </rv>
  <rv s="1">
    <v>0</v>
    <v>INTEL CORPORATION (XNAS:INTC)</v>
    <v>2</v>
    <v>3</v>
    <v>Finance</v>
    <v>4</v>
    <v>en-US</v>
    <v>a1vmf2</v>
    <v>268435456</v>
    <v>1</v>
    <v>Powered by Refinitiv</v>
    <v>54.6</v>
    <v>17.664999999999999</v>
    <v>1.3486</v>
    <v>-2.31</v>
    <v>-5.0022000000000004E-2</v>
    <v>0.36909999999999998</v>
    <v>8.4130000000000003E-3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47.55</v>
    <v>Semiconductors &amp; Semiconductor Equipment</v>
    <v>Stock</v>
    <v>46101.999987071096</v>
    <v>227</v>
    <v>43.642000000000003</v>
    <v>219130650000</v>
    <v>INTEL CORPORATION</v>
    <v>INTEL CORPORATION</v>
    <v>46.95</v>
    <v>0</v>
    <v>46.18</v>
    <v>43.87</v>
    <v>44.239100000000001</v>
    <v>4995000000</v>
    <v>INTC</v>
    <v>INTEL CORPORATION (XNAS:INTC)</v>
    <v>162814210</v>
    <v>79152792</v>
    <v>1989</v>
  </rv>
  <rv s="2">
    <v>228</v>
  </rv>
  <rv s="0">
    <v>https://www.bing.com/financeapi/forcetrigger?t=a1vmtc&amp;q=XNAS%3aINTU&amp;form=skydnc</v>
    <v>Learn more on Bing</v>
  </rv>
  <rv s="1">
    <v>0</v>
    <v>INTUIT INC. (XNAS:INTU)</v>
    <v>2</v>
    <v>3</v>
    <v>Finance</v>
    <v>4</v>
    <v>en-US</v>
    <v>a1vmtc</v>
    <v>268435456</v>
    <v>1</v>
    <v>Powered by Refinitiv</v>
    <v>813.7</v>
    <v>349</v>
    <v>1.1761999999999999</v>
    <v>0.32</v>
    <v>7.0290000000000001E-4</v>
    <v>4.4400000000000004</v>
    <v>9.7459999999999995E-3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462.85899999999998</v>
    <v>Financial Technology (Fintech) &amp; Infrastructure</v>
    <v>Stock</v>
    <v>46101.999855532034</v>
    <v>230</v>
    <v>440.67</v>
    <v>125985118000</v>
    <v>INTUIT INC.</v>
    <v>INTUIT INC.</v>
    <v>444.49</v>
    <v>29.633400000000002</v>
    <v>455.24</v>
    <v>455.56</v>
    <v>460</v>
    <v>276550000</v>
    <v>INTU</v>
    <v>INTUIT INC. (XNAS:INTU)</v>
    <v>4718502</v>
    <v>4750235</v>
    <v>1993</v>
  </rv>
  <rv s="2">
    <v>231</v>
  </rv>
  <rv s="0">
    <v>https://www.bing.com/financeapi/forcetrigger?t=a1vrec&amp;q=XNYS%3aIRM&amp;form=skydnc</v>
    <v>Learn more on Bing</v>
  </rv>
  <rv s="1">
    <v>0</v>
    <v>IRON MOUNTAIN INCORPORATED (XNYS:IRM)</v>
    <v>2</v>
    <v>3</v>
    <v>Finance</v>
    <v>4</v>
    <v>en-US</v>
    <v>a1vrec</v>
    <v>268435456</v>
    <v>1</v>
    <v>Powered by Refinitiv</v>
    <v>115.24</v>
    <v>72.33</v>
    <v>1.1629</v>
    <v>-5.33</v>
    <v>-5.0791000000000003E-2</v>
    <v>0.39</v>
    <v>3.9150000000000001E-3</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29400</v>
    <v>New York Stock Exchange</v>
    <v>XNYS</v>
    <v>XNYS</v>
    <v>85 New Hampshire Avenue, Suite 150, Pease International Tradeport, PORTSMOUTH, NH, 03801 US</v>
    <v>105.58</v>
    <v>Residential &amp; Commercial REIT</v>
    <v>Stock</v>
    <v>46101.983142187499</v>
    <v>233</v>
    <v>99.51</v>
    <v>29468144272</v>
    <v>IRON MOUNTAIN INCORPORATED</v>
    <v>IRON MOUNTAIN INCORPORATED</v>
    <v>104.74</v>
    <v>205.976</v>
    <v>104.94</v>
    <v>99.61</v>
    <v>100</v>
    <v>295835200</v>
    <v>IRM</v>
    <v>IRON MOUNTAIN INCORPORATED (XNYS:IRM)</v>
    <v>3053984</v>
    <v>1892995</v>
    <v>2014</v>
  </rv>
  <rv s="2">
    <v>234</v>
  </rv>
  <rv s="0">
    <v>https://www.bing.com/financeapi/forcetrigger?t=a1vv8m&amp;q=XNYS%3aITW&amp;form=skydnc</v>
    <v>Learn more on Bing</v>
  </rv>
  <rv s="1">
    <v>0</v>
    <v>ILLINOIS TOOL WORKS INC. (XNYS:ITW)</v>
    <v>2</v>
    <v>3</v>
    <v>Finance</v>
    <v>4</v>
    <v>en-US</v>
    <v>a1vv8m</v>
    <v>268435456</v>
    <v>1</v>
    <v>Powered by Refinitiv</v>
    <v>303.15499999999997</v>
    <v>214.66</v>
    <v>1.1487000000000001</v>
    <v>-2.94</v>
    <v>-1.1281000000000001E-2</v>
    <v>2.3199999999999998</v>
    <v>9.0030000000000006E-3</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262.27999999999997</v>
    <v>Consumer Goods Conglomerates</v>
    <v>Stock</v>
    <v>46101.958333344533</v>
    <v>236</v>
    <v>256.13</v>
    <v>74263376000</v>
    <v>ILLINOIS TOOL WORKS INC.</v>
    <v>ILLINOIS TOOL WORKS INC.</v>
    <v>260.86</v>
    <v>24.8413</v>
    <v>260.62</v>
    <v>257.68</v>
    <v>260</v>
    <v>288200000</v>
    <v>ITW</v>
    <v>ILLINOIS TOOL WORKS INC. (XNYS:ITW)</v>
    <v>2353232</v>
    <v>1340814</v>
    <v>1961</v>
  </rv>
  <rv s="2">
    <v>237</v>
  </rv>
  <rv s="0">
    <v>https://www.bing.com/financeapi/forcetrigger?t=a1wljc&amp;q=XNYS%3aKO&amp;form=skydnc</v>
    <v>Learn more on Bing</v>
  </rv>
  <rv s="1">
    <v>0</v>
    <v>THE COCA-COLA COMPANY (XNYS:KO)</v>
    <v>2</v>
    <v>3</v>
    <v>Finance</v>
    <v>4</v>
    <v>en-US</v>
    <v>a1wljc</v>
    <v>268435456</v>
    <v>1</v>
    <v>Powered by Refinitiv</v>
    <v>82</v>
    <v>65.353800000000007</v>
    <v>0.37130000000000002</v>
    <v>-0.8</v>
    <v>-1.0588999999999999E-2</v>
    <v>0.15</v>
    <v>2.0070000000000001E-3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76.05</v>
    <v>Beverages</v>
    <v>Stock</v>
    <v>46101.999764964843</v>
    <v>239</v>
    <v>74.39</v>
    <v>321735436750</v>
    <v>THE COCA-COLA COMPANY</v>
    <v>THE COCA-COLA COMPANY</v>
    <v>75.564999999999998</v>
    <v>24.596900000000002</v>
    <v>75.55</v>
    <v>74.75</v>
    <v>74.900000000000006</v>
    <v>4304153000</v>
    <v>KO</v>
    <v>THE COCA-COLA COMPANY (XNYS:KO)</v>
    <v>33298715</v>
    <v>17112204</v>
    <v>1919</v>
  </rv>
  <rv s="2">
    <v>240</v>
  </rv>
  <rv s="0">
    <v>https://www.bing.com/financeapi/forcetrigger?t=a1wyu2&amp;q=XNYS%3aLLY&amp;form=skydnc</v>
    <v>Learn more on Bing</v>
  </rv>
  <rv s="1">
    <v>0</v>
    <v>ELI LILLY AND COMPANY (XNYS:LLY)</v>
    <v>2</v>
    <v>3</v>
    <v>Finance</v>
    <v>4</v>
    <v>en-US</v>
    <v>a1wyu2</v>
    <v>268435456</v>
    <v>1</v>
    <v>Powered by Refinitiv</v>
    <v>1133.95</v>
    <v>623.78</v>
    <v>0.51329999999999998</v>
    <v>-10.8</v>
    <v>-1.1771E-2</v>
    <v>4.38</v>
    <v>4.8309999999999994E-3</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925.375</v>
    <v>Pharmaceuticals</v>
    <v>Stock</v>
    <v>46101.999863321093</v>
    <v>242</v>
    <v>899.29</v>
    <v>855342154580</v>
    <v>ELI LILLY AND COMPANY</v>
    <v>ELI LILLY AND COMPANY</v>
    <v>910.55</v>
    <v>39.966799999999999</v>
    <v>917.5</v>
    <v>906.7</v>
    <v>911.08</v>
    <v>943357400</v>
    <v>LLY</v>
    <v>ELI LILLY AND COMPANY (XNYS:LLY)</v>
    <v>4818789</v>
    <v>2929960</v>
    <v>1901</v>
  </rv>
  <rv s="2">
    <v>243</v>
  </rv>
  <rv s="0">
    <v>https://www.bing.com/financeapi/forcetrigger?t=a1x9yc&amp;q=XNYS%3aMAN&amp;form=skydnc</v>
    <v>Learn more on Bing</v>
  </rv>
  <rv s="8">
    <v>12</v>
    <v>MANPOWERGROUP INC. (XNYS:MAN)</v>
    <v>2</v>
    <v>13</v>
    <v>Finance</v>
    <v>4</v>
    <v>en-US</v>
    <v>a1x9yc</v>
    <v>268435456</v>
    <v>1</v>
    <v>Powered by Refinitiv</v>
    <v>60.45</v>
    <v>25.15</v>
    <v>0.87050000000000005</v>
    <v>0.33</v>
    <v>1.2552000000000001E-2</v>
    <v>0</v>
    <v>0</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25400</v>
    <v>New York Stock Exchange</v>
    <v>XNYS</v>
    <v>XNYS</v>
    <v>100 Manpower Place, MILWAUKEE, WI, 53212 US</v>
    <v>27.17</v>
    <v>Professional &amp; Commercial Services</v>
    <v>Stock</v>
    <v>46101.958333344533</v>
    <v>245</v>
    <v>26</v>
    <v>1235691083</v>
    <v>MANPOWERGROUP INC.</v>
    <v>MANPOWERGROUP INC.</v>
    <v>26.36</v>
    <v>26.29</v>
    <v>26.62</v>
    <v>26.62</v>
    <v>46419650</v>
    <v>MAN</v>
    <v>MANPOWERGROUP INC. (XNYS:MAN)</v>
    <v>1513207</v>
    <v>1553741</v>
    <v>1990</v>
  </rv>
  <rv s="2">
    <v>246</v>
  </rv>
  <rv s="0">
    <v>https://www.bing.com/financeapi/forcetrigger?t=a1xear&amp;q=XNYS%3aMCO&amp;form=skydnc</v>
    <v>Learn more on Bing</v>
  </rv>
  <rv s="1">
    <v>0</v>
    <v>MOODY'S CORPORATION (XNYS:MCO)</v>
    <v>2</v>
    <v>3</v>
    <v>Finance</v>
    <v>4</v>
    <v>en-US</v>
    <v>a1xear</v>
    <v>268435456</v>
    <v>1</v>
    <v>Powered by Refinitiv</v>
    <v>546.88</v>
    <v>378.71</v>
    <v>1.4452</v>
    <v>-0.68</v>
    <v>-1.56E-3</v>
    <v>1.1399999999999999</v>
    <v>2.6199999999999999E-3</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439.33</v>
    <v>Professional &amp; Commercial Services</v>
    <v>Stock</v>
    <v>46101.980074525003</v>
    <v>248</v>
    <v>432.29</v>
    <v>77453056968</v>
    <v>MOODY'S CORPORATION</v>
    <v>MOODY'S CORPORATION</v>
    <v>435.58</v>
    <v>31.833300000000001</v>
    <v>435.8</v>
    <v>435.12</v>
    <v>436.26</v>
    <v>178003900</v>
    <v>MCO</v>
    <v>MOODY'S CORPORATION (XNYS:MCO)</v>
    <v>1899954</v>
    <v>1630810</v>
    <v>2000</v>
  </rv>
  <rv s="2">
    <v>249</v>
  </rv>
  <rv s="0">
    <v>https://www.bing.com/financeapi/forcetrigger?t=a1xfoc&amp;q=XNAS%3aMDLZ&amp;form=skydnc</v>
    <v>Learn more on Bing</v>
  </rv>
  <rv s="1">
    <v>0</v>
    <v>Mondelez International, Inc. (XNAS:MDLZ)</v>
    <v>2</v>
    <v>3</v>
    <v>Finance</v>
    <v>4</v>
    <v>en-US</v>
    <v>a1xfoc</v>
    <v>268435456</v>
    <v>1</v>
    <v>Powered by Refinitiv</v>
    <v>71.150000000000006</v>
    <v>51.200800000000001</v>
    <v>0.40279999999999999</v>
    <v>-0.28000000000000003</v>
    <v>-4.9569999999999996E-3</v>
    <v>0.06</v>
    <v>1.067E-3</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57.015000000000001</v>
    <v>Food &amp; Tobacco</v>
    <v>Stock</v>
    <v>46101.983799664064</v>
    <v>251</v>
    <v>56.01</v>
    <v>72052563660</v>
    <v>Mondelez International, Inc.</v>
    <v>Mondelez International, Inc.</v>
    <v>56.48</v>
    <v>29.8965</v>
    <v>56.49</v>
    <v>56.21</v>
    <v>56.27</v>
    <v>1281846000</v>
    <v>MDLZ</v>
    <v>Mondelez International, Inc. (XNAS:MDLZ)</v>
    <v>22557320</v>
    <v>10037222</v>
    <v>2000</v>
  </rv>
  <rv s="2">
    <v>252</v>
  </rv>
  <rv s="0">
    <v>https://www.bing.com/financeapi/forcetrigger?t=a1slm7&amp;q=XNAS%3aMETA&amp;form=skydnc</v>
    <v>Learn more on Bing</v>
  </rv>
  <rv s="1">
    <v>0</v>
    <v>META PLATFORMS, INC. (XNAS:META)</v>
    <v>2</v>
    <v>3</v>
    <v>Finance</v>
    <v>4</v>
    <v>en-US</v>
    <v>a1slm7</v>
    <v>268435456</v>
    <v>1</v>
    <v>Powered by Refinitiv</v>
    <v>796.25</v>
    <v>479.8</v>
    <v>1.2904</v>
    <v>-13.04</v>
    <v>-2.1493000000000002E-2</v>
    <v>4.2300000000000004</v>
    <v>7.1250000000000003E-3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603.95500000000004</v>
    <v>Software &amp; IT Services</v>
    <v>Stock</v>
    <v>46101.999953517967</v>
    <v>254</v>
    <v>587.25</v>
    <v>1501695621300</v>
    <v>META PLATFORMS, INC.</v>
    <v>META PLATFORMS, INC.</v>
    <v>603.53</v>
    <v>20.755700000000001</v>
    <v>606.70000000000005</v>
    <v>593.66</v>
    <v>597.89</v>
    <v>2529555000</v>
    <v>META</v>
    <v>META PLATFORMS, INC. (XNAS:META)</v>
    <v>21214898</v>
    <v>12320087</v>
    <v>2004</v>
  </rv>
  <rv s="2">
    <v>255</v>
  </rv>
  <rv s="0">
    <v>https://www.bing.com/financeapi/forcetrigger?t=a1xroc&amp;q=XNYS%3aMMM&amp;form=skydnc</v>
    <v>Learn more on Bing</v>
  </rv>
  <rv s="1">
    <v>0</v>
    <v>3M COMPANY (XNYS:MMM)</v>
    <v>2</v>
    <v>3</v>
    <v>Finance</v>
    <v>4</v>
    <v>en-US</v>
    <v>a1xroc</v>
    <v>268435456</v>
    <v>1</v>
    <v>Powered by Refinitiv</v>
    <v>177.41</v>
    <v>121.97709999999999</v>
    <v>1.0921000000000001</v>
    <v>-1.51</v>
    <v>-1.0581E-2</v>
    <v>0.73</v>
    <v>5.1700000000000001E-3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143.30000000000001</v>
    <v>Consumer Goods Conglomerates</v>
    <v>Stock</v>
    <v>46101.998543217189</v>
    <v>257</v>
    <v>139.34</v>
    <v>74370040000</v>
    <v>3M COMPANY</v>
    <v>3M COMPANY</v>
    <v>141.61000000000001</v>
    <v>23.802399999999999</v>
    <v>142.71</v>
    <v>141.19999999999999</v>
    <v>141.93</v>
    <v>526700000</v>
    <v>MMM</v>
    <v>3M COMPANY (XNYS:MMM)</v>
    <v>6900740</v>
    <v>4173402</v>
    <v>1929</v>
  </rv>
  <rv s="2">
    <v>258</v>
  </rv>
  <rv s="0">
    <v>https://www.bing.com/financeapi/forcetrigger?t=a1xtpr&amp;q=XNYS%3aMO&amp;form=skydnc</v>
    <v>Learn more on Bing</v>
  </rv>
  <rv s="1">
    <v>0</v>
    <v>Altria Group, Inc. (XNYS:MO)</v>
    <v>2</v>
    <v>3</v>
    <v>Finance</v>
    <v>4</v>
    <v>en-US</v>
    <v>a1xtpr</v>
    <v>268435456</v>
    <v>1</v>
    <v>Powered by Refinitiv</v>
    <v>70.510000000000005</v>
    <v>52.82</v>
    <v>0.45900000000000002</v>
    <v>-0.6</v>
    <v>-9.221E-3</v>
    <v>0.33179999999999998</v>
    <v>5.1470000000000005E-3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65.55</v>
    <v>Food &amp; Tobacco</v>
    <v>Stock</v>
    <v>46101.99980225625</v>
    <v>260</v>
    <v>64.08</v>
    <v>107787264060</v>
    <v>Altria Group, Inc.</v>
    <v>Altria Group, Inc.</v>
    <v>65.3</v>
    <v>15.8064</v>
    <v>65.069999999999993</v>
    <v>64.47</v>
    <v>64.8018</v>
    <v>1671898000</v>
    <v>MO</v>
    <v>Altria Group, Inc. (XNYS:MO)</v>
    <v>38329596</v>
    <v>8410715</v>
    <v>1985</v>
  </rv>
  <rv s="2">
    <v>261</v>
  </rv>
  <rv s="0">
    <v>https://www.bing.com/financeapi/forcetrigger?t=a1xxmw&amp;q=XNYS%3aMRK&amp;form=skydnc</v>
    <v>Learn more on Bing</v>
  </rv>
  <rv s="1">
    <v>0</v>
    <v>MERCK &amp; CO., INC. (XNYS:MRK)</v>
    <v>2</v>
    <v>3</v>
    <v>Finance</v>
    <v>4</v>
    <v>en-US</v>
    <v>a1xxmw</v>
    <v>268435456</v>
    <v>1</v>
    <v>Powered by Refinitiv</v>
    <v>125.14</v>
    <v>73.31</v>
    <v>0.30869999999999997</v>
    <v>-0.02</v>
    <v>-1.751E-4</v>
    <v>-0.28000000000000003</v>
    <v>-2.4520000000000002E-3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115.18</v>
    <v>Pharmaceuticals</v>
    <v>Stock</v>
    <v>46101.990689918748</v>
    <v>263</v>
    <v>112.72</v>
    <v>282297718560</v>
    <v>MERCK &amp; CO., INC.</v>
    <v>MERCK &amp; CO., INC.</v>
    <v>114.245</v>
    <v>15.6953</v>
    <v>114.2</v>
    <v>114.18</v>
    <v>113.9</v>
    <v>2472392000</v>
    <v>MRK</v>
    <v>MERCK &amp; CO., INC. (XNYS:MRK)</v>
    <v>36355421</v>
    <v>9755387</v>
    <v>1970</v>
  </rv>
  <rv s="2">
    <v>264</v>
  </rv>
  <rv s="0">
    <v>https://www.bing.com/financeapi/forcetrigger?t=a1yngh&amp;q=XNYS%3aNOC&amp;form=skydnc</v>
    <v>Learn more on Bing</v>
  </rv>
  <rv s="1">
    <v>0</v>
    <v>NORTHROP GRUMMAN CORPORATION (XNYS:NOC)</v>
    <v>2</v>
    <v>3</v>
    <v>Finance</v>
    <v>4</v>
    <v>en-US</v>
    <v>a1yngh</v>
    <v>268435456</v>
    <v>1</v>
    <v>Powered by Refinitiv</v>
    <v>774</v>
    <v>450.13</v>
    <v>2.9399999999999999E-2</v>
    <v>-7.2</v>
    <v>-1.0082000000000001E-2</v>
    <v>0.16</v>
    <v>2.263E-4</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717.34</v>
    <v>Aerospace &amp; Defense</v>
    <v>Stock</v>
    <v>46101.999925775002</v>
    <v>266</v>
    <v>701</v>
    <v>100331475120</v>
    <v>NORTHROP GRUMMAN CORPORATION</v>
    <v>NORTHROP GRUMMAN CORPORATION</v>
    <v>714.72</v>
    <v>24.5564</v>
    <v>714.15</v>
    <v>706.95</v>
    <v>707.11</v>
    <v>141921600</v>
    <v>NOC</v>
    <v>NORTHROP GRUMMAN CORPORATION (XNYS:NOC)</v>
    <v>1718224</v>
    <v>855981</v>
    <v>2010</v>
  </rv>
  <rv s="2">
    <v>267</v>
  </rv>
  <rv s="0">
    <v>https://www.bing.com/financeapi/forcetrigger?t=a2qdbh&amp;q=OTCM%3aNSRGY&amp;form=skydnc</v>
    <v>Learn more on Bing</v>
  </rv>
  <rv s="1">
    <v>0</v>
    <v>Nestle Ltd. (OTCM:NSRGY)</v>
    <v>2</v>
    <v>17</v>
    <v>Finance</v>
    <v>18</v>
    <v>en-US</v>
    <v>a2qdbh</v>
    <v>268435456</v>
    <v>1</v>
    <v>Powered by Refinitiv</v>
    <v>109.59</v>
    <v>86.98</v>
    <v>0.94630000000000003</v>
    <v>-1.31</v>
    <v>-1.3517999999999999E-2</v>
    <v>-7.4999999999999997E-2</v>
    <v>-7.8450000000000004E-4</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271000</v>
    <v>OTC Markets</v>
    <v>OTCM</v>
    <v>OTCM</v>
    <v>Ave Nesele 55, Ch-1800, VEVEY, VAUD, 1800 CH</v>
    <v>97.35</v>
    <v>Food &amp; Tobacco</v>
    <v>Stock</v>
    <v>46101.834545126563</v>
    <v>269</v>
    <v>95.05</v>
    <v>264273656399</v>
    <v>Nestle Ltd.</v>
    <v>Nestle Ltd.</v>
    <v>97.26</v>
    <v>21.870899999999999</v>
    <v>96.91</v>
    <v>95.6</v>
    <v>95.525000000000006</v>
    <v>2576520000</v>
    <v>NSRGY</v>
    <v>Nestle Ltd. (OTCM:NSRGY)</v>
    <v>518632</v>
    <v>3387990</v>
    <v>1905</v>
  </rv>
  <rv s="2">
    <v>270</v>
  </rv>
  <rv s="0">
    <v>https://www.bing.com/financeapi/forcetrigger?t=a1zqnm&amp;q=XNYS%3aPFE&amp;form=skydnc</v>
    <v>Learn more on Bing</v>
  </rv>
  <rv s="1">
    <v>0</v>
    <v>PFIZER INC. (XNYS:PFE)</v>
    <v>2</v>
    <v>3</v>
    <v>Finance</v>
    <v>4</v>
    <v>en-US</v>
    <v>a1zqnm</v>
    <v>268435456</v>
    <v>1</v>
    <v>Powered by Refinitiv</v>
    <v>27.94</v>
    <v>20.914999999999999</v>
    <v>0.40899999999999997</v>
    <v>-0.44</v>
    <v>-1.6052999999999998E-2</v>
    <v>0.06</v>
    <v>2.225E-3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27.55</v>
    <v>Pharmaceuticals</v>
    <v>Stock</v>
    <v>46101.999769363283</v>
    <v>272</v>
    <v>26.8</v>
    <v>153414961320</v>
    <v>PFIZER INC.</v>
    <v>PFIZER INC.</v>
    <v>27.41</v>
    <v>20.216000000000001</v>
    <v>27.41</v>
    <v>26.97</v>
    <v>27.03</v>
    <v>5688356000</v>
    <v>PFE</v>
    <v>PFIZER INC. (XNYS:PFE)</v>
    <v>66805681</v>
    <v>40022082</v>
    <v>1942</v>
  </rv>
  <rv s="2">
    <v>273</v>
  </rv>
  <rv s="0">
    <v>https://www.bing.com/financeapi/forcetrigger?t=a1zzmw&amp;q=XNYS%3aPM&amp;form=skydnc</v>
    <v>Learn more on Bing</v>
  </rv>
  <rv s="1">
    <v>0</v>
    <v>Philip Morris International Inc. (XNYS:PM)</v>
    <v>2</v>
    <v>3</v>
    <v>Finance</v>
    <v>4</v>
    <v>en-US</v>
    <v>a1zzmw</v>
    <v>268435456</v>
    <v>1</v>
    <v>Powered by Refinitiv</v>
    <v>191.3</v>
    <v>142.11000000000001</v>
    <v>0.45939999999999998</v>
    <v>-0.26</v>
    <v>-1.591E-3</v>
    <v>0.39</v>
    <v>2.3909999999999999E-3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164.63</v>
    <v>Food &amp; Tobacco</v>
    <v>Stock</v>
    <v>46101.989112638279</v>
    <v>275</v>
    <v>161.83000000000001</v>
    <v>253910074800</v>
    <v>Philip Morris International Inc.</v>
    <v>Philip Morris International Inc.</v>
    <v>163.53</v>
    <v>22.492999999999999</v>
    <v>163.37</v>
    <v>163.11000000000001</v>
    <v>163.5</v>
    <v>1556680000</v>
    <v>PM</v>
    <v>Philip Morris International Inc. (XNYS:PM)</v>
    <v>9565485</v>
    <v>5030617</v>
    <v>2007</v>
  </rv>
  <rv s="2">
    <v>276</v>
  </rv>
  <rv s="0">
    <v>https://www.bing.com/financeapi/forcetrigger?t=a214h7&amp;q=XNYS%3aPPG&amp;form=skydnc</v>
    <v>Learn more on Bing</v>
  </rv>
  <rv s="1">
    <v>0</v>
    <v>PPG INDUSTRIES, INC. (XNYS:PPG)</v>
    <v>2</v>
    <v>3</v>
    <v>Finance</v>
    <v>4</v>
    <v>en-US</v>
    <v>a214h7</v>
    <v>268435456</v>
    <v>1</v>
    <v>Powered by Refinitiv</v>
    <v>133.43</v>
    <v>90.24</v>
    <v>1.1990000000000001</v>
    <v>-1.1599999999999999</v>
    <v>-1.1791000000000001E-2</v>
    <v>0</v>
    <v>0</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43500</v>
    <v>New York Stock Exchange</v>
    <v>XNYS</v>
    <v>XNYS</v>
    <v>One Ppg Pl 40 East, PITTSBURGH, PA, 15272 US</v>
    <v>99.265000000000001</v>
    <v>Chemicals</v>
    <v>Stock</v>
    <v>46101.958333344533</v>
    <v>278</v>
    <v>96.07</v>
    <v>21757699892</v>
    <v>PPG INDUSTRIES, INC.</v>
    <v>PPG INDUSTRIES, INC.</v>
    <v>98.56</v>
    <v>14.2265</v>
    <v>98.38</v>
    <v>97.22</v>
    <v>97.22</v>
    <v>223798600</v>
    <v>PPG</v>
    <v>PPG INDUSTRIES, INC. (XNYS:PPG)</v>
    <v>3638116</v>
    <v>2217999</v>
    <v>1883</v>
  </rv>
  <rv s="2">
    <v>279</v>
  </rv>
  <rv s="0">
    <v>http://en.wikipedia.org/wiki/Qualcomm</v>
    <v>Wikipedia</v>
  </rv>
  <rv s="3">
    <v>9</v>
    <v>281</v>
  </rv>
  <rv s="4">
    <v>9</v>
    <v>https://www.bing.com/th?id=AMMS_2b1c176dae370ecc0d55a1517537f595&amp;qlt=95</v>
    <v>282</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120.8019</v>
    <v>1.2734000000000001</v>
    <v>-1.38</v>
    <v>-1.0511999999999999E-2</v>
    <v>0.56999999999999995</v>
    <v>4.3880000000000004E-3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132.75</v>
    <v>283</v>
    <v>Semiconductors &amp; Semiconductor Equipment</v>
    <v>Stock</v>
    <v>46101.998972267967</v>
    <v>284</v>
    <v>129.77500000000001</v>
    <v>138603300000</v>
    <v>QUALCOMM INCORPORATED</v>
    <v>QUALCOMM INCORPORATED</v>
    <v>131.31</v>
    <v>26.836600000000001</v>
    <v>131.28</v>
    <v>129.9</v>
    <v>130.47</v>
    <v>1067000000</v>
    <v>QCOM</v>
    <v>QUALCOMM INCORPORATED (XNAS:QCOM)</v>
    <v>78568037</v>
    <v>9888825</v>
    <v>1991</v>
  </rv>
  <rv s="2">
    <v>285</v>
  </rv>
  <rv s="0">
    <v>https://www.bing.com/financeapi/forcetrigger?t=a22k9c&amp;q=XNAS%3aSBUX&amp;form=skydnc</v>
    <v>Learn more on Bing</v>
  </rv>
  <rv s="1">
    <v>0</v>
    <v>STARBUCKS CORPORATION (XNAS:SBUX)</v>
    <v>2</v>
    <v>3</v>
    <v>Finance</v>
    <v>4</v>
    <v>en-US</v>
    <v>a22k9c</v>
    <v>268435456</v>
    <v>1</v>
    <v>Powered by Refinitiv</v>
    <v>104.82</v>
    <v>75.5</v>
    <v>0.92700000000000005</v>
    <v>-3.28</v>
    <v>-3.4227E-2</v>
    <v>0.47</v>
    <v>5.078E-3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96.35</v>
    <v>Hotels &amp; Entertainment Services</v>
    <v>Stock</v>
    <v>46101.998097164062</v>
    <v>287</v>
    <v>92.22</v>
    <v>105442215000</v>
    <v>STARBUCKS CORPORATION</v>
    <v>STARBUCKS CORPORATION</v>
    <v>94.97</v>
    <v>79.829700000000003</v>
    <v>95.83</v>
    <v>92.55</v>
    <v>93.02</v>
    <v>1139300000</v>
    <v>SBUX</v>
    <v>STARBUCKS CORPORATION (XNAS:SBUX)</v>
    <v>13961928</v>
    <v>8043594</v>
    <v>1985</v>
  </rv>
  <rv s="2">
    <v>288</v>
  </rv>
  <rv s="0">
    <v>https://www.bing.com/financeapi/forcetrigger?t=a22n4c&amp;q=XNYS%3aSCHW&amp;form=skydnc</v>
    <v>Learn more on Bing</v>
  </rv>
  <rv s="1">
    <v>0</v>
    <v>THE CHARLES SCHWAB CORPORATION (XNYS:SCHW)</v>
    <v>2</v>
    <v>3</v>
    <v>Finance</v>
    <v>4</v>
    <v>en-US</v>
    <v>a22n4c</v>
    <v>268435456</v>
    <v>1</v>
    <v>Powered by Refinitiv</v>
    <v>107.5</v>
    <v>65.88</v>
    <v>0.89529999999999998</v>
    <v>0.67</v>
    <v>7.1279999999999998E-3</v>
    <v>0.61899999999999999</v>
    <v>6.5390000000000005E-3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94.87</v>
    <v>Investment Banking &amp; Investment Services</v>
    <v>Stock</v>
    <v>46101.996109513282</v>
    <v>290</v>
    <v>93.5</v>
    <v>165864198600</v>
    <v>THE CHARLES SCHWAB CORPORATION</v>
    <v>THE CHARLES SCHWAB CORPORATION</v>
    <v>94.11</v>
    <v>20.157499999999999</v>
    <v>93.99</v>
    <v>94.66</v>
    <v>95.278999999999996</v>
    <v>1752210000</v>
    <v>SCHW</v>
    <v>THE CHARLES SCHWAB CORPORATION (XNYS:SCHW)</v>
    <v>13145384</v>
    <v>10664751</v>
    <v>1986</v>
  </rv>
  <rv s="2">
    <v>291</v>
  </rv>
  <rv s="0">
    <v>https://www.bing.com/financeapi/forcetrigger?t=a22xk2&amp;q=XNYS%3aSHW&amp;form=skydnc</v>
    <v>Learn more on Bing</v>
  </rv>
  <rv s="1">
    <v>0</v>
    <v>THE SHERWIN-WILLIAMS COMPANY (XNYS:SHW)</v>
    <v>2</v>
    <v>3</v>
    <v>Finance</v>
    <v>4</v>
    <v>en-US</v>
    <v>a22xk2</v>
    <v>268435456</v>
    <v>1</v>
    <v>Powered by Refinitiv</v>
    <v>379.65</v>
    <v>301.58</v>
    <v>1.2948</v>
    <v>-6.85</v>
    <v>-2.2069999999999999E-2</v>
    <v>2.25</v>
    <v>7.4129999999999995E-3</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64249</v>
    <v>New York Stock Exchange</v>
    <v>XNYS</v>
    <v>XNYS</v>
    <v>101 Prospect Ave Nw, CLEVELAND, OH, 44115 US</v>
    <v>312.04000000000002</v>
    <v>Chemicals</v>
    <v>Stock</v>
    <v>46101.960099062497</v>
    <v>293</v>
    <v>301.58</v>
    <v>75081909272</v>
    <v>THE SHERWIN-WILLIAMS COMPANY</v>
    <v>THE SHERWIN-WILLIAMS COMPANY</v>
    <v>308.79000000000002</v>
    <v>30.258600000000001</v>
    <v>310.38</v>
    <v>303.52999999999997</v>
    <v>305.77999999999997</v>
    <v>247362400</v>
    <v>SHW</v>
    <v>THE SHERWIN-WILLIAMS COMPANY (XNYS:SHW)</v>
    <v>2708641</v>
    <v>1680551</v>
    <v>1884</v>
  </rv>
  <rv s="2">
    <v>294</v>
  </rv>
  <rv s="0">
    <v>https://www.bing.com/financeapi/forcetrigger?t=a237gh&amp;q=XNYS%3aSNA&amp;form=skydnc</v>
    <v>Learn more on Bing</v>
  </rv>
  <rv s="1">
    <v>0</v>
    <v>SNAP-ON INCORPORATED (XNYS:SNA)</v>
    <v>2</v>
    <v>3</v>
    <v>Finance</v>
    <v>4</v>
    <v>en-US</v>
    <v>a237gh</v>
    <v>268435456</v>
    <v>1</v>
    <v>Powered by Refinitiv</v>
    <v>390.13</v>
    <v>289.81</v>
    <v>0.76859999999999995</v>
    <v>-3.87</v>
    <v>-1.0727E-2</v>
    <v>0</v>
    <v>0</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361.69</v>
    <v>Machinery, Equipment &amp; Components</v>
    <v>Stock</v>
    <v>46101.98715930547</v>
    <v>296</v>
    <v>354.97</v>
    <v>18579264646</v>
    <v>SNAP-ON INCORPORATED</v>
    <v>SNAP-ON INCORPORATED</v>
    <v>359.9</v>
    <v>18.803000000000001</v>
    <v>360.77</v>
    <v>356.9</v>
    <v>356.9</v>
    <v>52057340</v>
    <v>SNA</v>
    <v>SNAP-ON INCORPORATED (XNYS:SNA)</v>
    <v>1629850</v>
    <v>358241</v>
    <v>1930</v>
  </rv>
  <rv s="2">
    <v>297</v>
  </rv>
  <rv s="0">
    <v>https://www.bing.com/financeapi/forcetrigger?t=a23a5r&amp;q=XNYS%3aSO&amp;form=skydnc</v>
    <v>Learn more on Bing</v>
  </rv>
  <rv s="1">
    <v>0</v>
    <v>THE SOUTHERN COMPANY (XNYS:SO)</v>
    <v>2</v>
    <v>3</v>
    <v>Finance</v>
    <v>4</v>
    <v>en-US</v>
    <v>a23a5r</v>
    <v>268435456</v>
    <v>1</v>
    <v>Powered by Refinitiv</v>
    <v>100.83499999999999</v>
    <v>83.09</v>
    <v>0.42299999999999999</v>
    <v>-2.84</v>
    <v>-2.9512999999999998E-2</v>
    <v>0.21</v>
    <v>2.2489999999999997E-3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96.45</v>
    <v>Electrical Utilities &amp; IPPs</v>
    <v>Stock</v>
    <v>46101.992463390627</v>
    <v>299</v>
    <v>93.155000000000001</v>
    <v>104539925490</v>
    <v>THE SOUTHERN COMPANY</v>
    <v>THE SOUTHERN COMPANY</v>
    <v>96.16</v>
    <v>24.567299999999999</v>
    <v>96.23</v>
    <v>93.39</v>
    <v>93.6</v>
    <v>1119391000</v>
    <v>SO</v>
    <v>THE SOUTHERN COMPANY (XNYS:SO)</v>
    <v>9915397</v>
    <v>7007777</v>
    <v>1945</v>
  </rv>
  <rv s="2">
    <v>300</v>
  </rv>
  <rv s="0">
    <v>https://www.bing.com/financeapi/forcetrigger?t=a23d9c&amp;q=XNYS%3aSPGI&amp;form=skydnc</v>
    <v>Learn more on Bing</v>
  </rv>
  <rv s="1">
    <v>0</v>
    <v>S&amp;P GLOBAL INC. (XNYS:SPGI)</v>
    <v>2</v>
    <v>3</v>
    <v>Finance</v>
    <v>4</v>
    <v>en-US</v>
    <v>a23d9c</v>
    <v>268435456</v>
    <v>1</v>
    <v>Powered by Refinitiv</v>
    <v>579.04999999999995</v>
    <v>381.60500000000002</v>
    <v>1.2021999999999999</v>
    <v>-1.71</v>
    <v>-4.0130000000000001E-3</v>
    <v>1.58</v>
    <v>3.7230000000000002E-3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428.26990000000001</v>
    <v>Professional &amp; Commercial Services</v>
    <v>Stock</v>
    <v>46101.983379096877</v>
    <v>302</v>
    <v>421.34</v>
    <v>126819684000</v>
    <v>S&amp;P GLOBAL INC.</v>
    <v>S&amp;P GLOBAL INC.</v>
    <v>426.36</v>
    <v>28.951000000000001</v>
    <v>426.14</v>
    <v>424.43</v>
    <v>426.01</v>
    <v>298800000</v>
    <v>SPGI</v>
    <v>S&amp;P GLOBAL INC. (XNYS:SPGI)</v>
    <v>3444730</v>
    <v>2725933</v>
    <v>1925</v>
  </rv>
  <rv s="2">
    <v>303</v>
  </rv>
  <rv s="0">
    <v>https://www.bing.com/financeapi/forcetrigger?t=a24jvh&amp;q=XNAS%3aTSCO&amp;form=skydnc</v>
    <v>Learn more on Bing</v>
  </rv>
  <rv s="1">
    <v>0</v>
    <v>TRACTOR SUPPLY COMPANY (XNAS:TSCO)</v>
    <v>2</v>
    <v>3</v>
    <v>Finance</v>
    <v>4</v>
    <v>en-US</v>
    <v>a24jvh</v>
    <v>268435456</v>
    <v>1</v>
    <v>Powered by Refinitiv</v>
    <v>63.989899999999999</v>
    <v>45.45</v>
    <v>0.74270000000000003</v>
    <v>-0.41</v>
    <v>-8.8780000000000005E-3</v>
    <v>0.63</v>
    <v>1.3764E-2</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46.37</v>
    <v>Specialty Retailers</v>
    <v>Stock</v>
    <v>46101.999792175782</v>
    <v>305</v>
    <v>45.45</v>
    <v>24091099001</v>
    <v>TRACTOR SUPPLY COMPANY</v>
    <v>TRACTOR SUPPLY COMPANY</v>
    <v>46.1</v>
    <v>22.2195</v>
    <v>46.18</v>
    <v>45.77</v>
    <v>46.4</v>
    <v>526351300</v>
    <v>TSCO</v>
    <v>TRACTOR SUPPLY COMPANY (XNAS:TSCO)</v>
    <v>5886314</v>
    <v>5804614</v>
    <v>1982</v>
  </rv>
  <rv s="2">
    <v>306</v>
  </rv>
  <rv s="0">
    <v>https://www.bing.com/financeapi/forcetrigger?t=a24kjc&amp;q=XNYS%3aTSM&amp;form=skydnc</v>
    <v>Learn more on Bing</v>
  </rv>
  <rv s="1">
    <v>0</v>
    <v>Taiwan Semiconductor Manufacturing Co., Ltd. (XNYS:TSM)</v>
    <v>2</v>
    <v>19</v>
    <v>Finance</v>
    <v>4</v>
    <v>en-US</v>
    <v>a24kjc</v>
    <v>268435456</v>
    <v>1</v>
    <v>Powered by Refinitiv</v>
    <v>390.20499999999998</v>
    <v>134.25</v>
    <v>1.4314</v>
    <v>-9.5500000000000007</v>
    <v>-2.8189000000000002E-2</v>
    <v>1.66</v>
    <v>5.0419999999999996E-3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337.6</v>
    <v>Semiconductors &amp; Semiconductor Equipment</v>
    <v>Stock</v>
    <v>46101.999945149997</v>
    <v>308</v>
    <v>325.89999999999998</v>
    <v>1764604596150</v>
    <v>Taiwan Semiconductor Manufacturing Co., Ltd.</v>
    <v>Taiwan Semiconductor Manufacturing Co., Ltd.</v>
    <v>336.68</v>
    <v>32.046199999999999</v>
    <v>338.79</v>
    <v>329.24</v>
    <v>330.9</v>
    <v>25932530000</v>
    <v>TSM</v>
    <v>Taiwan Semiconductor Manufacturing Co., Ltd. (XNYS:TSM)</v>
    <v>17424155</v>
    <v>12766519</v>
    <v>1987</v>
  </rv>
  <rv s="2">
    <v>309</v>
  </rv>
  <rv s="0">
    <v>https://www.bing.com/financeapi/forcetrigger?t=a24xww&amp;q=XNYS%3aUNP&amp;form=skydnc</v>
    <v>Learn more on Bing</v>
  </rv>
  <rv s="1">
    <v>0</v>
    <v>UNION PACIFIC CORPORATION (XNYS:UNP)</v>
    <v>2</v>
    <v>3</v>
    <v>Finance</v>
    <v>4</v>
    <v>en-US</v>
    <v>a24xww</v>
    <v>268435456</v>
    <v>1</v>
    <v>Powered by Refinitiv</v>
    <v>268.14</v>
    <v>204.66</v>
    <v>0.9839</v>
    <v>0.74</v>
    <v>3.16E-3</v>
    <v>2.0299999999999998</v>
    <v>8.6409999999999994E-3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236.125</v>
    <v>Freight &amp; Logistics Services</v>
    <v>Stock</v>
    <v>46101.987336573438</v>
    <v>311</v>
    <v>233.04</v>
    <v>139399531180</v>
    <v>UNION PACIFIC CORPORATION</v>
    <v>UNION PACIFIC CORPORATION</v>
    <v>234.4</v>
    <v>19.542100000000001</v>
    <v>234.18</v>
    <v>234.92</v>
    <v>236.95</v>
    <v>593391500</v>
    <v>UNP</v>
    <v>UNION PACIFIC CORPORATION (XNYS:UNP)</v>
    <v>5047932</v>
    <v>3168411</v>
    <v>1969</v>
  </rv>
  <rv s="2">
    <v>312</v>
  </rv>
  <rv s="0">
    <v>https://www.bing.com/financeapi/forcetrigger?t=aythxm&amp;q=XNYS%3aVICI&amp;form=skydnc</v>
    <v>Learn more on Bing</v>
  </rv>
  <rv s="1">
    <v>0</v>
    <v>VICI PROPERTIES INC. (XNYS:VICI)</v>
    <v>2</v>
    <v>3</v>
    <v>Finance</v>
    <v>4</v>
    <v>en-US</v>
    <v>aythxm</v>
    <v>268435456</v>
    <v>1</v>
    <v>Powered by Refinitiv</v>
    <v>34.01</v>
    <v>26.754999999999999</v>
    <v>0.73760000000000003</v>
    <v>-1.1499999999999999</v>
    <v>-4.1100999999999999E-2</v>
    <v>0.31</v>
    <v>1.1554E-2</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28</v>
    <v>New York Stock Exchange</v>
    <v>XNYS</v>
    <v>XNYS</v>
    <v>535 Madison Avenue, 28Th Floor, NEW YORK, NY, 10022 US</v>
    <v>27.98</v>
    <v>Residential &amp; Commercial REIT</v>
    <v>Stock</v>
    <v>46101.998182140625</v>
    <v>314</v>
    <v>26.754999999999999</v>
    <v>28680974870</v>
    <v>VICI PROPERTIES INC.</v>
    <v>VICI PROPERTIES INC.</v>
    <v>27.96</v>
    <v>10.712</v>
    <v>27.98</v>
    <v>26.83</v>
    <v>27.14</v>
    <v>1068989000</v>
    <v>VICI</v>
    <v>VICI PROPERTIES INC. (XNYS:VICI)</v>
    <v>15368073</v>
    <v>9800988</v>
    <v>2017</v>
  </rv>
  <rv s="2">
    <v>315</v>
  </rv>
  <rv s="0">
    <v>https://www.bing.com/financeapi/forcetrigger?t=a26hyc&amp;q=XNYS%3aZTS&amp;form=skydnc</v>
    <v>Learn more on Bing</v>
  </rv>
  <rv s="1">
    <v>0</v>
    <v>ZOETIS INC. (XNYS:ZTS)</v>
    <v>2</v>
    <v>3</v>
    <v>Finance</v>
    <v>4</v>
    <v>en-US</v>
    <v>a26hyc</v>
    <v>268435456</v>
    <v>1</v>
    <v>Powered by Refinitiv</v>
    <v>172.23</v>
    <v>114.36</v>
    <v>0.98419999999999996</v>
    <v>-0.32</v>
    <v>-2.7589999999999997E-3</v>
    <v>1.54</v>
    <v>1.3313999999999999E-2</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117.19</v>
    <v>Pharmaceuticals</v>
    <v>Stock</v>
    <v>46101.98856356406</v>
    <v>317</v>
    <v>114.36</v>
    <v>48827511059</v>
    <v>ZOETIS INC.</v>
    <v>ZOETIS INC.</v>
    <v>115.95</v>
    <v>19.207899999999999</v>
    <v>115.99</v>
    <v>115.67</v>
    <v>117.21</v>
    <v>422127700</v>
    <v>ZTS</v>
    <v>ZOETIS INC. (XNYS:ZTS)</v>
    <v>11424914</v>
    <v>4385631</v>
    <v>2012</v>
  </rv>
  <rv s="2">
    <v>318</v>
  </rv>
</rvData>
</file>

<file path=xl/richData/rdrichvaluestructure.xml><?xml version="1.0" encoding="utf-8"?>
<rvStructures xmlns="http://schemas.microsoft.com/office/spreadsheetml/2017/richdata" count="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spbArrays>
  <spbData count="20">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0">
      <v>2</v>
      <v>Name</v>
      <v>LearnMoreOnLink</v>
    </spb>
    <spb s="9">
      <v>1</v>
      <v>2</v>
      <v>1</v>
      <v>3</v>
      <v>1</v>
      <v>10</v>
      <v>1</v>
      <v>1</v>
      <v>4</v>
      <v>4</v>
      <v>5</v>
      <v>6</v>
      <v>1</v>
      <v>1</v>
      <v>1</v>
      <v>4</v>
      <v>7</v>
      <v>8</v>
      <v>9</v>
      <v>4</v>
      <v>1</v>
      <v>1</v>
      <v>5</v>
    </spb>
    <spb s="0">
      <v>3</v>
      <v>Name</v>
      <v>LearnMoreOnLink</v>
    </spb>
    <spb s="10">
      <v>1</v>
      <v>2</v>
      <v>1</v>
      <v>3</v>
      <v>1</v>
      <v>1</v>
      <v>1</v>
      <v>4</v>
      <v>4</v>
      <v>5</v>
      <v>6</v>
      <v>1</v>
      <v>1</v>
      <v>1</v>
      <v>4</v>
      <v>7</v>
      <v>8</v>
      <v>9</v>
      <v>4</v>
      <v>1</v>
      <v>1</v>
      <v>5</v>
    </spb>
    <spb s="3">
      <v>1</v>
      <v>2</v>
      <v>2</v>
      <v>1</v>
      <v>3</v>
      <v>1</v>
      <v>1</v>
      <v>1</v>
      <v>4</v>
      <v>4</v>
      <v>5</v>
      <v>11</v>
      <v>1</v>
      <v>1</v>
      <v>1</v>
      <v>4</v>
      <v>7</v>
      <v>8</v>
      <v>9</v>
      <v>4</v>
      <v>1</v>
      <v>1</v>
      <v>5</v>
    </spb>
    <spb s="3">
      <v>1</v>
      <v>2</v>
      <v>2</v>
      <v>1</v>
      <v>3</v>
      <v>1</v>
      <v>1</v>
      <v>1</v>
      <v>4</v>
      <v>4</v>
      <v>5</v>
      <v>12</v>
      <v>1</v>
      <v>1</v>
      <v>1</v>
      <v>4</v>
      <v>7</v>
      <v>8</v>
      <v>9</v>
      <v>4</v>
      <v>1</v>
      <v>1</v>
      <v>5</v>
    </spb>
    <spb s="3">
      <v>1</v>
      <v>2</v>
      <v>2</v>
      <v>1</v>
      <v>3</v>
      <v>1</v>
      <v>1</v>
      <v>1</v>
      <v>4</v>
      <v>4</v>
      <v>5</v>
      <v>13</v>
      <v>1</v>
      <v>1</v>
      <v>1</v>
      <v>4</v>
      <v>7</v>
      <v>8</v>
      <v>9</v>
      <v>4</v>
      <v>1</v>
      <v>1</v>
      <v>5</v>
    </spb>
    <spb s="3">
      <v>1</v>
      <v>2</v>
      <v>2</v>
      <v>1</v>
      <v>3</v>
      <v>1</v>
      <v>1</v>
      <v>1</v>
      <v>4</v>
      <v>4</v>
      <v>5</v>
      <v>14</v>
      <v>1</v>
      <v>1</v>
      <v>1</v>
      <v>4</v>
      <v>7</v>
      <v>8</v>
      <v>9</v>
      <v>4</v>
      <v>1</v>
      <v>1</v>
      <v>5</v>
    </spb>
    <spb s="11">
      <v>at close</v>
      <v>from previous close</v>
      <v>from previous close</v>
      <v>GMT</v>
      <v>Delayed 15 minutes</v>
      <v>from close</v>
      <v>from close</v>
    </spb>
    <spb s="3">
      <v>1</v>
      <v>2</v>
      <v>2</v>
      <v>1</v>
      <v>3</v>
      <v>1</v>
      <v>1</v>
      <v>1</v>
      <v>4</v>
      <v>4</v>
      <v>5</v>
      <v>15</v>
      <v>1</v>
      <v>1</v>
      <v>1</v>
      <v>4</v>
      <v>7</v>
      <v>8</v>
      <v>9</v>
      <v>4</v>
      <v>1</v>
      <v>1</v>
      <v>5</v>
    </spb>
  </spbData>
</supportingPropertyBags>
</file>

<file path=xl/richData/rdsupportingpropertybagstructure.xml><?xml version="1.0" encoding="utf-8"?>
<spbStructures xmlns="http://schemas.microsoft.com/office/spreadsheetml/2017/richdata2" count="1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_([$€-x-euro2] * #,##0_);_([$€-x-euro2] * (#,##0);_([$€-x-euro2] * "-"_);_(@_)</rpv>
    </rSty>
    <rSty dxfid="1">
      <rpv i="0">_([$$-en-CA]* #,##0_);_([$$-en-CA]* (#,##0);_([$$-en-CA]* "-"_);_(@_)</rpv>
    </rSty>
    <rSty dxfid="1">
      <rpv i="0">_([$£-en-GB]* #,##0_);_([$£-en-GB]* (#,##0);_([$£-en-GB]* "-"_);_(@_)</rpv>
    </rSty>
    <rSty dxfid="1">
      <rpv i="0" xml:space="preserve">_ [$CHF-fr-CH] * #,##0_ ;_ [$CHF-fr-CH] * -#,##0_ ;_ [$CHF-fr-CH] * "-"_ ;_ @_ </rpv>
    </rSty>
    <rSty dxfid="1">
      <rpv i="0">_([$$-zh-TW]* #,##0_);_([$$-zh-TW]* (#,##0);_([$$-zh-TW]*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102" totalsRowShown="0" headerRowDxfId="9">
  <autoFilter ref="A1:L102" xr:uid="{E0CA35FE-2F53-A347-8AD6-B5C0C701EF5E}"/>
  <sortState xmlns:xlrd2="http://schemas.microsoft.com/office/spreadsheetml/2017/richdata2" ref="A2:L102">
    <sortCondition ref="C1:C102"/>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102"/>
  <sheetViews>
    <sheetView tabSelected="1" workbookViewId="0">
      <pane ySplit="1" topLeftCell="A2" activePane="bottomLeft" state="frozen"/>
      <selection pane="bottomLeft" activeCell="E16" sqref="E16"/>
    </sheetView>
  </sheetViews>
  <sheetFormatPr baseColWidth="10" defaultRowHeight="16" x14ac:dyDescent="0.2"/>
  <cols>
    <col min="1" max="1" width="51.832031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AAPL</v>
      </c>
      <c r="C2">
        <v>0</v>
      </c>
      <c r="D2">
        <v>500</v>
      </c>
      <c r="E2">
        <v>1</v>
      </c>
      <c r="F2" s="2" cm="1">
        <f t="array" aca="1" ref="F2" ca="1">_FV(table1[[#This Row],[DataField]],"Price")</f>
        <v>247.99</v>
      </c>
      <c r="G2" s="2" cm="1">
        <f t="array" aca="1" ref="G2" ca="1">_FV(table1[[#This Row],[DataField]],"52 week low",TRUE)</f>
        <v>169.21010000000001</v>
      </c>
      <c r="H2" s="2" cm="1">
        <f t="array" aca="1" ref="H2" ca="1">_FV(table1[[#This Row],[DataField]],"52 week high",TRUE)</f>
        <v>288.62</v>
      </c>
      <c r="I2" s="4" cm="1">
        <f t="array" aca="1" ref="I2" ca="1">_FV(table1[[#This Row],[DataField]],"P/E",TRUE)</f>
        <v>31.506399999999999</v>
      </c>
      <c r="J2" s="2" t="str">
        <f ca="1">IF(table1[[#This Row],[Price]] &lt; (table1[[#This Row],[52Low]] * 0.25) + table1[[#This Row],[52Low]],  "TRUE", "FALSE")</f>
        <v>FALSE</v>
      </c>
      <c r="K2" s="2" t="str">
        <f ca="1">IF(table1[[#This Row],[Price]] &lt; (table1[[#This Row],[52Low]] * 0.1) + table1[[#This Row],[52Low]],  "TRUE", "FALSE")</f>
        <v>FALSE</v>
      </c>
      <c r="L2" s="6" cm="1">
        <f t="array" aca="1" ref="L2" ca="1">_FV(table1[[#This Row],[DataField]],"Market cap",TRUE)</f>
        <v>3646122573000</v>
      </c>
    </row>
    <row r="3" spans="1:12" x14ac:dyDescent="0.2">
      <c r="A3" t="e" vm="2">
        <v>#VALUE!</v>
      </c>
      <c r="B3" t="str" cm="1">
        <f t="array" aca="1" ref="B3" ca="1">_FV(table1[[#This Row],[DataField]],"Ticker symbol",TRUE)</f>
        <v>AMZN</v>
      </c>
      <c r="C3">
        <v>0</v>
      </c>
      <c r="D3">
        <v>500</v>
      </c>
      <c r="E3">
        <v>1</v>
      </c>
      <c r="F3" s="2" cm="1">
        <f t="array" aca="1" ref="F3" ca="1">_FV(table1[[#This Row],[DataField]],"Price")</f>
        <v>205.37</v>
      </c>
      <c r="G3" s="2" cm="1">
        <f t="array" aca="1" ref="G3" ca="1">_FV(table1[[#This Row],[DataField]],"52 week low",TRUE)</f>
        <v>161.38</v>
      </c>
      <c r="H3" s="2" cm="1">
        <f t="array" aca="1" ref="H3" ca="1">_FV(table1[[#This Row],[DataField]],"52 week high",TRUE)</f>
        <v>258.60000000000002</v>
      </c>
      <c r="I3" s="4" cm="1">
        <f t="array" aca="1" ref="I3" ca="1">_FV(table1[[#This Row],[DataField]],"P/E",TRUE)</f>
        <v>29.1067</v>
      </c>
      <c r="J3" s="2" t="str">
        <f ca="1">IF(table1[[#This Row],[Price]] &lt; (table1[[#This Row],[52Low]] * 0.25) + table1[[#This Row],[52Low]],  "TRUE", "FALSE")</f>
        <v>FALSE</v>
      </c>
      <c r="K3" s="2" t="str">
        <f ca="1">IF(table1[[#This Row],[Price]] &lt; (table1[[#This Row],[52Low]] * 0.1) + table1[[#This Row],[52Low]],  "TRUE", "FALSE")</f>
        <v>FALSE</v>
      </c>
      <c r="L3" s="6" cm="1">
        <f t="array" aca="1" ref="L3" ca="1">_FV(table1[[#This Row],[DataField]],"Market cap",TRUE)</f>
        <v>2204630520400</v>
      </c>
    </row>
    <row r="4" spans="1:12" x14ac:dyDescent="0.2">
      <c r="A4" t="e" vm="3">
        <v>#VALUE!</v>
      </c>
      <c r="B4" t="str" cm="1">
        <f t="array" aca="1" ref="B4" ca="1">_FV(table1[[#This Row],[DataField]],"Ticker symbol",TRUE)</f>
        <v>GOOGL</v>
      </c>
      <c r="C4">
        <v>0</v>
      </c>
      <c r="D4">
        <v>500</v>
      </c>
      <c r="E4">
        <v>1</v>
      </c>
      <c r="F4" s="2" cm="1">
        <f t="array" aca="1" ref="F4" ca="1">_FV(table1[[#This Row],[DataField]],"Price")</f>
        <v>301</v>
      </c>
      <c r="G4" s="2" cm="1">
        <f t="array" aca="1" ref="G4" ca="1">_FV(table1[[#This Row],[DataField]],"52 week low",TRUE)</f>
        <v>140.53</v>
      </c>
      <c r="H4" s="2" cm="1">
        <f t="array" aca="1" ref="H4" ca="1">_FV(table1[[#This Row],[DataField]],"52 week high",TRUE)</f>
        <v>349</v>
      </c>
      <c r="I4" s="4" cm="1">
        <f t="array" aca="1" ref="I4" ca="1">_FV(table1[[#This Row],[DataField]],"P/E",TRUE)</f>
        <v>27.8446</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3641197000000</v>
      </c>
    </row>
    <row r="5" spans="1:12" x14ac:dyDescent="0.2">
      <c r="A5" t="e" vm="4">
        <v>#VALUE!</v>
      </c>
      <c r="B5" t="str" cm="1">
        <f t="array" aca="1" ref="B5" ca="1">_FV(table1[[#This Row],[DataField]],"Ticker symbol",TRUE)</f>
        <v>MSFT</v>
      </c>
      <c r="C5">
        <v>0</v>
      </c>
      <c r="D5">
        <v>500</v>
      </c>
      <c r="E5">
        <v>1</v>
      </c>
      <c r="F5" s="2" cm="1">
        <f t="array" aca="1" ref="F5" ca="1">_FV(table1[[#This Row],[DataField]],"Price")</f>
        <v>381.87</v>
      </c>
      <c r="G5" s="2" cm="1">
        <f t="array" aca="1" ref="G5" ca="1">_FV(table1[[#This Row],[DataField]],"52 week low",TRUE)</f>
        <v>344.79</v>
      </c>
      <c r="H5" s="2" cm="1">
        <f t="array" aca="1" ref="H5" ca="1">_FV(table1[[#This Row],[DataField]],"52 week high",TRUE)</f>
        <v>555.45000000000005</v>
      </c>
      <c r="I5" s="4" cm="1">
        <f t="array" aca="1" ref="I5" ca="1">_FV(table1[[#This Row],[DataField]],"P/E",TRUE)</f>
        <v>24.340499999999999</v>
      </c>
      <c r="J5" s="2" t="str">
        <f ca="1">IF(table1[[#This Row],[Price]] &lt; (table1[[#This Row],[52Low]] * 0.25) + table1[[#This Row],[52Low]],  "TRUE", "FALSE")</f>
        <v>TRUE</v>
      </c>
      <c r="K5" s="2" t="str">
        <f ca="1">IF(table1[[#This Row],[Price]] &lt; (table1[[#This Row],[52Low]] * 0.1) + table1[[#This Row],[52Low]],  "TRUE", "FALSE")</f>
        <v>FALSE</v>
      </c>
      <c r="L5" s="6" cm="1">
        <f t="array" aca="1" ref="L5" ca="1">_FV(table1[[#This Row],[DataField]],"Market cap",TRUE)</f>
        <v>2835624946230</v>
      </c>
    </row>
    <row r="6" spans="1:12" x14ac:dyDescent="0.2">
      <c r="A6" t="e" vm="5">
        <v>#VALUE!</v>
      </c>
      <c r="B6" t="str" cm="1">
        <f t="array" aca="1" ref="B6" ca="1">_FV(table1[[#This Row],[DataField]],"Ticker symbol",TRUE)</f>
        <v>TXN</v>
      </c>
      <c r="C6">
        <v>0</v>
      </c>
      <c r="D6">
        <v>500</v>
      </c>
      <c r="E6">
        <v>2</v>
      </c>
      <c r="F6" s="2" cm="1">
        <f t="array" aca="1" ref="F6" ca="1">_FV(table1[[#This Row],[DataField]],"Price")</f>
        <v>187.19</v>
      </c>
      <c r="G6" s="2" cm="1">
        <f t="array" aca="1" ref="G6" ca="1">_FV(table1[[#This Row],[DataField]],"52 week low",TRUE)</f>
        <v>139.94999999999999</v>
      </c>
      <c r="H6" s="2" cm="1">
        <f t="array" aca="1" ref="H6" ca="1">_FV(table1[[#This Row],[DataField]],"52 week high",TRUE)</f>
        <v>231.32</v>
      </c>
      <c r="I6" s="4" cm="1">
        <f t="array" aca="1" ref="I6" ca="1">_FV(table1[[#This Row],[DataField]],"P/E",TRUE)</f>
        <v>34.358699999999999</v>
      </c>
      <c r="J6" s="2" t="str">
        <f ca="1">IF(table1[[#This Row],[Price]] &lt; (table1[[#This Row],[52Low]] * 0.25) + table1[[#This Row],[52Low]],  "TRUE", "FALSE")</f>
        <v>FALSE</v>
      </c>
      <c r="K6" s="2" t="str">
        <f ca="1">IF(table1[[#This Row],[Price]] &lt; (table1[[#This Row],[52Low]] * 0.1) + table1[[#This Row],[52Low]],  "TRUE", "FALSE")</f>
        <v>FALSE</v>
      </c>
      <c r="L6" s="6" cm="1">
        <f t="array" aca="1" ref="L6" ca="1">_FV(table1[[#This Row],[DataField]],"Market cap",TRUE)</f>
        <v>170429643846</v>
      </c>
    </row>
    <row r="7" spans="1:12" x14ac:dyDescent="0.2">
      <c r="A7" t="e" vm="6">
        <v>#VALUE!</v>
      </c>
      <c r="B7" t="str" cm="1">
        <f t="array" aca="1" ref="B7" ca="1">_FV(table1[[#This Row],[DataField]],"Ticker symbol",TRUE)</f>
        <v>CMCSA</v>
      </c>
      <c r="C7">
        <v>0</v>
      </c>
      <c r="D7">
        <v>500</v>
      </c>
      <c r="E7">
        <v>3</v>
      </c>
      <c r="F7" s="2" cm="1">
        <f t="array" aca="1" ref="F7" ca="1">_FV(table1[[#This Row],[DataField]],"Price")</f>
        <v>29.02</v>
      </c>
      <c r="G7" s="2" cm="1">
        <f t="array" aca="1" ref="G7" ca="1">_FV(table1[[#This Row],[DataField]],"52 week low",TRUE)</f>
        <v>24.1234</v>
      </c>
      <c r="H7" s="2" cm="1">
        <f t="array" aca="1" ref="H7" ca="1">_FV(table1[[#This Row],[DataField]],"52 week high",TRUE)</f>
        <v>35.337299999999999</v>
      </c>
      <c r="I7" s="4" cm="1">
        <f t="array" aca="1" ref="I7" ca="1">_FV(table1[[#This Row],[DataField]],"P/E",TRUE)</f>
        <v>5.3983999999999996</v>
      </c>
      <c r="J7" s="2" t="str">
        <f ca="1">IF(table1[[#This Row],[Price]] &lt; (table1[[#This Row],[52Low]] * 0.25) + table1[[#This Row],[52Low]],  "TRUE", "FALSE")</f>
        <v>TRUE</v>
      </c>
      <c r="K7" s="2" t="str">
        <f ca="1">IF(table1[[#This Row],[Price]] &lt; (table1[[#This Row],[52Low]] * 0.1) + table1[[#This Row],[52Low]],  "TRUE", "FALSE")</f>
        <v>FALSE</v>
      </c>
      <c r="L7" s="6" cm="1">
        <f t="array" aca="1" ref="L7" ca="1">_FV(table1[[#This Row],[DataField]],"Market cap",TRUE)</f>
        <v>104409490920</v>
      </c>
    </row>
    <row r="8" spans="1:12" x14ac:dyDescent="0.2">
      <c r="A8" t="e" vm="7">
        <v>#VALUE!</v>
      </c>
      <c r="B8" t="str" cm="1">
        <f t="array" aca="1" ref="B8" ca="1">_FV(table1[[#This Row],[DataField]],"Ticker symbol",TRUE)</f>
        <v>T</v>
      </c>
      <c r="C8">
        <v>0</v>
      </c>
      <c r="D8">
        <v>500</v>
      </c>
      <c r="E8">
        <v>3</v>
      </c>
      <c r="F8" s="2" cm="1">
        <f t="array" aca="1" ref="F8" ca="1">_FV(table1[[#This Row],[DataField]],"Price")</f>
        <v>28.31</v>
      </c>
      <c r="G8" s="2" cm="1">
        <f t="array" aca="1" ref="G8" ca="1">_FV(table1[[#This Row],[DataField]],"52 week low",TRUE)</f>
        <v>22.95</v>
      </c>
      <c r="H8" s="2" cm="1">
        <f t="array" aca="1" ref="H8" ca="1">_FV(table1[[#This Row],[DataField]],"52 week high",TRUE)</f>
        <v>29.79</v>
      </c>
      <c r="I8" s="4" cm="1">
        <f t="array" aca="1" ref="I8" ca="1">_FV(table1[[#This Row],[DataField]],"P/E",TRUE)</f>
        <v>9.0902999999999992</v>
      </c>
      <c r="J8" s="2" t="str">
        <f ca="1">IF(table1[[#This Row],[Price]] &lt; (table1[[#This Row],[52Low]] * 0.25) + table1[[#This Row],[52Low]],  "TRUE", "FALSE")</f>
        <v>TRUE</v>
      </c>
      <c r="K8" s="2" t="str">
        <f ca="1">IF(table1[[#This Row],[Price]] &lt; (table1[[#This Row],[52Low]] * 0.1) + table1[[#This Row],[52Low]],  "TRUE", "FALSE")</f>
        <v>FALSE</v>
      </c>
      <c r="L8" s="6" cm="1">
        <f t="array" aca="1" ref="L8" ca="1">_FV(table1[[#This Row],[DataField]],"Market cap",TRUE)</f>
        <v>198186334870</v>
      </c>
    </row>
    <row r="9" spans="1:12" x14ac:dyDescent="0.2">
      <c r="A9" t="e" vm="8">
        <v>#VALUE!</v>
      </c>
      <c r="B9" t="str" cm="1">
        <f t="array" aca="1" ref="B9" ca="1">_FV(table1[[#This Row],[DataField]],"Ticker symbol",TRUE)</f>
        <v>VZ</v>
      </c>
      <c r="C9">
        <v>0</v>
      </c>
      <c r="D9">
        <v>500</v>
      </c>
      <c r="E9">
        <v>3</v>
      </c>
      <c r="F9" s="2" cm="1">
        <f t="array" aca="1" ref="F9" ca="1">_FV(table1[[#This Row],[DataField]],"Price")</f>
        <v>49.98</v>
      </c>
      <c r="G9" s="2" cm="1">
        <f t="array" aca="1" ref="G9" ca="1">_FV(table1[[#This Row],[DataField]],"52 week low",TRUE)</f>
        <v>38.39</v>
      </c>
      <c r="H9" s="2" cm="1">
        <f t="array" aca="1" ref="H9" ca="1">_FV(table1[[#This Row],[DataField]],"52 week high",TRUE)</f>
        <v>51.664999999999999</v>
      </c>
      <c r="I9" s="4" cm="1">
        <f t="array" aca="1" ref="I9" ca="1">_FV(table1[[#This Row],[DataField]],"P/E",TRUE)</f>
        <v>12.1873</v>
      </c>
      <c r="J9" s="2" t="str">
        <f ca="1">IF(table1[[#This Row],[Price]] &lt; (table1[[#This Row],[52Low]] * 0.25) + table1[[#This Row],[52Low]],  "TRUE", "FALSE")</f>
        <v>FALSE</v>
      </c>
      <c r="K9" s="2" t="str">
        <f ca="1">IF(table1[[#This Row],[Price]] &lt; (table1[[#This Row],[52Low]] * 0.1) + table1[[#This Row],[52Low]],  "TRUE", "FALSE")</f>
        <v>FALSE</v>
      </c>
      <c r="L9" s="6" cm="1">
        <f t="array" aca="1" ref="L9" ca="1">_FV(table1[[#This Row],[DataField]],"Market cap",TRUE)</f>
        <v>210799846320</v>
      </c>
    </row>
    <row r="10" spans="1:12" x14ac:dyDescent="0.2">
      <c r="A10" t="e" vm="9">
        <v>#VALUE!</v>
      </c>
      <c r="B10" t="str" cm="1">
        <f t="array" aca="1" ref="B10" ca="1">_FV(table1[[#This Row],[DataField]],"Ticker symbol",TRUE)</f>
        <v>GD</v>
      </c>
      <c r="C10">
        <v>0</v>
      </c>
      <c r="D10">
        <v>500</v>
      </c>
      <c r="E10">
        <v>4</v>
      </c>
      <c r="F10" s="2" cm="1">
        <f t="array" aca="1" ref="F10" ca="1">_FV(table1[[#This Row],[DataField]],"Price")</f>
        <v>345.78</v>
      </c>
      <c r="G10" s="2" cm="1">
        <f t="array" aca="1" ref="G10" ca="1">_FV(table1[[#This Row],[DataField]],"52 week low",TRUE)</f>
        <v>239.2</v>
      </c>
      <c r="H10" s="2" cm="1">
        <f t="array" aca="1" ref="H10" ca="1">_FV(table1[[#This Row],[DataField]],"52 week high",TRUE)</f>
        <v>369.7</v>
      </c>
      <c r="I10" s="4" cm="1">
        <f t="array" aca="1" ref="I10" ca="1">_FV(table1[[#This Row],[DataField]],"P/E",TRUE)</f>
        <v>22.3751</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93495385044</v>
      </c>
    </row>
    <row r="11" spans="1:12" x14ac:dyDescent="0.2">
      <c r="A11" t="e" vm="10">
        <v>#VALUE!</v>
      </c>
      <c r="B11" t="str" cm="1">
        <f t="array" aca="1" ref="B11" ca="1">_FV(table1[[#This Row],[DataField]],"Ticker symbol",TRUE)</f>
        <v>LMT</v>
      </c>
      <c r="C11">
        <v>0</v>
      </c>
      <c r="D11">
        <v>500</v>
      </c>
      <c r="E11">
        <v>4</v>
      </c>
      <c r="F11" s="2" cm="1">
        <f t="array" aca="1" ref="F11" ca="1">_FV(table1[[#This Row],[DataField]],"Price")</f>
        <v>627.42999999999995</v>
      </c>
      <c r="G11" s="2" cm="1">
        <f t="array" aca="1" ref="G11" ca="1">_FV(table1[[#This Row],[DataField]],"52 week low",TRUE)</f>
        <v>410.11</v>
      </c>
      <c r="H11" s="2" cm="1">
        <f t="array" aca="1" ref="H11" ca="1">_FV(table1[[#This Row],[DataField]],"52 week high",TRUE)</f>
        <v>692</v>
      </c>
      <c r="I11" s="4" cm="1">
        <f t="array" aca="1" ref="I11" ca="1">_FV(table1[[#This Row],[DataField]],"P/E",TRUE)</f>
        <v>29.6708</v>
      </c>
      <c r="J11" s="2" t="str">
        <f ca="1">IF(table1[[#This Row],[Price]] &lt; (table1[[#This Row],[52Low]] * 0.25) + table1[[#This Row],[52Low]],  "TRUE", "FALSE")</f>
        <v>FALSE</v>
      </c>
      <c r="K11" s="2" t="str">
        <f ca="1">IF(table1[[#This Row],[Price]] &lt; (table1[[#This Row],[52Low]] * 0.1) + table1[[#This Row],[52Low]],  "TRUE", "FALSE")</f>
        <v>FALSE</v>
      </c>
      <c r="L11" s="6" cm="1">
        <f t="array" aca="1" ref="L11" ca="1">_FV(table1[[#This Row],[DataField]],"Market cap",TRUE)</f>
        <v>144359219886</v>
      </c>
    </row>
    <row r="12" spans="1:12" x14ac:dyDescent="0.2">
      <c r="A12" t="e" vm="11">
        <v>#VALUE!</v>
      </c>
      <c r="B12" t="str" cm="1">
        <f t="array" aca="1" ref="B12" ca="1">_FV(table1[[#This Row],[DataField]],"Ticker symbol",TRUE)</f>
        <v>ADM</v>
      </c>
      <c r="C12">
        <v>0</v>
      </c>
      <c r="D12">
        <v>500</v>
      </c>
      <c r="E12">
        <v>10</v>
      </c>
      <c r="F12" s="2" cm="1">
        <f t="array" aca="1" ref="F12" ca="1">_FV(table1[[#This Row],[DataField]],"Price")</f>
        <v>66.17</v>
      </c>
      <c r="G12" s="2" cm="1">
        <f t="array" aca="1" ref="G12" ca="1">_FV(table1[[#This Row],[DataField]],"52 week low",TRUE)</f>
        <v>40.98</v>
      </c>
      <c r="H12" s="2" cm="1">
        <f t="array" aca="1" ref="H12" ca="1">_FV(table1[[#This Row],[DataField]],"52 week high",TRUE)</f>
        <v>73.72</v>
      </c>
      <c r="I12" s="4" cm="1">
        <f t="array" aca="1" ref="I12" ca="1">_FV(table1[[#This Row],[DataField]],"P/E",TRUE)</f>
        <v>30.8004</v>
      </c>
      <c r="J12" s="2" t="str">
        <f ca="1">IF(table1[[#This Row],[Price]] &lt; (table1[[#This Row],[52Low]] * 0.25) + table1[[#This Row],[52Low]],  "TRUE", "FALSE")</f>
        <v>FALSE</v>
      </c>
      <c r="K12" s="2" t="str">
        <f ca="1">IF(table1[[#This Row],[Price]] &lt; (table1[[#This Row],[52Low]] * 0.1) + table1[[#This Row],[52Low]],  "TRUE", "FALSE")</f>
        <v>FALSE</v>
      </c>
      <c r="L12" s="6" cm="1">
        <f t="array" aca="1" ref="L12" ca="1">_FV(table1[[#This Row],[DataField]],"Market cap",TRUE)</f>
        <v>31841123106</v>
      </c>
    </row>
    <row r="13" spans="1:12" ht="17" customHeight="1" x14ac:dyDescent="0.2">
      <c r="A13" t="e" vm="12">
        <v>#VALUE!</v>
      </c>
      <c r="B13" t="str" cm="1">
        <f t="array" aca="1" ref="B13" ca="1">_FV(table1[[#This Row],[DataField]],"Ticker symbol",TRUE)</f>
        <v>MKC.V</v>
      </c>
      <c r="C13">
        <v>0</v>
      </c>
      <c r="D13">
        <v>500</v>
      </c>
      <c r="E13">
        <v>11</v>
      </c>
      <c r="F13" s="2" cm="1">
        <f t="array" aca="1" ref="F13" ca="1">_FV(table1[[#This Row],[DataField]],"Price")</f>
        <v>53.25</v>
      </c>
      <c r="G13" s="2" cm="1">
        <f t="array" aca="1" ref="G13" ca="1">_FV(table1[[#This Row],[DataField]],"52 week low",TRUE)</f>
        <v>53.25</v>
      </c>
      <c r="H13" s="2" cm="1">
        <f t="array" aca="1" ref="H13" ca="1">_FV(table1[[#This Row],[DataField]],"52 week high",TRUE)</f>
        <v>82.53</v>
      </c>
      <c r="I13" s="4" t="e" cm="1" vm="13">
        <f t="array" ref="I13">_FV(table1[[#This Row],[DataField]],"P/E",TRUE)</f>
        <v>#VALUE!</v>
      </c>
      <c r="J13" s="2" t="str">
        <f ca="1">IF(table1[[#This Row],[Price]] &lt; (table1[[#This Row],[52Low]] * 0.25) + table1[[#This Row],[52Low]],  "TRUE", "FALSE")</f>
        <v>TRUE</v>
      </c>
      <c r="K13" s="2" t="str">
        <f ca="1">IF(table1[[#This Row],[Price]] &lt; (table1[[#This Row],[52Low]] * 0.1) + table1[[#This Row],[52Low]],  "TRUE", "FALSE")</f>
        <v>TRUE</v>
      </c>
      <c r="L13" s="6" cm="1">
        <f t="array" aca="1" ref="L13" ca="1">_FV(table1[[#This Row],[DataField]],"Market cap",TRUE)</f>
        <v>14294334150</v>
      </c>
    </row>
    <row r="14" spans="1:12" x14ac:dyDescent="0.2">
      <c r="A14" t="e" vm="14">
        <v>#VALUE!</v>
      </c>
      <c r="B14" t="str" cm="1">
        <f t="array" aca="1" ref="B14" ca="1">_FV(table1[[#This Row],[DataField]],"Ticker symbol",TRUE)</f>
        <v>PEP</v>
      </c>
      <c r="C14">
        <v>0</v>
      </c>
      <c r="D14">
        <v>500</v>
      </c>
      <c r="E14">
        <v>11</v>
      </c>
      <c r="F14" s="2" cm="1">
        <f t="array" aca="1" ref="F14" ca="1">_FV(table1[[#This Row],[DataField]],"Price")</f>
        <v>150.04</v>
      </c>
      <c r="G14" s="2" cm="1">
        <f t="array" aca="1" ref="G14" ca="1">_FV(table1[[#This Row],[DataField]],"52 week low",TRUE)</f>
        <v>127.6</v>
      </c>
      <c r="H14" s="2" cm="1">
        <f t="array" aca="1" ref="H14" ca="1">_FV(table1[[#This Row],[DataField]],"52 week high",TRUE)</f>
        <v>171.48</v>
      </c>
      <c r="I14" s="4" cm="1">
        <f t="array" aca="1" ref="I14" ca="1">_FV(table1[[#This Row],[DataField]],"P/E",TRUE)</f>
        <v>25.000399999999999</v>
      </c>
      <c r="J14" s="2" t="str">
        <f ca="1">IF(table1[[#This Row],[Price]] &lt; (table1[[#This Row],[52Low]] * 0.25) + table1[[#This Row],[52Low]],  "TRUE", "FALSE")</f>
        <v>TRUE</v>
      </c>
      <c r="K14" s="2" t="str">
        <f ca="1">IF(table1[[#This Row],[Price]] &lt; (table1[[#This Row],[52Low]] * 0.1) + table1[[#This Row],[52Low]],  "TRUE", "FALSE")</f>
        <v>FALSE</v>
      </c>
      <c r="L14" s="6" cm="1">
        <f t="array" aca="1" ref="L14" ca="1">_FV(table1[[#This Row],[DataField]],"Market cap",TRUE)</f>
        <v>205052015960</v>
      </c>
    </row>
    <row r="15" spans="1:12" x14ac:dyDescent="0.2">
      <c r="A15" t="e" vm="15">
        <v>#VALUE!</v>
      </c>
      <c r="B15" t="str" cm="1">
        <f t="array" aca="1" ref="B15" ca="1">_FV(table1[[#This Row],[DataField]],"Ticker symbol",TRUE)</f>
        <v>HSY</v>
      </c>
      <c r="C15">
        <v>0</v>
      </c>
      <c r="D15">
        <v>500</v>
      </c>
      <c r="E15">
        <v>11</v>
      </c>
      <c r="F15" s="2" cm="1">
        <f t="array" aca="1" ref="F15" ca="1">_FV(table1[[#This Row],[DataField]],"Price")</f>
        <v>210.14</v>
      </c>
      <c r="G15" s="2" cm="1">
        <f t="array" aca="1" ref="G15" ca="1">_FV(table1[[#This Row],[DataField]],"52 week low",TRUE)</f>
        <v>150.04</v>
      </c>
      <c r="H15" s="2" cm="1">
        <f t="array" aca="1" ref="H15" ca="1">_FV(table1[[#This Row],[DataField]],"52 week high",TRUE)</f>
        <v>239.48</v>
      </c>
      <c r="I15" s="4" cm="1">
        <f t="array" aca="1" ref="I15" ca="1">_FV(table1[[#This Row],[DataField]],"P/E",TRUE)</f>
        <v>48.400399999999998</v>
      </c>
      <c r="J15" s="2" t="str">
        <f ca="1">IF(table1[[#This Row],[Price]] &lt; (table1[[#This Row],[52Low]] * 0.25) + table1[[#This Row],[52Low]],  "TRUE", "FALSE")</f>
        <v>FALSE</v>
      </c>
      <c r="K15" s="2" t="str">
        <f ca="1">IF(table1[[#This Row],[Price]] &lt; (table1[[#This Row],[52Low]] * 0.1) + table1[[#This Row],[52Low]],  "TRUE", "FALSE")</f>
        <v>FALSE</v>
      </c>
      <c r="L15" s="6" cm="1">
        <f t="array" aca="1" ref="L15" ca="1">_FV(table1[[#This Row],[DataField]],"Market cap",TRUE)</f>
        <v>42593465726</v>
      </c>
    </row>
    <row r="16" spans="1:12" x14ac:dyDescent="0.2">
      <c r="A16" t="e" vm="16">
        <v>#VALUE!</v>
      </c>
      <c r="B16" t="str" cm="1">
        <f t="array" aca="1" ref="B16" ca="1">_FV(table1[[#This Row],[DataField]],"Ticker symbol",TRUE)</f>
        <v>SJM</v>
      </c>
      <c r="C16">
        <v>0</v>
      </c>
      <c r="D16">
        <v>500</v>
      </c>
      <c r="E16">
        <v>11</v>
      </c>
      <c r="F16" s="2" cm="1">
        <f t="array" aca="1" ref="F16" ca="1">_FV(table1[[#This Row],[DataField]],"Price")</f>
        <v>99.37</v>
      </c>
      <c r="G16" s="2" cm="1">
        <f t="array" aca="1" ref="G16" ca="1">_FV(table1[[#This Row],[DataField]],"52 week low",TRUE)</f>
        <v>93.3</v>
      </c>
      <c r="H16" s="2" cm="1">
        <f t="array" aca="1" ref="H16" ca="1">_FV(table1[[#This Row],[DataField]],"52 week high",TRUE)</f>
        <v>120.76</v>
      </c>
      <c r="I16" s="4" t="e" cm="1" vm="13">
        <f t="array" ref="I16">_FV(table1[[#This Row],[DataField]],"P/E",TRUE)</f>
        <v>#VALUE!</v>
      </c>
      <c r="J16" s="2" t="str">
        <f ca="1">IF(table1[[#This Row],[Price]] &lt; (table1[[#This Row],[52Low]] * 0.25) + table1[[#This Row],[52Low]],  "TRUE", "FALSE")</f>
        <v>TRUE</v>
      </c>
      <c r="K16" s="2" t="str">
        <f ca="1">IF(table1[[#This Row],[Price]] &lt; (table1[[#This Row],[52Low]] * 0.1) + table1[[#This Row],[52Low]],  "TRUE", "FALSE")</f>
        <v>TRUE</v>
      </c>
      <c r="L16" s="6" cm="1">
        <f t="array" aca="1" ref="L16" ca="1">_FV(table1[[#This Row],[DataField]],"Market cap",TRUE)</f>
        <v>10597641571</v>
      </c>
    </row>
    <row r="17" spans="1:12" x14ac:dyDescent="0.2">
      <c r="A17" t="e" vm="17">
        <v>#VALUE!</v>
      </c>
      <c r="B17" t="str" cm="1">
        <f t="array" aca="1" ref="B17" ca="1">_FV(table1[[#This Row],[DataField]],"Ticker symbol",TRUE)</f>
        <v>TSN</v>
      </c>
      <c r="C17">
        <v>0</v>
      </c>
      <c r="D17">
        <v>500</v>
      </c>
      <c r="E17">
        <v>11</v>
      </c>
      <c r="F17" s="2" cm="1">
        <f t="array" aca="1" ref="F17" ca="1">_FV(table1[[#This Row],[DataField]],"Price")</f>
        <v>58.18</v>
      </c>
      <c r="G17" s="2" cm="1">
        <f t="array" aca="1" ref="G17" ca="1">_FV(table1[[#This Row],[DataField]],"52 week low",TRUE)</f>
        <v>50.56</v>
      </c>
      <c r="H17" s="2" cm="1">
        <f t="array" aca="1" ref="H17" ca="1">_FV(table1[[#This Row],[DataField]],"52 week high",TRUE)</f>
        <v>66.41</v>
      </c>
      <c r="I17" s="4" cm="1">
        <f t="array" aca="1" ref="I17" ca="1">_FV(table1[[#This Row],[DataField]],"P/E",TRUE)</f>
        <v>103.672</v>
      </c>
      <c r="J17" s="2" t="str">
        <f ca="1">IF(table1[[#This Row],[Price]] &lt; (table1[[#This Row],[52Low]] * 0.25) + table1[[#This Row],[52Low]],  "TRUE", "FALSE")</f>
        <v>TRUE</v>
      </c>
      <c r="K17" s="2" t="str">
        <f ca="1">IF(table1[[#This Row],[Price]] &lt; (table1[[#This Row],[52Low]] * 0.1) + table1[[#This Row],[52Low]],  "TRUE", "FALSE")</f>
        <v>FALSE</v>
      </c>
      <c r="L17" s="6" cm="1">
        <f t="array" aca="1" ref="L17" ca="1">_FV(table1[[#This Row],[DataField]],"Market cap",TRUE)</f>
        <v>20483956220</v>
      </c>
    </row>
    <row r="18" spans="1:12" x14ac:dyDescent="0.2">
      <c r="A18" t="e" vm="18">
        <v>#VALUE!</v>
      </c>
      <c r="B18" t="str" cm="1">
        <f t="array" aca="1" ref="B18" ca="1">_FV(table1[[#This Row],[DataField]],"Ticker symbol",TRUE)</f>
        <v>CLX</v>
      </c>
      <c r="C18">
        <v>0</v>
      </c>
      <c r="D18">
        <v>500</v>
      </c>
      <c r="E18">
        <v>12</v>
      </c>
      <c r="F18" s="2" cm="1">
        <f t="array" aca="1" ref="F18" ca="1">_FV(table1[[#This Row],[DataField]],"Price")</f>
        <v>106.15</v>
      </c>
      <c r="G18" s="2" cm="1">
        <f t="array" aca="1" ref="G18" ca="1">_FV(table1[[#This Row],[DataField]],"52 week low",TRUE)</f>
        <v>96.6601</v>
      </c>
      <c r="H18" s="2" cm="1">
        <f t="array" aca="1" ref="H18" ca="1">_FV(table1[[#This Row],[DataField]],"52 week high",TRUE)</f>
        <v>150.84</v>
      </c>
      <c r="I18" s="4" cm="1">
        <f t="array" aca="1" ref="I18" ca="1">_FV(table1[[#This Row],[DataField]],"P/E",TRUE)</f>
        <v>17.4209</v>
      </c>
      <c r="J18" s="2" t="str">
        <f ca="1">IF(table1[[#This Row],[Price]] &lt; (table1[[#This Row],[52Low]] * 0.25) + table1[[#This Row],[52Low]],  "TRUE", "FALSE")</f>
        <v>TRUE</v>
      </c>
      <c r="K18" s="2" t="str">
        <f ca="1">IF(table1[[#This Row],[Price]] &lt; (table1[[#This Row],[52Low]] * 0.1) + table1[[#This Row],[52Low]],  "TRUE", "FALSE")</f>
        <v>TRUE</v>
      </c>
      <c r="L18" s="6" cm="1">
        <f t="array" aca="1" ref="L18" ca="1">_FV(table1[[#This Row],[DataField]],"Market cap",TRUE)</f>
        <v>12834798185</v>
      </c>
    </row>
    <row r="19" spans="1:12" x14ac:dyDescent="0.2">
      <c r="A19" t="e" vm="19">
        <v>#VALUE!</v>
      </c>
      <c r="B19" t="str" cm="1">
        <f t="array" aca="1" ref="B19" ca="1">_FV(table1[[#This Row],[DataField]],"Ticker symbol",TRUE)</f>
        <v>NKE</v>
      </c>
      <c r="C19">
        <v>0</v>
      </c>
      <c r="D19">
        <v>500</v>
      </c>
      <c r="E19">
        <v>13</v>
      </c>
      <c r="F19" s="2" cm="1">
        <f t="array" aca="1" ref="F19" ca="1">_FV(table1[[#This Row],[DataField]],"Price")</f>
        <v>52.37</v>
      </c>
      <c r="G19" cm="1">
        <f t="array" aca="1" ref="G19" ca="1">_FV(table1[[#This Row],[DataField]],"52 week low",TRUE)</f>
        <v>52.174999999999997</v>
      </c>
      <c r="H19" cm="1">
        <f t="array" aca="1" ref="H19" ca="1">_FV(table1[[#This Row],[DataField]],"52 week high",TRUE)</f>
        <v>80.165000000000006</v>
      </c>
      <c r="I19" s="4" cm="1">
        <f t="array" aca="1" ref="I19" ca="1">_FV(table1[[#This Row],[DataField]],"P/E",TRUE)</f>
        <v>31.335599999999999</v>
      </c>
      <c r="J19" s="2" t="str">
        <f ca="1">IF(table1[[#This Row],[Price]] &lt; (table1[[#This Row],[52Low]] * 0.25) + table1[[#This Row],[52Low]],  "TRUE", "FALSE")</f>
        <v>TRUE</v>
      </c>
      <c r="K19" s="2" t="str">
        <f ca="1">IF(table1[[#This Row],[Price]] &lt; (table1[[#This Row],[52Low]] * 0.1) + table1[[#This Row],[52Low]],  "TRUE", "FALSE")</f>
        <v>TRUE</v>
      </c>
      <c r="L19" s="6" cm="1">
        <f t="array" aca="1" ref="L19" ca="1">_FV(table1[[#This Row],[DataField]],"Market cap",TRUE)</f>
        <v>77527657710</v>
      </c>
    </row>
    <row r="20" spans="1:12" x14ac:dyDescent="0.2">
      <c r="A20" t="e" vm="20">
        <v>#VALUE!</v>
      </c>
      <c r="B20" t="str" cm="1">
        <f t="array" aca="1" ref="B20" ca="1">_FV(table1[[#This Row],[DataField]],"Ticker symbol",TRUE)</f>
        <v>HD</v>
      </c>
      <c r="C20">
        <v>0</v>
      </c>
      <c r="D20">
        <v>500</v>
      </c>
      <c r="E20">
        <v>15</v>
      </c>
      <c r="F20" s="2" cm="1">
        <f t="array" aca="1" ref="F20" ca="1">_FV(table1[[#This Row],[DataField]],"Price")</f>
        <v>320.75</v>
      </c>
      <c r="G20" s="2" cm="1">
        <f t="array" aca="1" ref="G20" ca="1">_FV(table1[[#This Row],[DataField]],"52 week low",TRUE)</f>
        <v>320.2645</v>
      </c>
      <c r="H20" s="2" cm="1">
        <f t="array" aca="1" ref="H20" ca="1">_FV(table1[[#This Row],[DataField]],"52 week high",TRUE)</f>
        <v>426.75</v>
      </c>
      <c r="I20" s="4" cm="1">
        <f t="array" aca="1" ref="I20" ca="1">_FV(table1[[#This Row],[DataField]],"P/E",TRUE)</f>
        <v>23.0562</v>
      </c>
      <c r="J20" s="2" t="str">
        <f ca="1">IF(table1[[#This Row],[Price]] &lt; (table1[[#This Row],[52Low]] * 0.25) + table1[[#This Row],[52Low]],  "TRUE", "FALSE")</f>
        <v>TRUE</v>
      </c>
      <c r="K20" s="2" t="str">
        <f ca="1">IF(table1[[#This Row],[Price]] &lt; (table1[[#This Row],[52Low]] * 0.1) + table1[[#This Row],[52Low]],  "TRUE", "FALSE")</f>
        <v>TRUE</v>
      </c>
      <c r="L20" s="6" cm="1">
        <f t="array" aca="1" ref="L20" ca="1">_FV(table1[[#This Row],[DataField]],"Market cap",TRUE)</f>
        <v>319470688625</v>
      </c>
    </row>
    <row r="21" spans="1:12" x14ac:dyDescent="0.2">
      <c r="A21" t="e" vm="21">
        <v>#VALUE!</v>
      </c>
      <c r="B21" t="str" cm="1">
        <f t="array" aca="1" ref="B21" ca="1">_FV(table1[[#This Row],[DataField]],"Ticker symbol",TRUE)</f>
        <v>LOW</v>
      </c>
      <c r="C21">
        <v>0</v>
      </c>
      <c r="D21">
        <v>500</v>
      </c>
      <c r="E21">
        <v>15</v>
      </c>
      <c r="F21" s="2" cm="1">
        <f t="array" aca="1" ref="F21" ca="1">_FV(table1[[#This Row],[DataField]],"Price")</f>
        <v>224.63</v>
      </c>
      <c r="G21" s="2" cm="1">
        <f t="array" aca="1" ref="G21" ca="1">_FV(table1[[#This Row],[DataField]],"52 week low",TRUE)</f>
        <v>206.38499999999999</v>
      </c>
      <c r="H21" s="2" cm="1">
        <f t="array" aca="1" ref="H21" ca="1">_FV(table1[[#This Row],[DataField]],"52 week high",TRUE)</f>
        <v>293.06</v>
      </c>
      <c r="I21" s="4" cm="1">
        <f t="array" aca="1" ref="I21" ca="1">_FV(table1[[#This Row],[DataField]],"P/E",TRUE)</f>
        <v>19.39</v>
      </c>
      <c r="J21" s="2" t="str">
        <f ca="1">IF(table1[[#This Row],[Price]] &lt; (table1[[#This Row],[52Low]] * 0.25) + table1[[#This Row],[52Low]],  "TRUE", "FALSE")</f>
        <v>TRUE</v>
      </c>
      <c r="K21" s="2" t="str">
        <f ca="1">IF(table1[[#This Row],[Price]] &lt; (table1[[#This Row],[52Low]] * 0.1) + table1[[#This Row],[52Low]],  "TRUE", "FALSE")</f>
        <v>TRUE</v>
      </c>
      <c r="L21" s="6" cm="1">
        <f t="array" aca="1" ref="L21" ca="1">_FV(table1[[#This Row],[DataField]],"Market cap",TRUE)</f>
        <v>126017430000</v>
      </c>
    </row>
    <row r="22" spans="1:12" x14ac:dyDescent="0.2">
      <c r="A22" t="e" vm="22">
        <v>#VALUE!</v>
      </c>
      <c r="B22" t="str" cm="1">
        <f t="array" aca="1" ref="B22" ca="1">_FV(table1[[#This Row],[DataField]],"Ticker symbol",TRUE)</f>
        <v>V</v>
      </c>
      <c r="C22">
        <v>0</v>
      </c>
      <c r="D22">
        <v>500</v>
      </c>
      <c r="E22">
        <v>21</v>
      </c>
      <c r="F22" s="2" cm="1">
        <f t="array" aca="1" ref="F22" ca="1">_FV(table1[[#This Row],[DataField]],"Price")</f>
        <v>301.62</v>
      </c>
      <c r="G22" s="2" cm="1">
        <f t="array" aca="1" ref="G22" ca="1">_FV(table1[[#This Row],[DataField]],"52 week low",TRUE)</f>
        <v>297.03219999999999</v>
      </c>
      <c r="H22" s="2" cm="1">
        <f t="array" aca="1" ref="H22" ca="1">_FV(table1[[#This Row],[DataField]],"52 week high",TRUE)</f>
        <v>375.51</v>
      </c>
      <c r="I22" s="4" cm="1">
        <f t="array" aca="1" ref="I22" ca="1">_FV(table1[[#This Row],[DataField]],"P/E",TRUE)</f>
        <v>28.302499999999998</v>
      </c>
      <c r="J22" s="2" t="str">
        <f ca="1">IF(table1[[#This Row],[Price]] &lt; (table1[[#This Row],[52Low]] * 0.25) + table1[[#This Row],[52Low]],  "TRUE", "FALSE")</f>
        <v>TRUE</v>
      </c>
      <c r="K22" s="2" t="str">
        <f ca="1">IF(table1[[#This Row],[Price]] &lt; (table1[[#This Row],[52Low]] * 0.1) + table1[[#This Row],[52Low]],  "TRUE", "FALSE")</f>
        <v>TRUE</v>
      </c>
      <c r="L22" s="6" cm="1">
        <f t="array" aca="1" ref="L22" ca="1">_FV(table1[[#This Row],[DataField]],"Market cap",TRUE)</f>
        <v>574890434580</v>
      </c>
    </row>
    <row r="23" spans="1:12" x14ac:dyDescent="0.2">
      <c r="A23" t="e" vm="23">
        <v>#VALUE!</v>
      </c>
      <c r="B23" t="str" cm="1">
        <f t="array" aca="1" ref="B23" ca="1">_FV(table1[[#This Row],[DataField]],"Ticker symbol",TRUE)</f>
        <v>UPS</v>
      </c>
      <c r="C23">
        <v>0</v>
      </c>
      <c r="D23">
        <v>500</v>
      </c>
      <c r="E23">
        <v>22</v>
      </c>
      <c r="F23" s="2" cm="1">
        <f t="array" aca="1" ref="F23" ca="1">_FV(table1[[#This Row],[DataField]],"Price")</f>
        <v>95.86</v>
      </c>
      <c r="G23" s="2" cm="1">
        <f t="array" aca="1" ref="G23" ca="1">_FV(table1[[#This Row],[DataField]],"52 week low",TRUE)</f>
        <v>82</v>
      </c>
      <c r="H23" s="2" cm="1">
        <f t="array" aca="1" ref="H23" ca="1">_FV(table1[[#This Row],[DataField]],"52 week high",TRUE)</f>
        <v>122.41</v>
      </c>
      <c r="I23" s="4" cm="1">
        <f t="array" aca="1" ref="I23" ca="1">_FV(table1[[#This Row],[DataField]],"P/E",TRUE)</f>
        <v>14.7186</v>
      </c>
      <c r="J23" s="2" t="str">
        <f ca="1">IF(table1[[#This Row],[Price]] &lt; (table1[[#This Row],[52Low]] * 0.25) + table1[[#This Row],[52Low]],  "TRUE", "FALSE")</f>
        <v>TRUE</v>
      </c>
      <c r="K23" s="2" t="str">
        <f ca="1">IF(table1[[#This Row],[Price]] &lt; (table1[[#This Row],[52Low]] * 0.1) + table1[[#This Row],[52Low]],  "TRUE", "FALSE")</f>
        <v>FALSE</v>
      </c>
      <c r="L23" s="6" cm="1">
        <f t="array" aca="1" ref="L23" ca="1">_FV(table1[[#This Row],[DataField]],"Market cap",TRUE)</f>
        <v>81449644194</v>
      </c>
    </row>
    <row r="24" spans="1:12" x14ac:dyDescent="0.2">
      <c r="A24" t="e" vm="24">
        <v>#VALUE!</v>
      </c>
      <c r="B24" t="str" cm="1">
        <f t="array" aca="1" ref="B24" ca="1">_FV(table1[[#This Row],[DataField]],"Ticker symbol",TRUE)</f>
        <v>EMN</v>
      </c>
      <c r="C24">
        <v>0</v>
      </c>
      <c r="D24">
        <v>500</v>
      </c>
      <c r="E24">
        <v>31</v>
      </c>
      <c r="F24" s="2" cm="1">
        <f t="array" aca="1" ref="F24" ca="1">_FV(table1[[#This Row],[DataField]],"Price")</f>
        <v>65.33</v>
      </c>
      <c r="G24" s="2" cm="1">
        <f t="array" aca="1" ref="G24" ca="1">_FV(table1[[#This Row],[DataField]],"52 week low",TRUE)</f>
        <v>56.11</v>
      </c>
      <c r="H24" s="2" cm="1">
        <f t="array" aca="1" ref="H24" ca="1">_FV(table1[[#This Row],[DataField]],"52 week high",TRUE)</f>
        <v>91.27</v>
      </c>
      <c r="I24" s="4" cm="1">
        <f t="array" aca="1" ref="I24" ca="1">_FV(table1[[#This Row],[DataField]],"P/E",TRUE)</f>
        <v>18.077100000000002</v>
      </c>
      <c r="J24" s="2" t="str">
        <f ca="1">IF(table1[[#This Row],[Price]] &lt; (table1[[#This Row],[52Low]] * 0.25) + table1[[#This Row],[52Low]],  "TRUE", "FALSE")</f>
        <v>TRUE</v>
      </c>
      <c r="K24" s="2" t="str">
        <f ca="1">IF(table1[[#This Row],[Price]] &lt; (table1[[#This Row],[52Low]] * 0.1) + table1[[#This Row],[52Low]],  "TRUE", "FALSE")</f>
        <v>FALSE</v>
      </c>
      <c r="L24" s="6" cm="1">
        <f t="array" aca="1" ref="L24" ca="1">_FV(table1[[#This Row],[DataField]],"Market cap",TRUE)</f>
        <v>7453976609</v>
      </c>
    </row>
    <row r="25" spans="1:12" x14ac:dyDescent="0.2">
      <c r="A25" t="e" vm="25">
        <v>#VALUE!</v>
      </c>
      <c r="B25" t="str" cm="1">
        <f t="array" aca="1" ref="B25" ca="1">_FV(table1[[#This Row],[DataField]],"Ticker symbol",TRUE)</f>
        <v>LYB</v>
      </c>
      <c r="C25">
        <v>0</v>
      </c>
      <c r="D25">
        <v>500</v>
      </c>
      <c r="E25">
        <v>31</v>
      </c>
      <c r="F25" s="2" cm="1">
        <f t="array" aca="1" ref="F25" ca="1">_FV(table1[[#This Row],[DataField]],"Price")</f>
        <v>73.319999999999993</v>
      </c>
      <c r="G25" s="2" cm="1">
        <f t="array" aca="1" ref="G25" ca="1">_FV(table1[[#This Row],[DataField]],"52 week low",TRUE)</f>
        <v>41.58</v>
      </c>
      <c r="H25" s="2" cm="1">
        <f t="array" aca="1" ref="H25" ca="1">_FV(table1[[#This Row],[DataField]],"52 week high",TRUE)</f>
        <v>77.36</v>
      </c>
      <c r="I25" s="4" t="e" cm="1" vm="13">
        <f t="array" ref="I25">_FV(table1[[#This Row],[DataField]],"P/E",TRUE)</f>
        <v>#VALUE!</v>
      </c>
      <c r="J25" s="2" t="str">
        <f ca="1">IF(table1[[#This Row],[Price]] &lt; (table1[[#This Row],[52Low]] * 0.25) + table1[[#This Row],[52Low]],  "TRUE", "FALSE")</f>
        <v>FALSE</v>
      </c>
      <c r="K25" s="2" t="str">
        <f ca="1">IF(table1[[#This Row],[Price]] &lt; (table1[[#This Row],[52Low]] * 0.1) + table1[[#This Row],[52Low]],  "TRUE", "FALSE")</f>
        <v>FALSE</v>
      </c>
      <c r="L25" s="6" cm="1">
        <f t="array" aca="1" ref="L25" ca="1">_FV(table1[[#This Row],[DataField]],"Market cap",TRUE)</f>
        <v>23621504399</v>
      </c>
    </row>
    <row r="26" spans="1:12" x14ac:dyDescent="0.2">
      <c r="A26" t="e" vm="26">
        <v>#VALUE!</v>
      </c>
      <c r="B26" t="str" cm="1">
        <f t="array" aca="1" ref="B26" ca="1">_FV(table1[[#This Row],[DataField]],"Ticker symbol",TRUE)</f>
        <v>CVS</v>
      </c>
      <c r="C26">
        <v>0</v>
      </c>
      <c r="D26">
        <v>500</v>
      </c>
      <c r="E26">
        <v>40</v>
      </c>
      <c r="F26" s="2" cm="1">
        <f t="array" aca="1" ref="F26" ca="1">_FV(table1[[#This Row],[DataField]],"Price")</f>
        <v>71.48</v>
      </c>
      <c r="G26" s="2" cm="1">
        <f t="array" aca="1" ref="G26" ca="1">_FV(table1[[#This Row],[DataField]],"52 week low",TRUE)</f>
        <v>58.35</v>
      </c>
      <c r="H26" s="2" cm="1">
        <f t="array" aca="1" ref="H26" ca="1">_FV(table1[[#This Row],[DataField]],"52 week high",TRUE)</f>
        <v>85.15</v>
      </c>
      <c r="I26" s="4" cm="1">
        <f t="array" aca="1" ref="I26" ca="1">_FV(table1[[#This Row],[DataField]],"P/E",TRUE)</f>
        <v>52.549199999999999</v>
      </c>
      <c r="J26" s="2" t="str">
        <f ca="1">IF(table1[[#This Row],[Price]] &lt; (table1[[#This Row],[52Low]] * 0.25) + table1[[#This Row],[52Low]],  "TRUE", "FALSE")</f>
        <v>TRUE</v>
      </c>
      <c r="K26" s="2" t="str">
        <f ca="1">IF(table1[[#This Row],[Price]] &lt; (table1[[#This Row],[52Low]] * 0.1) + table1[[#This Row],[52Low]],  "TRUE", "FALSE")</f>
        <v>FALSE</v>
      </c>
      <c r="L26" s="6" cm="1">
        <f t="array" aca="1" ref="L26" ca="1">_FV(table1[[#This Row],[DataField]],"Market cap",TRUE)</f>
        <v>90937642280</v>
      </c>
    </row>
    <row r="27" spans="1:12" x14ac:dyDescent="0.2">
      <c r="A27" t="e" vm="27">
        <v>#VALUE!</v>
      </c>
      <c r="B27" t="str" cm="1">
        <f t="array" aca="1" ref="B27" ca="1">_FV(table1[[#This Row],[DataField]],"Ticker symbol",TRUE)</f>
        <v>JNJ</v>
      </c>
      <c r="C27">
        <v>0</v>
      </c>
      <c r="D27">
        <v>500</v>
      </c>
      <c r="E27">
        <v>40</v>
      </c>
      <c r="F27" s="2" cm="1">
        <f t="array" aca="1" ref="F27" ca="1">_FV(table1[[#This Row],[DataField]],"Price")</f>
        <v>235.37</v>
      </c>
      <c r="G27" s="2" cm="1">
        <f t="array" aca="1" ref="G27" ca="1">_FV(table1[[#This Row],[DataField]],"52 week low",TRUE)</f>
        <v>141.5</v>
      </c>
      <c r="H27" s="2" cm="1">
        <f t="array" aca="1" ref="H27" ca="1">_FV(table1[[#This Row],[DataField]],"52 week high",TRUE)</f>
        <v>251.71</v>
      </c>
      <c r="I27" s="4" cm="1">
        <f t="array" aca="1" ref="I27" ca="1">_FV(table1[[#This Row],[DataField]],"P/E",TRUE)</f>
        <v>21.517499999999998</v>
      </c>
      <c r="J27" s="2" t="str">
        <f ca="1">IF(table1[[#This Row],[Price]] &lt; (table1[[#This Row],[52Low]] * 0.25) + table1[[#This Row],[52Low]],  "TRUE", "FALSE")</f>
        <v>FALSE</v>
      </c>
      <c r="K27" s="2" t="str">
        <f ca="1">IF(table1[[#This Row],[Price]] &lt; (table1[[#This Row],[52Low]] * 0.1) + table1[[#This Row],[52Low]],  "TRUE", "FALSE")</f>
        <v>FALSE</v>
      </c>
      <c r="L27" s="6" cm="1">
        <f t="array" aca="1" ref="L27" ca="1">_FV(table1[[#This Row],[DataField]],"Market cap",TRUE)</f>
        <v>566915241810</v>
      </c>
    </row>
    <row r="28" spans="1:12" x14ac:dyDescent="0.2">
      <c r="A28" t="e" vm="28">
        <v>#VALUE!</v>
      </c>
      <c r="B28" t="str" cm="1">
        <f t="array" aca="1" ref="B28" ca="1">_FV(table1[[#This Row],[DataField]],"Ticker symbol",TRUE)</f>
        <v>MDT</v>
      </c>
      <c r="C28">
        <v>0</v>
      </c>
      <c r="D28">
        <v>500</v>
      </c>
      <c r="E28">
        <v>40</v>
      </c>
      <c r="F28" s="2" cm="1">
        <f t="array" aca="1" ref="F28" ca="1">_FV(table1[[#This Row],[DataField]],"Price")</f>
        <v>86.16</v>
      </c>
      <c r="G28" s="2" cm="1">
        <f t="array" aca="1" ref="G28" ca="1">_FV(table1[[#This Row],[DataField]],"52 week low",TRUE)</f>
        <v>79.55</v>
      </c>
      <c r="H28" s="2" cm="1">
        <f t="array" aca="1" ref="H28" ca="1">_FV(table1[[#This Row],[DataField]],"52 week high",TRUE)</f>
        <v>106.33</v>
      </c>
      <c r="I28" s="4" cm="1">
        <f t="array" aca="1" ref="I28" ca="1">_FV(table1[[#This Row],[DataField]],"P/E",TRUE)</f>
        <v>24.257400000000001</v>
      </c>
      <c r="J28" s="2" t="str">
        <f ca="1">IF(table1[[#This Row],[Price]] &lt; (table1[[#This Row],[52Low]] * 0.25) + table1[[#This Row],[52Low]],  "TRUE", "FALSE")</f>
        <v>TRUE</v>
      </c>
      <c r="K28" s="2" t="str">
        <f ca="1">IF(table1[[#This Row],[Price]] &lt; (table1[[#This Row],[52Low]] * 0.1) + table1[[#This Row],[52Low]],  "TRUE", "FALSE")</f>
        <v>TRUE</v>
      </c>
      <c r="L28" s="6" cm="1">
        <f t="array" aca="1" ref="L28" ca="1">_FV(table1[[#This Row],[DataField]],"Market cap",TRUE)</f>
        <v>110619531600</v>
      </c>
    </row>
    <row r="29" spans="1:12" x14ac:dyDescent="0.2">
      <c r="A29" t="e" vm="29">
        <v>#VALUE!</v>
      </c>
      <c r="B29" t="str" cm="1">
        <f t="array" aca="1" ref="B29" ca="1">_FV(table1[[#This Row],[DataField]],"Ticker symbol",TRUE)</f>
        <v>UNH</v>
      </c>
      <c r="C29">
        <v>0</v>
      </c>
      <c r="D29">
        <v>500</v>
      </c>
      <c r="E29">
        <v>40</v>
      </c>
      <c r="F29" s="2" cm="1">
        <f t="array" aca="1" ref="F29" ca="1">_FV(table1[[#This Row],[DataField]],"Price")</f>
        <v>275.58999999999997</v>
      </c>
      <c r="G29" s="2" cm="1">
        <f t="array" aca="1" ref="G29" ca="1">_FV(table1[[#This Row],[DataField]],"52 week low",TRUE)</f>
        <v>234.6</v>
      </c>
      <c r="H29" s="2" cm="1">
        <f t="array" aca="1" ref="H29" ca="1">_FV(table1[[#This Row],[DataField]],"52 week high",TRUE)</f>
        <v>606.36</v>
      </c>
      <c r="I29" s="4" cm="1">
        <f t="array" aca="1" ref="I29" ca="1">_FV(table1[[#This Row],[DataField]],"P/E",TRUE)</f>
        <v>21.255500000000001</v>
      </c>
      <c r="J29" s="2" t="str">
        <f ca="1">IF(table1[[#This Row],[Price]] &lt; (table1[[#This Row],[52Low]] * 0.25) + table1[[#This Row],[52Low]],  "TRUE", "FALSE")</f>
        <v>TRUE</v>
      </c>
      <c r="K29" s="2" t="str">
        <f ca="1">IF(table1[[#This Row],[Price]] &lt; (table1[[#This Row],[52Low]] * 0.1) + table1[[#This Row],[52Low]],  "TRUE", "FALSE")</f>
        <v>FALSE</v>
      </c>
      <c r="L29" s="6" cm="1">
        <f t="array" aca="1" ref="L29" ca="1">_FV(table1[[#This Row],[DataField]],"Market cap",TRUE)</f>
        <v>250146373721</v>
      </c>
    </row>
    <row r="30" spans="1:12" x14ac:dyDescent="0.2">
      <c r="A30" t="e" vm="30">
        <v>#VALUE!</v>
      </c>
      <c r="B30" t="str" cm="1">
        <f t="array" aca="1" ref="B30" ca="1">_FV(table1[[#This Row],[DataField]],"Ticker symbol",TRUE)</f>
        <v>BLK</v>
      </c>
      <c r="C30">
        <v>0</v>
      </c>
      <c r="D30">
        <v>500</v>
      </c>
      <c r="E30">
        <v>50</v>
      </c>
      <c r="F30" s="2" cm="1">
        <f t="array" aca="1" ref="F30" ca="1">_FV(table1[[#This Row],[DataField]],"Price")</f>
        <v>957.91</v>
      </c>
      <c r="G30" s="2" cm="1">
        <f t="array" aca="1" ref="G30" ca="1">_FV(table1[[#This Row],[DataField]],"52 week low",TRUE)</f>
        <v>773.74009999999998</v>
      </c>
      <c r="H30" s="2" cm="1">
        <f t="array" aca="1" ref="H30" ca="1">_FV(table1[[#This Row],[DataField]],"52 week high",TRUE)</f>
        <v>1219.9399000000001</v>
      </c>
      <c r="I30" s="4" cm="1">
        <f t="array" aca="1" ref="I30" ca="1">_FV(table1[[#This Row],[DataField]],"P/E",TRUE)</f>
        <v>27.977399999999999</v>
      </c>
      <c r="J30" s="2" t="str">
        <f ca="1">IF(table1[[#This Row],[Price]] &lt; (table1[[#This Row],[52Low]] * 0.25) + table1[[#This Row],[52Low]],  "TRUE", "FALSE")</f>
        <v>TRUE</v>
      </c>
      <c r="K30" s="2" t="str">
        <f ca="1">IF(table1[[#This Row],[Price]] &lt; (table1[[#This Row],[52Low]] * 0.1) + table1[[#This Row],[52Low]],  "TRUE", "FALSE")</f>
        <v>FALSE</v>
      </c>
      <c r="L30" s="6" cm="1">
        <f t="array" aca="1" ref="L30" ca="1">_FV(table1[[#This Row],[DataField]],"Market cap",TRUE)</f>
        <v>148994758265</v>
      </c>
    </row>
    <row r="31" spans="1:12" x14ac:dyDescent="0.2">
      <c r="A31" t="e" vm="31">
        <v>#VALUE!</v>
      </c>
      <c r="B31" t="str" cm="1">
        <f t="array" aca="1" ref="B31" ca="1">_FV(table1[[#This Row],[DataField]],"Ticker symbol",TRUE)</f>
        <v>BMY</v>
      </c>
      <c r="C31">
        <v>0</v>
      </c>
      <c r="D31">
        <v>500</v>
      </c>
      <c r="E31">
        <v>50</v>
      </c>
      <c r="F31" s="2" cm="1">
        <f t="array" aca="1" ref="F31" ca="1">_FV(table1[[#This Row],[DataField]],"Price")</f>
        <v>57.48</v>
      </c>
      <c r="G31" s="2" cm="1">
        <f t="array" aca="1" ref="G31" ca="1">_FV(table1[[#This Row],[DataField]],"52 week low",TRUE)</f>
        <v>42.52</v>
      </c>
      <c r="H31" s="2" cm="1">
        <f t="array" aca="1" ref="H31" ca="1">_FV(table1[[#This Row],[DataField]],"52 week high",TRUE)</f>
        <v>62.886400000000002</v>
      </c>
      <c r="I31" s="4" cm="1">
        <f t="array" aca="1" ref="I31" ca="1">_FV(table1[[#This Row],[DataField]],"P/E",TRUE)</f>
        <v>16.828399999999998</v>
      </c>
      <c r="J31" s="2" t="str">
        <f ca="1">IF(table1[[#This Row],[Price]] &lt; (table1[[#This Row],[52Low]] * 0.25) + table1[[#This Row],[52Low]],  "TRUE", "FALSE")</f>
        <v>FALSE</v>
      </c>
      <c r="K31" s="2" t="str">
        <f ca="1">IF(table1[[#This Row],[Price]] &lt; (table1[[#This Row],[52Low]] * 0.1) + table1[[#This Row],[52Low]],  "TRUE", "FALSE")</f>
        <v>FALSE</v>
      </c>
      <c r="L31" s="6" cm="1">
        <f t="array" aca="1" ref="L31" ca="1">_FV(table1[[#This Row],[DataField]],"Market cap",TRUE)</f>
        <v>117056525520</v>
      </c>
    </row>
    <row r="32" spans="1:12" x14ac:dyDescent="0.2">
      <c r="A32" t="e" vm="32">
        <v>#VALUE!</v>
      </c>
      <c r="B32" t="str" cm="1">
        <f t="array" aca="1" ref="B32" ca="1">_FV(table1[[#This Row],[DataField]],"Ticker symbol",TRUE)</f>
        <v>TROW</v>
      </c>
      <c r="C32">
        <v>0</v>
      </c>
      <c r="D32">
        <v>500</v>
      </c>
      <c r="E32">
        <v>50</v>
      </c>
      <c r="F32" s="2" cm="1">
        <f t="array" aca="1" ref="F32" ca="1">_FV(table1[[#This Row],[DataField]],"Price")</f>
        <v>86.19</v>
      </c>
      <c r="G32" s="2" cm="1">
        <f t="array" aca="1" ref="G32" ca="1">_FV(table1[[#This Row],[DataField]],"52 week low",TRUE)</f>
        <v>77.849999999999994</v>
      </c>
      <c r="H32" s="2" cm="1">
        <f t="array" aca="1" ref="H32" ca="1">_FV(table1[[#This Row],[DataField]],"52 week high",TRUE)</f>
        <v>118.22</v>
      </c>
      <c r="I32" s="4" cm="1">
        <f t="array" aca="1" ref="I32" ca="1">_FV(table1[[#This Row],[DataField]],"P/E",TRUE)</f>
        <v>9.4204000000000008</v>
      </c>
      <c r="J32" s="2" t="str">
        <f ca="1">IF(table1[[#This Row],[Price]] &lt; (table1[[#This Row],[52Low]] * 0.25) + table1[[#This Row],[52Low]],  "TRUE", "FALSE")</f>
        <v>TRUE</v>
      </c>
      <c r="K32" s="2" t="str">
        <f ca="1">IF(table1[[#This Row],[Price]] &lt; (table1[[#This Row],[52Low]] * 0.1) + table1[[#This Row],[52Low]],  "TRUE", "FALSE")</f>
        <v>FALSE</v>
      </c>
      <c r="L32" s="6" cm="1">
        <f t="array" aca="1" ref="L32" ca="1">_FV(table1[[#This Row],[DataField]],"Market cap",TRUE)</f>
        <v>18755452521</v>
      </c>
    </row>
    <row r="33" spans="1:12" x14ac:dyDescent="0.2">
      <c r="A33" t="e" vm="33">
        <v>#VALUE!</v>
      </c>
      <c r="B33" t="str" cm="1">
        <f t="array" aca="1" ref="B33" ca="1">_FV(table1[[#This Row],[DataField]],"Ticker symbol",TRUE)</f>
        <v>O</v>
      </c>
      <c r="C33">
        <v>0</v>
      </c>
      <c r="D33">
        <v>500</v>
      </c>
      <c r="E33">
        <v>81</v>
      </c>
      <c r="F33" s="2" cm="1">
        <f t="array" aca="1" ref="F33" ca="1">_FV(table1[[#This Row],[DataField]],"Price")</f>
        <v>60.95</v>
      </c>
      <c r="G33" s="2" cm="1">
        <f t="array" aca="1" ref="G33" ca="1">_FV(table1[[#This Row],[DataField]],"52 week low",TRUE)</f>
        <v>50.71</v>
      </c>
      <c r="H33" s="2" cm="1">
        <f t="array" aca="1" ref="H33" ca="1">_FV(table1[[#This Row],[DataField]],"52 week high",TRUE)</f>
        <v>67.935000000000002</v>
      </c>
      <c r="I33" s="4" cm="1">
        <f t="array" aca="1" ref="I33" ca="1">_FV(table1[[#This Row],[DataField]],"P/E",TRUE)</f>
        <v>53.802399999999999</v>
      </c>
      <c r="J33" s="2" t="str">
        <f ca="1">IF(table1[[#This Row],[Price]] &lt; (table1[[#This Row],[52Low]] * 0.25) + table1[[#This Row],[52Low]],  "TRUE", "FALSE")</f>
        <v>TRUE</v>
      </c>
      <c r="K33" s="2" t="str">
        <f ca="1">IF(table1[[#This Row],[Price]] &lt; (table1[[#This Row],[52Low]] * 0.1) + table1[[#This Row],[52Low]],  "TRUE", "FALSE")</f>
        <v>FALSE</v>
      </c>
      <c r="L33" s="6" cm="1">
        <f t="array" aca="1" ref="L33" ca="1">_FV(table1[[#This Row],[DataField]],"Market cap",TRUE)</f>
        <v>56832230190</v>
      </c>
    </row>
    <row r="34" spans="1:12" x14ac:dyDescent="0.2">
      <c r="A34" t="e" vm="34">
        <v>#VALUE!</v>
      </c>
      <c r="B34" t="str" cm="1">
        <f t="array" aca="1" ref="B34" ca="1">_FV(table1[[#This Row],[DataField]],"Ticker symbol",TRUE)</f>
        <v>SPG</v>
      </c>
      <c r="C34">
        <v>0</v>
      </c>
      <c r="D34">
        <v>500</v>
      </c>
      <c r="E34">
        <v>81</v>
      </c>
      <c r="F34" s="2" cm="1">
        <f t="array" aca="1" ref="F34" ca="1">_FV(table1[[#This Row],[DataField]],"Price")</f>
        <v>184.52</v>
      </c>
      <c r="G34" s="2" cm="1">
        <f t="array" aca="1" ref="G34" ca="1">_FV(table1[[#This Row],[DataField]],"52 week low",TRUE)</f>
        <v>136.34</v>
      </c>
      <c r="H34" s="2" cm="1">
        <f t="array" aca="1" ref="H34" ca="1">_FV(table1[[#This Row],[DataField]],"52 week high",TRUE)</f>
        <v>205.11500000000001</v>
      </c>
      <c r="I34" s="4" cm="1">
        <f t="array" aca="1" ref="I34" ca="1">_FV(table1[[#This Row],[DataField]],"P/E",TRUE)</f>
        <v>13.497999999999999</v>
      </c>
      <c r="J34" s="2" t="str">
        <f ca="1">IF(table1[[#This Row],[Price]] &lt; (table1[[#This Row],[52Low]] * 0.25) + table1[[#This Row],[52Low]],  "TRUE", "FALSE")</f>
        <v>FALSE</v>
      </c>
      <c r="K34" s="2" t="str">
        <f ca="1">IF(table1[[#This Row],[Price]] &lt; (table1[[#This Row],[52Low]] * 0.1) + table1[[#This Row],[52Low]],  "TRUE", "FALSE")</f>
        <v>FALSE</v>
      </c>
      <c r="L34" s="6" cm="1">
        <f t="array" aca="1" ref="L34" ca="1">_FV(table1[[#This Row],[DataField]],"Market cap",TRUE)</f>
        <v>59960382916</v>
      </c>
    </row>
    <row r="35" spans="1:12" x14ac:dyDescent="0.2">
      <c r="A35" t="e" vm="35">
        <v>#VALUE!</v>
      </c>
      <c r="B35" t="str" cm="1">
        <f t="array" aca="1" ref="B35" ca="1">_FV(table1[[#This Row],[DataField]],"Ticker symbol",TRUE)</f>
        <v>CVX</v>
      </c>
      <c r="C35">
        <v>0</v>
      </c>
      <c r="D35">
        <v>500</v>
      </c>
      <c r="E35">
        <v>91</v>
      </c>
      <c r="F35" s="2" cm="1">
        <f t="array" aca="1" ref="F35" ca="1">_FV(table1[[#This Row],[DataField]],"Price")</f>
        <v>201.73</v>
      </c>
      <c r="G35" s="2" cm="1">
        <f t="array" aca="1" ref="G35" ca="1">_FV(table1[[#This Row],[DataField]],"52 week low",TRUE)</f>
        <v>132.04</v>
      </c>
      <c r="H35" s="2" cm="1">
        <f t="array" aca="1" ref="H35" ca="1">_FV(table1[[#This Row],[DataField]],"52 week high",TRUE)</f>
        <v>205.08</v>
      </c>
      <c r="I35" s="4" cm="1">
        <f t="array" aca="1" ref="I35" ca="1">_FV(table1[[#This Row],[DataField]],"P/E",TRUE)</f>
        <v>30.310400000000001</v>
      </c>
      <c r="J35" s="2" t="str">
        <f ca="1">IF(table1[[#This Row],[Price]] &lt; (table1[[#This Row],[52Low]] * 0.25) + table1[[#This Row],[52Low]],  "TRUE", "FALSE")</f>
        <v>FALSE</v>
      </c>
      <c r="K35" s="2" t="str">
        <f ca="1">IF(table1[[#This Row],[Price]] &lt; (table1[[#This Row],[52Low]] * 0.1) + table1[[#This Row],[52Low]],  "TRUE", "FALSE")</f>
        <v>FALSE</v>
      </c>
      <c r="L35" s="6" cm="1">
        <f t="array" aca="1" ref="L35" ca="1">_FV(table1[[#This Row],[DataField]],"Market cap",TRUE)</f>
        <v>402529016050</v>
      </c>
    </row>
    <row r="36" spans="1:12" x14ac:dyDescent="0.2">
      <c r="A36" t="e" vm="36">
        <v>#VALUE!</v>
      </c>
      <c r="B36" t="str" cm="1">
        <f t="array" aca="1" ref="B36" ca="1">_FV(table1[[#This Row],[DataField]],"Ticker symbol",TRUE)</f>
        <v>XOM</v>
      </c>
      <c r="C36">
        <v>0</v>
      </c>
      <c r="D36">
        <v>500</v>
      </c>
      <c r="E36">
        <v>91</v>
      </c>
      <c r="F36" s="2" cm="1">
        <f t="array" aca="1" ref="F36" ca="1">_FV(table1[[#This Row],[DataField]],"Price")</f>
        <v>159.66999999999999</v>
      </c>
      <c r="G36" s="2" cm="1">
        <f t="array" aca="1" ref="G36" ca="1">_FV(table1[[#This Row],[DataField]],"52 week low",TRUE)</f>
        <v>97.8</v>
      </c>
      <c r="H36" s="2" cm="1">
        <f t="array" aca="1" ref="H36" ca="1">_FV(table1[[#This Row],[DataField]],"52 week high",TRUE)</f>
        <v>162.44</v>
      </c>
      <c r="I36" s="4" cm="1">
        <f t="array" aca="1" ref="I36" ca="1">_FV(table1[[#This Row],[DataField]],"P/E",TRUE)</f>
        <v>23.6751</v>
      </c>
      <c r="J36" s="2" t="str">
        <f ca="1">IF(table1[[#This Row],[Price]] &lt; (table1[[#This Row],[52Low]] * 0.25) + table1[[#This Row],[52Low]],  "TRUE", "FALSE")</f>
        <v>FALSE</v>
      </c>
      <c r="K36" s="2" t="str">
        <f ca="1">IF(table1[[#This Row],[Price]] &lt; (table1[[#This Row],[52Low]] * 0.1) + table1[[#This Row],[52Low]],  "TRUE", "FALSE")</f>
        <v>FALSE</v>
      </c>
      <c r="L36" s="6" cm="1">
        <f t="array" aca="1" ref="L36" ca="1">_FV(table1[[#This Row],[DataField]],"Market cap",TRUE)</f>
        <v>665307207880</v>
      </c>
    </row>
    <row r="37" spans="1:12" x14ac:dyDescent="0.2">
      <c r="A37" t="e" vm="37">
        <v>#VALUE!</v>
      </c>
      <c r="B37" t="str" cm="1">
        <f t="array" aca="1" ref="B37" ca="1">_FV(table1[[#This Row],[DataField]],"Ticker symbol",TRUE)</f>
        <v>LRCX</v>
      </c>
      <c r="C37">
        <v>1</v>
      </c>
      <c r="D37">
        <v>500</v>
      </c>
      <c r="E37">
        <v>2</v>
      </c>
      <c r="F37" s="2" cm="1">
        <f t="array" aca="1" ref="F37" ca="1">_FV(table1[[#This Row],[DataField]],"Price")</f>
        <v>228.36</v>
      </c>
      <c r="G37" s="2" cm="1">
        <f t="array" aca="1" ref="G37" ca="1">_FV(table1[[#This Row],[DataField]],"52 week low",TRUE)</f>
        <v>56.32</v>
      </c>
      <c r="H37" s="2" cm="1">
        <f t="array" aca="1" ref="H37" ca="1">_FV(table1[[#This Row],[DataField]],"52 week high",TRUE)</f>
        <v>256.68</v>
      </c>
      <c r="I37" s="4" cm="1">
        <f t="array" aca="1" ref="I37" ca="1">_FV(table1[[#This Row],[DataField]],"P/E",TRUE)</f>
        <v>46.8018</v>
      </c>
      <c r="J37" s="2" t="str">
        <f ca="1">IF(table1[[#This Row],[Price]] &lt; (table1[[#This Row],[52Low]] * 0.25) + table1[[#This Row],[52Low]],  "TRUE", "FALSE")</f>
        <v>FALSE</v>
      </c>
      <c r="K37" s="2" t="str">
        <f ca="1">IF(table1[[#This Row],[Price]] &lt; (table1[[#This Row],[52Low]] * 0.1) + table1[[#This Row],[52Low]],  "TRUE", "FALSE")</f>
        <v>FALSE</v>
      </c>
      <c r="L37" s="6" cm="1">
        <f t="array" aca="1" ref="L37" ca="1">_FV(table1[[#This Row],[DataField]],"Market cap",TRUE)</f>
        <v>285169345560</v>
      </c>
    </row>
    <row r="38" spans="1:12" x14ac:dyDescent="0.2">
      <c r="A38" t="e" vm="38">
        <v>#VALUE!</v>
      </c>
      <c r="B38" t="str" cm="1">
        <f t="array" aca="1" ref="B38" ca="1">_FV(table1[[#This Row],[DataField]],"Ticker symbol",TRUE)</f>
        <v>AMD</v>
      </c>
      <c r="C38">
        <v>1</v>
      </c>
      <c r="D38">
        <v>500</v>
      </c>
      <c r="E38">
        <v>2</v>
      </c>
      <c r="F38" s="2" cm="1">
        <f t="array" aca="1" ref="F38" ca="1">_FV(table1[[#This Row],[DataField]],"Price")</f>
        <v>201.33</v>
      </c>
      <c r="G38" s="2" cm="1">
        <f t="array" aca="1" ref="G38" ca="1">_FV(table1[[#This Row],[DataField]],"52 week low",TRUE)</f>
        <v>76.48</v>
      </c>
      <c r="H38" s="2" cm="1">
        <f t="array" aca="1" ref="H38" ca="1">_FV(table1[[#This Row],[DataField]],"52 week high",TRUE)</f>
        <v>267.07990000000001</v>
      </c>
      <c r="I38" s="4" cm="1">
        <f t="array" aca="1" ref="I38" ca="1">_FV(table1[[#This Row],[DataField]],"P/E",TRUE)</f>
        <v>77.303799999999995</v>
      </c>
      <c r="J38" s="2" t="str">
        <f ca="1">IF(table1[[#This Row],[Price]] &lt; (table1[[#This Row],[52Low]] * 0.25) + table1[[#This Row],[52Low]],  "TRUE", "FALSE")</f>
        <v>FALSE</v>
      </c>
      <c r="K38" s="2" t="str">
        <f ca="1">IF(table1[[#This Row],[Price]] &lt; (table1[[#This Row],[52Low]] * 0.1) + table1[[#This Row],[52Low]],  "TRUE", "FALSE")</f>
        <v>FALSE</v>
      </c>
      <c r="L38" s="6" cm="1">
        <f t="array" aca="1" ref="L38" ca="1">_FV(table1[[#This Row],[DataField]],"Market cap",TRUE)</f>
        <v>328250646630</v>
      </c>
    </row>
    <row r="39" spans="1:12" x14ac:dyDescent="0.2">
      <c r="A39" t="e" vm="39">
        <v>#VALUE!</v>
      </c>
      <c r="B39" t="str" cm="1">
        <f t="array" aca="1" ref="B39" ca="1">_FV(table1[[#This Row],[DataField]],"Ticker symbol",TRUE)</f>
        <v>ASML</v>
      </c>
      <c r="C39">
        <v>1</v>
      </c>
      <c r="D39">
        <v>500</v>
      </c>
      <c r="E39">
        <v>2</v>
      </c>
      <c r="F39" s="2" cm="1">
        <f t="array" aca="1" ref="F39" ca="1">_FV(table1[[#This Row],[DataField]],"Price")</f>
        <v>1317.25</v>
      </c>
      <c r="G39" s="2" cm="1">
        <f t="array" aca="1" ref="G39" ca="1">_FV(table1[[#This Row],[DataField]],"52 week low",TRUE)</f>
        <v>578.51</v>
      </c>
      <c r="H39" s="2" cm="1">
        <f t="array" aca="1" ref="H39" ca="1">_FV(table1[[#This Row],[DataField]],"52 week high",TRUE)</f>
        <v>1547.22</v>
      </c>
      <c r="I39" s="4" cm="1">
        <f t="array" aca="1" ref="I39" ca="1">_FV(table1[[#This Row],[DataField]],"P/E",TRUE)</f>
        <v>45.381700000000002</v>
      </c>
      <c r="J39" s="2" t="str">
        <f ca="1">IF(table1[[#This Row],[Price]] &lt; (table1[[#This Row],[52Low]] * 0.25) + table1[[#This Row],[52Low]],  "TRUE", "FALSE")</f>
        <v>FALSE</v>
      </c>
      <c r="K39" s="2" t="str">
        <f ca="1">IF(table1[[#This Row],[Price]] &lt; (table1[[#This Row],[52Low]] * 0.1) + table1[[#This Row],[52Low]],  "TRUE", "FALSE")</f>
        <v>FALSE</v>
      </c>
      <c r="L39" s="6" cm="1">
        <f t="array" aca="1" ref="L39" ca="1">_FV(table1[[#This Row],[DataField]],"Market cap",TRUE)</f>
        <v>533920450212</v>
      </c>
    </row>
    <row r="40" spans="1:12" x14ac:dyDescent="0.2">
      <c r="A40" t="e" vm="40">
        <v>#VALUE!</v>
      </c>
      <c r="B40" t="str" cm="1">
        <f t="array" aca="1" ref="B40" ca="1">_FV(table1[[#This Row],[DataField]],"Ticker symbol",TRUE)</f>
        <v>NVDA</v>
      </c>
      <c r="C40">
        <v>1</v>
      </c>
      <c r="D40">
        <v>500</v>
      </c>
      <c r="E40">
        <v>2</v>
      </c>
      <c r="F40" s="2" cm="1">
        <f t="array" aca="1" ref="F40" ca="1">_FV(table1[[#This Row],[DataField]],"Price")</f>
        <v>172.7</v>
      </c>
      <c r="G40" s="2" cm="1">
        <f t="array" aca="1" ref="G40" ca="1">_FV(table1[[#This Row],[DataField]],"52 week low",TRUE)</f>
        <v>86.62</v>
      </c>
      <c r="H40" s="2" cm="1">
        <f t="array" aca="1" ref="H40" ca="1">_FV(table1[[#This Row],[DataField]],"52 week high",TRUE)</f>
        <v>212.18989999999999</v>
      </c>
      <c r="I40" s="4" cm="1">
        <f t="array" aca="1" ref="I40" ca="1">_FV(table1[[#This Row],[DataField]],"P/E",TRUE)</f>
        <v>35.231999999999999</v>
      </c>
      <c r="J40" s="2" t="str">
        <f ca="1">IF(table1[[#This Row],[Price]] &lt; (table1[[#This Row],[52Low]] * 0.25) + table1[[#This Row],[52Low]],  "TRUE", "FALSE")</f>
        <v>FALSE</v>
      </c>
      <c r="K40" s="2" t="str">
        <f ca="1">IF(table1[[#This Row],[Price]] &lt; (table1[[#This Row],[52Low]] * 0.1) + table1[[#This Row],[52Low]],  "TRUE", "FALSE")</f>
        <v>FALSE</v>
      </c>
      <c r="L40" s="6" cm="1">
        <f t="array" aca="1" ref="L40" ca="1">_FV(table1[[#This Row],[DataField]],"Market cap",TRUE)</f>
        <v>4196609999999</v>
      </c>
    </row>
    <row r="41" spans="1:12" x14ac:dyDescent="0.2">
      <c r="A41" t="e" vm="41">
        <v>#VALUE!</v>
      </c>
      <c r="B41" t="str" cm="1">
        <f t="array" aca="1" ref="B41" ca="1">_FV(table1[[#This Row],[DataField]],"Ticker symbol",TRUE)</f>
        <v>KMB</v>
      </c>
      <c r="C41">
        <v>1</v>
      </c>
      <c r="D41">
        <v>500</v>
      </c>
      <c r="E41">
        <v>11</v>
      </c>
      <c r="F41" s="2" cm="1">
        <f t="array" aca="1" ref="F41" ca="1">_FV(table1[[#This Row],[DataField]],"Price")</f>
        <v>98.2</v>
      </c>
      <c r="G41" s="2" cm="1">
        <f t="array" aca="1" ref="G41" ca="1">_FV(table1[[#This Row],[DataField]],"52 week low",TRUE)</f>
        <v>96.26</v>
      </c>
      <c r="H41" s="2" cm="1">
        <f t="array" aca="1" ref="H41" ca="1">_FV(table1[[#This Row],[DataField]],"52 week high",TRUE)</f>
        <v>147.12</v>
      </c>
      <c r="I41" s="4" cm="1">
        <f t="array" aca="1" ref="I41" ca="1">_FV(table1[[#This Row],[DataField]],"P/E",TRUE)</f>
        <v>20.101099999999999</v>
      </c>
      <c r="J41" s="2" t="str">
        <f ca="1">IF(table1[[#This Row],[Price]] &lt; (table1[[#This Row],[52Low]] * 0.25) + table1[[#This Row],[52Low]],  "TRUE", "FALSE")</f>
        <v>TRUE</v>
      </c>
      <c r="K41" s="2" t="str">
        <f ca="1">IF(table1[[#This Row],[Price]] &lt; (table1[[#This Row],[52Low]] * 0.1) + table1[[#This Row],[52Low]],  "TRUE", "FALSE")</f>
        <v>TRUE</v>
      </c>
      <c r="L41" s="6" cm="1">
        <f t="array" aca="1" ref="L41" ca="1">_FV(table1[[#This Row],[DataField]],"Market cap",TRUE)</f>
        <v>32594779680</v>
      </c>
    </row>
    <row r="42" spans="1:12" x14ac:dyDescent="0.2">
      <c r="A42" t="e" vm="42">
        <v>#VALUE!</v>
      </c>
      <c r="B42" t="str" cm="1">
        <f t="array" aca="1" ref="B42" ca="1">_FV(table1[[#This Row],[DataField]],"Ticker symbol",TRUE)</f>
        <v>MCD</v>
      </c>
      <c r="C42">
        <v>1</v>
      </c>
      <c r="D42">
        <v>500</v>
      </c>
      <c r="E42">
        <v>14</v>
      </c>
      <c r="F42" s="2" cm="1">
        <f t="array" aca="1" ref="F42" ca="1">_FV(table1[[#This Row],[DataField]],"Price")</f>
        <v>308.85000000000002</v>
      </c>
      <c r="G42" s="2" cm="1">
        <f t="array" aca="1" ref="G42" ca="1">_FV(table1[[#This Row],[DataField]],"52 week low",TRUE)</f>
        <v>283.47000000000003</v>
      </c>
      <c r="H42" s="2" cm="1">
        <f t="array" aca="1" ref="H42" ca="1">_FV(table1[[#This Row],[DataField]],"52 week high",TRUE)</f>
        <v>341.75</v>
      </c>
      <c r="I42" s="4" cm="1">
        <f t="array" aca="1" ref="I42" ca="1">_FV(table1[[#This Row],[DataField]],"P/E",TRUE)</f>
        <v>25.898900000000001</v>
      </c>
      <c r="J42" s="2" t="str">
        <f ca="1">IF(table1[[#This Row],[Price]] &lt; (table1[[#This Row],[52Low]] * 0.25) + table1[[#This Row],[52Low]],  "TRUE", "FALSE")</f>
        <v>TRUE</v>
      </c>
      <c r="K42" s="2" t="str">
        <f ca="1">IF(table1[[#This Row],[Price]] &lt; (table1[[#This Row],[52Low]] * 0.1) + table1[[#This Row],[52Low]],  "TRUE", "FALSE")</f>
        <v>TRUE</v>
      </c>
      <c r="L42" s="6" cm="1">
        <f t="array" aca="1" ref="L42" ca="1">_FV(table1[[#This Row],[DataField]],"Market cap",TRUE)</f>
        <v>219406607610</v>
      </c>
    </row>
    <row r="43" spans="1:12" x14ac:dyDescent="0.2">
      <c r="A43" t="e" vm="43">
        <v>#VALUE!</v>
      </c>
      <c r="B43" t="str" cm="1">
        <f t="array" aca="1" ref="B43" ca="1">_FV(table1[[#This Row],[DataField]],"Ticker symbol",TRUE)</f>
        <v>TGT</v>
      </c>
      <c r="C43">
        <v>1</v>
      </c>
      <c r="D43">
        <v>500</v>
      </c>
      <c r="E43">
        <v>16</v>
      </c>
      <c r="F43" s="2" cm="1">
        <f t="array" aca="1" ref="F43" ca="1">_FV(table1[[#This Row],[DataField]],"Price")</f>
        <v>113.26</v>
      </c>
      <c r="G43" s="2" cm="1">
        <f t="array" aca="1" ref="G43" ca="1">_FV(table1[[#This Row],[DataField]],"52 week low",TRUE)</f>
        <v>83.44</v>
      </c>
      <c r="H43" s="2" cm="1">
        <f t="array" aca="1" ref="H43" ca="1">_FV(table1[[#This Row],[DataField]],"52 week high",TRUE)</f>
        <v>126</v>
      </c>
      <c r="I43" s="4" cm="1">
        <f t="array" aca="1" ref="I43" ca="1">_FV(table1[[#This Row],[DataField]],"P/E",TRUE)</f>
        <v>13.889799999999999</v>
      </c>
      <c r="J43" s="2" t="str">
        <f ca="1">IF(table1[[#This Row],[Price]] &lt; (table1[[#This Row],[52Low]] * 0.25) + table1[[#This Row],[52Low]],  "TRUE", "FALSE")</f>
        <v>FALSE</v>
      </c>
      <c r="K43" s="2" t="str">
        <f ca="1">IF(table1[[#This Row],[Price]] &lt; (table1[[#This Row],[52Low]] * 0.1) + table1[[#This Row],[52Low]],  "TRUE", "FALSE")</f>
        <v>FALSE</v>
      </c>
      <c r="L43" s="6" cm="1">
        <f t="array" aca="1" ref="L43" ca="1">_FV(table1[[#This Row],[DataField]],"Market cap",TRUE)</f>
        <v>51290425256</v>
      </c>
    </row>
    <row r="44" spans="1:12" x14ac:dyDescent="0.2">
      <c r="A44" t="e" vm="44">
        <v>#VALUE!</v>
      </c>
      <c r="B44" t="str" cm="1">
        <f t="array" aca="1" ref="B44" ca="1">_FV(table1[[#This Row],[DataField]],"Ticker symbol",TRUE)</f>
        <v>WMT</v>
      </c>
      <c r="C44">
        <v>1</v>
      </c>
      <c r="D44">
        <v>500</v>
      </c>
      <c r="E44">
        <v>16</v>
      </c>
      <c r="F44" s="2" cm="1">
        <f t="array" aca="1" ref="F44" ca="1">_FV(table1[[#This Row],[DataField]],"Price")</f>
        <v>119.02</v>
      </c>
      <c r="G44" s="2" cm="1">
        <f t="array" aca="1" ref="G44" ca="1">_FV(table1[[#This Row],[DataField]],"52 week low",TRUE)</f>
        <v>79.81</v>
      </c>
      <c r="H44" s="2" cm="1">
        <f t="array" aca="1" ref="H44" ca="1">_FV(table1[[#This Row],[DataField]],"52 week high",TRUE)</f>
        <v>134.69</v>
      </c>
      <c r="I44" s="4" cm="1">
        <f t="array" aca="1" ref="I44" ca="1">_FV(table1[[#This Row],[DataField]],"P/E",TRUE)</f>
        <v>44.27</v>
      </c>
      <c r="J44" s="2" t="str">
        <f ca="1">IF(table1[[#This Row],[Price]] &lt; (table1[[#This Row],[52Low]] * 0.25) + table1[[#This Row],[52Low]],  "TRUE", "FALSE")</f>
        <v>FALSE</v>
      </c>
      <c r="K44" s="2" t="str">
        <f ca="1">IF(table1[[#This Row],[Price]] &lt; (table1[[#This Row],[52Low]] * 0.1) + table1[[#This Row],[52Low]],  "TRUE", "FALSE")</f>
        <v>FALSE</v>
      </c>
      <c r="L44" s="6" cm="1">
        <f t="array" aca="1" ref="L44" ca="1">_FV(table1[[#This Row],[DataField]],"Market cap",TRUE)</f>
        <v>948875286040</v>
      </c>
    </row>
    <row r="45" spans="1:12" x14ac:dyDescent="0.2">
      <c r="A45" t="e" vm="45">
        <v>#VALUE!</v>
      </c>
      <c r="B45" t="str" cm="1">
        <f t="array" aca="1" ref="B45" ca="1">_FV(table1[[#This Row],[DataField]],"Ticker symbol",TRUE)</f>
        <v>ABBV</v>
      </c>
      <c r="F45" s="2" cm="1">
        <f t="array" aca="1" ref="F45" ca="1">_FV(table1[[#This Row],[DataField]],"Price")</f>
        <v>205.07</v>
      </c>
      <c r="G45" s="2" cm="1">
        <f t="array" aca="1" ref="G45" ca="1">_FV(table1[[#This Row],[DataField]],"52 week low",TRUE)</f>
        <v>164.39</v>
      </c>
      <c r="H45" s="2" cm="1">
        <f t="array" aca="1" ref="H45" ca="1">_FV(table1[[#This Row],[DataField]],"52 week high",TRUE)</f>
        <v>244.81</v>
      </c>
      <c r="I45" s="4" cm="1">
        <f t="array" aca="1" ref="I45" ca="1">_FV(table1[[#This Row],[DataField]],"P/E",TRUE)</f>
        <v>86.882999999999996</v>
      </c>
      <c r="J45" s="2" t="str">
        <f ca="1">IF(table1[[#This Row],[Price]] &lt; (table1[[#This Row],[52Low]] * 0.25) + table1[[#This Row],[52Low]],  "TRUE", "FALSE")</f>
        <v>TRUE</v>
      </c>
      <c r="K45" s="2" t="str">
        <f ca="1">IF(table1[[#This Row],[Price]] &lt; (table1[[#This Row],[52Low]] * 0.1) + table1[[#This Row],[52Low]],  "TRUE", "FALSE")</f>
        <v>FALSE</v>
      </c>
      <c r="L45" s="6" cm="1">
        <f t="array" aca="1" ref="L45" ca="1">_FV(table1[[#This Row],[DataField]],"Market cap",TRUE)</f>
        <v>362598416830</v>
      </c>
    </row>
    <row r="46" spans="1:12" x14ac:dyDescent="0.2">
      <c r="A46" t="e" vm="46">
        <v>#VALUE!</v>
      </c>
      <c r="B46" t="str" cm="1">
        <f t="array" aca="1" ref="B46" ca="1">_FV(table1[[#This Row],[DataField]],"Ticker symbol",TRUE)</f>
        <v>ADP</v>
      </c>
      <c r="F46" s="2" cm="1">
        <f t="array" aca="1" ref="F46" ca="1">_FV(table1[[#This Row],[DataField]],"Price")</f>
        <v>208.69</v>
      </c>
      <c r="G46" s="2" cm="1">
        <f t="array" aca="1" ref="G46" ca="1">_FV(table1[[#This Row],[DataField]],"52 week low",TRUE)</f>
        <v>203.26</v>
      </c>
      <c r="H46" s="2" cm="1">
        <f t="array" aca="1" ref="H46" ca="1">_FV(table1[[#This Row],[DataField]],"52 week high",TRUE)</f>
        <v>329.92950000000002</v>
      </c>
      <c r="I46" s="4" cm="1">
        <f t="array" aca="1" ref="I46" ca="1">_FV(table1[[#This Row],[DataField]],"P/E",TRUE)</f>
        <v>20.236799999999999</v>
      </c>
      <c r="J46" s="2" t="str">
        <f ca="1">IF(table1[[#This Row],[Price]] &lt; (table1[[#This Row],[52Low]] * 0.25) + table1[[#This Row],[52Low]],  "TRUE", "FALSE")</f>
        <v>TRUE</v>
      </c>
      <c r="K46" s="2" t="str">
        <f ca="1">IF(table1[[#This Row],[Price]] &lt; (table1[[#This Row],[52Low]] * 0.1) + table1[[#This Row],[52Low]],  "TRUE", "FALSE")</f>
        <v>TRUE</v>
      </c>
      <c r="L46" s="6" cm="1">
        <f t="array" aca="1" ref="L46" ca="1">_FV(table1[[#This Row],[DataField]],"Market cap",TRUE)</f>
        <v>84027838967</v>
      </c>
    </row>
    <row r="47" spans="1:12" x14ac:dyDescent="0.2">
      <c r="A47" t="e" vm="47">
        <v>#VALUE!</v>
      </c>
      <c r="B47" t="str" cm="1">
        <f t="array" aca="1" ref="B47" ca="1">_FV(table1[[#This Row],[DataField]],"Ticker symbol",TRUE)</f>
        <v>AMT</v>
      </c>
      <c r="F47" s="2" cm="1">
        <f t="array" aca="1" ref="F47" ca="1">_FV(table1[[#This Row],[DataField]],"Price")</f>
        <v>176.79</v>
      </c>
      <c r="G47" s="2" cm="1">
        <f t="array" aca="1" ref="G47" ca="1">_FV(table1[[#This Row],[DataField]],"52 week low",TRUE)</f>
        <v>166.88</v>
      </c>
      <c r="H47" s="2" cm="1">
        <f t="array" aca="1" ref="H47" ca="1">_FV(table1[[#This Row],[DataField]],"52 week high",TRUE)</f>
        <v>234.33</v>
      </c>
      <c r="I47" s="4" cm="1">
        <f t="array" aca="1" ref="I47" ca="1">_FV(table1[[#This Row],[DataField]],"P/E",TRUE)</f>
        <v>32.758899999999997</v>
      </c>
      <c r="J47" s="2" t="str">
        <f ca="1">IF(table1[[#This Row],[Price]] &lt; (table1[[#This Row],[52Low]] * 0.25) + table1[[#This Row],[52Low]],  "TRUE", "FALSE")</f>
        <v>TRUE</v>
      </c>
      <c r="K47" s="2" t="str">
        <f ca="1">IF(table1[[#This Row],[Price]] &lt; (table1[[#This Row],[52Low]] * 0.1) + table1[[#This Row],[52Low]],  "TRUE", "FALSE")</f>
        <v>TRUE</v>
      </c>
      <c r="L47" s="6" cm="1">
        <f t="array" aca="1" ref="L47" ca="1">_FV(table1[[#This Row],[DataField]],"Market cap",TRUE)</f>
        <v>82399131792</v>
      </c>
    </row>
    <row r="48" spans="1:12" x14ac:dyDescent="0.2">
      <c r="A48" t="e" vm="48">
        <v>#VALUE!</v>
      </c>
      <c r="B48" t="str" cm="1">
        <f t="array" aca="1" ref="B48" ca="1">_FV(table1[[#This Row],[DataField]],"Ticker symbol",TRUE)</f>
        <v>AOS</v>
      </c>
      <c r="F48" s="2" cm="1">
        <f t="array" aca="1" ref="F48" ca="1">_FV(table1[[#This Row],[DataField]],"Price")</f>
        <v>64.09</v>
      </c>
      <c r="G48" s="2" cm="1">
        <f t="array" aca="1" ref="G48" ca="1">_FV(table1[[#This Row],[DataField]],"52 week low",TRUE)</f>
        <v>58.83</v>
      </c>
      <c r="H48" s="2" cm="1">
        <f t="array" aca="1" ref="H48" ca="1">_FV(table1[[#This Row],[DataField]],"52 week high",TRUE)</f>
        <v>81.864999999999995</v>
      </c>
      <c r="I48" s="4" cm="1">
        <f t="array" aca="1" ref="I48" ca="1">_FV(table1[[#This Row],[DataField]],"P/E",TRUE)</f>
        <v>16.6584</v>
      </c>
      <c r="J48" s="2" t="str">
        <f ca="1">IF(table1[[#This Row],[Price]] &lt; (table1[[#This Row],[52Low]] * 0.25) + table1[[#This Row],[52Low]],  "TRUE", "FALSE")</f>
        <v>TRUE</v>
      </c>
      <c r="K48" s="2" t="str">
        <f ca="1">IF(table1[[#This Row],[Price]] &lt; (table1[[#This Row],[52Low]] * 0.1) + table1[[#This Row],[52Low]],  "TRUE", "FALSE")</f>
        <v>TRUE</v>
      </c>
      <c r="L48" s="6" cm="1">
        <f t="array" aca="1" ref="L48" ca="1">_FV(table1[[#This Row],[DataField]],"Market cap",TRUE)</f>
        <v>8859788782</v>
      </c>
    </row>
    <row r="49" spans="1:12" x14ac:dyDescent="0.2">
      <c r="A49" t="e" vm="49">
        <v>#VALUE!</v>
      </c>
      <c r="B49" t="str" cm="1">
        <f t="array" aca="1" ref="B49" ca="1">_FV(table1[[#This Row],[DataField]],"Ticker symbol",TRUE)</f>
        <v>AVGO</v>
      </c>
      <c r="F49" s="2" cm="1">
        <f t="array" aca="1" ref="F49" ca="1">_FV(table1[[#This Row],[DataField]],"Price")</f>
        <v>310.51</v>
      </c>
      <c r="G49" s="2" cm="1">
        <f t="array" aca="1" ref="G49" ca="1">_FV(table1[[#This Row],[DataField]],"52 week low",TRUE)</f>
        <v>138.1</v>
      </c>
      <c r="H49" s="2" cm="1">
        <f t="array" aca="1" ref="H49" ca="1">_FV(table1[[#This Row],[DataField]],"52 week high",TRUE)</f>
        <v>414.61</v>
      </c>
      <c r="I49" s="4" cm="1">
        <f t="array" aca="1" ref="I49" ca="1">_FV(table1[[#This Row],[DataField]],"P/E",TRUE)</f>
        <v>67.052400000000006</v>
      </c>
      <c r="J49" s="2" t="str">
        <f ca="1">IF(table1[[#This Row],[Price]] &lt; (table1[[#This Row],[52Low]] * 0.25) + table1[[#This Row],[52Low]],  "TRUE", "FALSE")</f>
        <v>FALSE</v>
      </c>
      <c r="K49" s="2" t="str">
        <f ca="1">IF(table1[[#This Row],[Price]] &lt; (table1[[#This Row],[52Low]] * 0.1) + table1[[#This Row],[52Low]],  "TRUE", "FALSE")</f>
        <v>FALSE</v>
      </c>
      <c r="L49" s="6" cm="1">
        <f t="array" aca="1" ref="L49" ca="1">_FV(table1[[#This Row],[DataField]],"Market cap",TRUE)</f>
        <v>1470161760680</v>
      </c>
    </row>
    <row r="50" spans="1:12" x14ac:dyDescent="0.2">
      <c r="A50" t="e" vm="50">
        <v>#VALUE!</v>
      </c>
      <c r="B50" t="str" cm="1">
        <f t="array" aca="1" ref="B50" ca="1">_FV(table1[[#This Row],[DataField]],"Ticker symbol",TRUE)</f>
        <v>AWK</v>
      </c>
      <c r="F50" s="2" cm="1">
        <f t="array" aca="1" ref="F50" ca="1">_FV(table1[[#This Row],[DataField]],"Price")</f>
        <v>135.79</v>
      </c>
      <c r="G50" s="2" cm="1">
        <f t="array" aca="1" ref="G50" ca="1">_FV(table1[[#This Row],[DataField]],"52 week low",TRUE)</f>
        <v>121.27500000000001</v>
      </c>
      <c r="H50" s="2" cm="1">
        <f t="array" aca="1" ref="H50" ca="1">_FV(table1[[#This Row],[DataField]],"52 week high",TRUE)</f>
        <v>155.5</v>
      </c>
      <c r="I50" s="4" cm="1">
        <f t="array" aca="1" ref="I50" ca="1">_FV(table1[[#This Row],[DataField]],"P/E",TRUE)</f>
        <v>23.8337</v>
      </c>
      <c r="J50" s="2" t="str">
        <f ca="1">IF(table1[[#This Row],[Price]] &lt; (table1[[#This Row],[52Low]] * 0.25) + table1[[#This Row],[52Low]],  "TRUE", "FALSE")</f>
        <v>TRUE</v>
      </c>
      <c r="K50" s="2" t="str">
        <f ca="1">IF(table1[[#This Row],[Price]] &lt; (table1[[#This Row],[52Low]] * 0.1) + table1[[#This Row],[52Low]],  "TRUE", "FALSE")</f>
        <v>FALSE</v>
      </c>
      <c r="L50" s="6" cm="1">
        <f t="array" aca="1" ref="L50" ca="1">_FV(table1[[#This Row],[DataField]],"Market cap",TRUE)</f>
        <v>26507389373</v>
      </c>
    </row>
    <row r="51" spans="1:12" x14ac:dyDescent="0.2">
      <c r="A51" t="e" vm="51">
        <v>#VALUE!</v>
      </c>
      <c r="B51" t="str" cm="1">
        <f t="array" aca="1" ref="B51" ca="1">_FV(table1[[#This Row],[DataField]],"Ticker symbol",TRUE)</f>
        <v>BBY</v>
      </c>
      <c r="F51" s="2" cm="1">
        <f t="array" aca="1" ref="F51" ca="1">_FV(table1[[#This Row],[DataField]],"Price")</f>
        <v>62.8</v>
      </c>
      <c r="G51" s="2" cm="1">
        <f t="array" aca="1" ref="G51" ca="1">_FV(table1[[#This Row],[DataField]],"52 week low",TRUE)</f>
        <v>54.99</v>
      </c>
      <c r="H51" s="2" cm="1">
        <f t="array" aca="1" ref="H51" ca="1">_FV(table1[[#This Row],[DataField]],"52 week high",TRUE)</f>
        <v>84.99</v>
      </c>
      <c r="I51" s="4" cm="1">
        <f t="array" aca="1" ref="I51" ca="1">_FV(table1[[#This Row],[DataField]],"P/E",TRUE)</f>
        <v>12.717599999999999</v>
      </c>
      <c r="J51" s="2" t="str">
        <f ca="1">IF(table1[[#This Row],[Price]] &lt; (table1[[#This Row],[52Low]] * 0.25) + table1[[#This Row],[52Low]],  "TRUE", "FALSE")</f>
        <v>TRUE</v>
      </c>
      <c r="K51" s="2" t="str">
        <f ca="1">IF(table1[[#This Row],[Price]] &lt; (table1[[#This Row],[52Low]] * 0.1) + table1[[#This Row],[52Low]],  "TRUE", "FALSE")</f>
        <v>FALSE</v>
      </c>
      <c r="L51" s="6" cm="1">
        <f t="array" aca="1" ref="L51" ca="1">_FV(table1[[#This Row],[DataField]],"Market cap",TRUE)</f>
        <v>13132271280</v>
      </c>
    </row>
    <row r="52" spans="1:12" x14ac:dyDescent="0.2">
      <c r="A52" t="e" vm="52">
        <v>#VALUE!</v>
      </c>
      <c r="B52" t="str" cm="1">
        <f t="array" aca="1" ref="B52" ca="1">_FV(table1[[#This Row],[DataField]],"Ticker symbol",TRUE)</f>
        <v>BF.A</v>
      </c>
      <c r="F52" s="2" cm="1">
        <f t="array" aca="1" ref="F52" ca="1">_FV(table1[[#This Row],[DataField]],"Price")</f>
        <v>23.33</v>
      </c>
      <c r="G52" s="2" cm="1">
        <f t="array" aca="1" ref="G52" ca="1">_FV(table1[[#This Row],[DataField]],"52 week low",TRUE)</f>
        <v>23.01</v>
      </c>
      <c r="H52" s="2" cm="1">
        <f t="array" aca="1" ref="H52" ca="1">_FV(table1[[#This Row],[DataField]],"52 week high",TRUE)</f>
        <v>35.954999999999998</v>
      </c>
      <c r="I52" s="4" t="e" cm="1" vm="13">
        <f t="array" ref="I52">_FV(table1[[#This Row],[DataField]],"P/E",TRUE)</f>
        <v>#VALUE!</v>
      </c>
      <c r="J52" s="2" t="str">
        <f ca="1">IF(table1[[#This Row],[Price]] &lt; (table1[[#This Row],[52Low]] * 0.25) + table1[[#This Row],[52Low]],  "TRUE", "FALSE")</f>
        <v>TRUE</v>
      </c>
      <c r="K52" s="2" t="str">
        <f ca="1">IF(table1[[#This Row],[Price]] &lt; (table1[[#This Row],[52Low]] * 0.1) + table1[[#This Row],[52Low]],  "TRUE", "FALSE")</f>
        <v>TRUE</v>
      </c>
      <c r="L52" s="6" cm="1">
        <f t="array" aca="1" ref="L52" ca="1">_FV(table1[[#This Row],[DataField]],"Market cap",TRUE)</f>
        <v>10701554988</v>
      </c>
    </row>
    <row r="53" spans="1:12" x14ac:dyDescent="0.2">
      <c r="A53" t="e" vm="53">
        <v>#VALUE!</v>
      </c>
      <c r="B53" t="str" cm="1">
        <f t="array" aca="1" ref="B53" ca="1">_FV(table1[[#This Row],[DataField]],"Ticker symbol",TRUE)</f>
        <v>CAT</v>
      </c>
      <c r="F53" s="2" cm="1">
        <f t="array" aca="1" ref="F53" ca="1">_FV(table1[[#This Row],[DataField]],"Price")</f>
        <v>680.88</v>
      </c>
      <c r="G53" s="2" cm="1">
        <f t="array" aca="1" ref="G53" ca="1">_FV(table1[[#This Row],[DataField]],"52 week low",TRUE)</f>
        <v>267.3</v>
      </c>
      <c r="H53" s="2" cm="1">
        <f t="array" aca="1" ref="H53" ca="1">_FV(table1[[#This Row],[DataField]],"52 week high",TRUE)</f>
        <v>789.81</v>
      </c>
      <c r="I53" s="4" cm="1">
        <f t="array" aca="1" ref="I53" ca="1">_FV(table1[[#This Row],[DataField]],"P/E",TRUE)</f>
        <v>36.165999999999997</v>
      </c>
      <c r="J53" s="2" t="str">
        <f ca="1">IF(table1[[#This Row],[Price]] &lt; (table1[[#This Row],[52Low]] * 0.25) + table1[[#This Row],[52Low]],  "TRUE", "FALSE")</f>
        <v>FALSE</v>
      </c>
      <c r="K53" s="2" t="str">
        <f ca="1">IF(table1[[#This Row],[Price]] &lt; (table1[[#This Row],[52Low]] * 0.1) + table1[[#This Row],[52Low]],  "TRUE", "FALSE")</f>
        <v>FALSE</v>
      </c>
      <c r="L53" s="6" cm="1">
        <f t="array" aca="1" ref="L53" ca="1">_FV(table1[[#This Row],[DataField]],"Market cap",TRUE)</f>
        <v>316804816824</v>
      </c>
    </row>
    <row r="54" spans="1:12" x14ac:dyDescent="0.2">
      <c r="A54" t="e" vm="54">
        <v>#VALUE!</v>
      </c>
      <c r="B54" t="str" cm="1">
        <f t="array" aca="1" ref="B54" ca="1">_FV(table1[[#This Row],[DataField]],"Ticker symbol",TRUE)</f>
        <v>CCI</v>
      </c>
      <c r="F54" s="2" cm="1">
        <f t="array" aca="1" ref="F54" ca="1">_FV(table1[[#This Row],[DataField]],"Price")</f>
        <v>82.36</v>
      </c>
      <c r="G54" s="2" cm="1">
        <f t="array" aca="1" ref="G54" ca="1">_FV(table1[[#This Row],[DataField]],"52 week low",TRUE)</f>
        <v>77.010000000000005</v>
      </c>
      <c r="H54" s="2" cm="1">
        <f t="array" aca="1" ref="H54" ca="1">_FV(table1[[#This Row],[DataField]],"52 week high",TRUE)</f>
        <v>115.76</v>
      </c>
      <c r="I54" s="4" cm="1">
        <f t="array" aca="1" ref="I54" ca="1">_FV(table1[[#This Row],[DataField]],"P/E",TRUE)</f>
        <v>33.704000000000001</v>
      </c>
      <c r="J54" s="2" t="str">
        <f ca="1">IF(table1[[#This Row],[Price]] &lt; (table1[[#This Row],[52Low]] * 0.25) + table1[[#This Row],[52Low]],  "TRUE", "FALSE")</f>
        <v>TRUE</v>
      </c>
      <c r="K54" s="2" t="str">
        <f ca="1">IF(table1[[#This Row],[Price]] &lt; (table1[[#This Row],[52Low]] * 0.1) + table1[[#This Row],[52Low]],  "TRUE", "FALSE")</f>
        <v>TRUE</v>
      </c>
      <c r="L54" s="6" cm="1">
        <f t="array" aca="1" ref="L54" ca="1">_FV(table1[[#This Row],[DataField]],"Market cap",TRUE)</f>
        <v>35914758144</v>
      </c>
    </row>
    <row r="55" spans="1:12" x14ac:dyDescent="0.2">
      <c r="A55" t="e" vm="55">
        <v>#VALUE!</v>
      </c>
      <c r="B55" t="str" cm="1">
        <f t="array" aca="1" ref="B55" ca="1">_FV(table1[[#This Row],[DataField]],"Ticker symbol",TRUE)</f>
        <v>CL</v>
      </c>
      <c r="F55" s="2" cm="1">
        <f t="array" aca="1" ref="F55" ca="1">_FV(table1[[#This Row],[DataField]],"Price")</f>
        <v>85.12</v>
      </c>
      <c r="G55" s="2" cm="1">
        <f t="array" aca="1" ref="G55" ca="1">_FV(table1[[#This Row],[DataField]],"52 week low",TRUE)</f>
        <v>74.545000000000002</v>
      </c>
      <c r="H55" s="2" cm="1">
        <f t="array" aca="1" ref="H55" ca="1">_FV(table1[[#This Row],[DataField]],"52 week high",TRUE)</f>
        <v>99.33</v>
      </c>
      <c r="I55" s="4" cm="1">
        <f t="array" aca="1" ref="I55" ca="1">_FV(table1[[#This Row],[DataField]],"P/E",TRUE)</f>
        <v>32.616199999999999</v>
      </c>
      <c r="J55" s="2" t="str">
        <f ca="1">IF(table1[[#This Row],[Price]] &lt; (table1[[#This Row],[52Low]] * 0.25) + table1[[#This Row],[52Low]],  "TRUE", "FALSE")</f>
        <v>TRUE</v>
      </c>
      <c r="K55" s="2" t="str">
        <f ca="1">IF(table1[[#This Row],[Price]] &lt; (table1[[#This Row],[52Low]] * 0.1) + table1[[#This Row],[52Low]],  "TRUE", "FALSE")</f>
        <v>FALSE</v>
      </c>
      <c r="L55" s="6" cm="1">
        <f t="array" aca="1" ref="L55" ca="1">_FV(table1[[#This Row],[DataField]],"Market cap",TRUE)</f>
        <v>68227765760</v>
      </c>
    </row>
    <row r="56" spans="1:12" x14ac:dyDescent="0.2">
      <c r="A56" t="e" vm="56">
        <v>#VALUE!</v>
      </c>
      <c r="B56" t="str" cm="1">
        <f t="array" aca="1" ref="B56" ca="1">_FV(table1[[#This Row],[DataField]],"Ticker symbol",TRUE)</f>
        <v>CNI</v>
      </c>
      <c r="F56" s="2" cm="1">
        <f t="array" aca="1" ref="F56" ca="1">_FV(table1[[#This Row],[DataField]],"Price")</f>
        <v>98.41</v>
      </c>
      <c r="G56" s="2" cm="1">
        <f t="array" aca="1" ref="G56" ca="1">_FV(table1[[#This Row],[DataField]],"52 week low",TRUE)</f>
        <v>90.74</v>
      </c>
      <c r="H56" s="2" cm="1">
        <f t="array" aca="1" ref="H56" ca="1">_FV(table1[[#This Row],[DataField]],"52 week high",TRUE)</f>
        <v>113.08499999999999</v>
      </c>
      <c r="I56" s="4" cm="1">
        <f t="array" aca="1" ref="I56" ca="1">_FV(table1[[#This Row],[DataField]],"P/E",TRUE)</f>
        <v>17.971699999999998</v>
      </c>
      <c r="J56" s="2" t="str">
        <f ca="1">IF(table1[[#This Row],[Price]] &lt; (table1[[#This Row],[52Low]] * 0.25) + table1[[#This Row],[52Low]],  "TRUE", "FALSE")</f>
        <v>TRUE</v>
      </c>
      <c r="K56" s="2" t="str">
        <f ca="1">IF(table1[[#This Row],[Price]] &lt; (table1[[#This Row],[52Low]] * 0.1) + table1[[#This Row],[52Low]],  "TRUE", "FALSE")</f>
        <v>TRUE</v>
      </c>
      <c r="L56" s="6" cm="1">
        <f t="array" aca="1" ref="L56" ca="1">_FV(table1[[#This Row],[DataField]],"Market cap",TRUE)</f>
        <v>64942908000</v>
      </c>
    </row>
    <row r="57" spans="1:12" x14ac:dyDescent="0.2">
      <c r="A57" t="e" vm="57">
        <v>#VALUE!</v>
      </c>
      <c r="B57" t="str" cm="1">
        <f t="array" aca="1" ref="B57" ca="1">_FV(table1[[#This Row],[DataField]],"Ticker symbol",TRUE)</f>
        <v>COST</v>
      </c>
      <c r="F57" s="2" cm="1">
        <f t="array" aca="1" ref="F57" ca="1">_FV(table1[[#This Row],[DataField]],"Price")</f>
        <v>972.33</v>
      </c>
      <c r="G57" s="2" cm="1">
        <f t="array" aca="1" ref="G57" ca="1">_FV(table1[[#This Row],[DataField]],"52 week low",TRUE)</f>
        <v>844.06</v>
      </c>
      <c r="H57" s="2" cm="1">
        <f t="array" aca="1" ref="H57" ca="1">_FV(table1[[#This Row],[DataField]],"52 week high",TRUE)</f>
        <v>1067.08</v>
      </c>
      <c r="I57" s="4" cm="1">
        <f t="array" aca="1" ref="I57" ca="1">_FV(table1[[#This Row],[DataField]],"P/E",TRUE)</f>
        <v>52.084800000000001</v>
      </c>
      <c r="J57" s="2" t="str">
        <f ca="1">IF(table1[[#This Row],[Price]] &lt; (table1[[#This Row],[52Low]] * 0.25) + table1[[#This Row],[52Low]],  "TRUE", "FALSE")</f>
        <v>TRUE</v>
      </c>
      <c r="K57" s="2" t="str">
        <f ca="1">IF(table1[[#This Row],[Price]] &lt; (table1[[#This Row],[52Low]] * 0.1) + table1[[#This Row],[52Low]],  "TRUE", "FALSE")</f>
        <v>FALSE</v>
      </c>
      <c r="L57" s="6" cm="1">
        <f t="array" aca="1" ref="L57" ca="1">_FV(table1[[#This Row],[DataField]],"Market cap",TRUE)</f>
        <v>431376635325</v>
      </c>
    </row>
    <row r="58" spans="1:12" x14ac:dyDescent="0.2">
      <c r="A58" t="e" vm="58">
        <v>#VALUE!</v>
      </c>
      <c r="B58" t="str" cm="1">
        <f t="array" aca="1" ref="B58" ca="1">_FV(table1[[#This Row],[DataField]],"Ticker symbol",TRUE)</f>
        <v>CPB</v>
      </c>
      <c r="F58" s="2" cm="1">
        <f t="array" aca="1" ref="F58" ca="1">_FV(table1[[#This Row],[DataField]],"Price")</f>
        <v>21.07</v>
      </c>
      <c r="G58" s="2" cm="1">
        <f t="array" aca="1" ref="G58" ca="1">_FV(table1[[#This Row],[DataField]],"52 week low",TRUE)</f>
        <v>20.8</v>
      </c>
      <c r="H58" s="2" cm="1">
        <f t="array" aca="1" ref="H58" ca="1">_FV(table1[[#This Row],[DataField]],"52 week high",TRUE)</f>
        <v>40.590000000000003</v>
      </c>
      <c r="I58" s="4" cm="1">
        <f t="array" aca="1" ref="I58" ca="1">_FV(table1[[#This Row],[DataField]],"P/E",TRUE)</f>
        <v>10.909700000000001</v>
      </c>
      <c r="J58" s="2" t="str">
        <f ca="1">IF(table1[[#This Row],[Price]] &lt; (table1[[#This Row],[52Low]] * 0.25) + table1[[#This Row],[52Low]],  "TRUE", "FALSE")</f>
        <v>TRUE</v>
      </c>
      <c r="K58" s="2" t="str">
        <f ca="1">IF(table1[[#This Row],[Price]] &lt; (table1[[#This Row],[52Low]] * 0.1) + table1[[#This Row],[52Low]],  "TRUE", "FALSE")</f>
        <v>TRUE</v>
      </c>
      <c r="L58" s="6" cm="1">
        <f t="array" aca="1" ref="L58" ca="1">_FV(table1[[#This Row],[DataField]],"Market cap",TRUE)</f>
        <v>6281946755</v>
      </c>
    </row>
    <row r="59" spans="1:12" x14ac:dyDescent="0.2">
      <c r="A59" t="e" vm="59">
        <v>#VALUE!</v>
      </c>
      <c r="B59" t="str" cm="1">
        <f t="array" aca="1" ref="B59" ca="1">_FV(table1[[#This Row],[DataField]],"Ticker symbol",TRUE)</f>
        <v>D</v>
      </c>
      <c r="F59" s="2" cm="1">
        <f t="array" aca="1" ref="F59" ca="1">_FV(table1[[#This Row],[DataField]],"Price")</f>
        <v>59.38</v>
      </c>
      <c r="G59" s="2" cm="1">
        <f t="array" aca="1" ref="G59" ca="1">_FV(table1[[#This Row],[DataField]],"52 week low",TRUE)</f>
        <v>48.07</v>
      </c>
      <c r="H59" s="2" cm="1">
        <f t="array" aca="1" ref="H59" ca="1">_FV(table1[[#This Row],[DataField]],"52 week high",TRUE)</f>
        <v>67.569900000000004</v>
      </c>
      <c r="I59" s="4" cm="1">
        <f t="array" aca="1" ref="I59" ca="1">_FV(table1[[#This Row],[DataField]],"P/E",TRUE)</f>
        <v>17.1996</v>
      </c>
      <c r="J59" s="2" t="str">
        <f ca="1">IF(table1[[#This Row],[Price]] &lt; (table1[[#This Row],[52Low]] * 0.25) + table1[[#This Row],[52Low]],  "TRUE", "FALSE")</f>
        <v>TRUE</v>
      </c>
      <c r="K59" s="2" t="str">
        <f ca="1">IF(table1[[#This Row],[Price]] &lt; (table1[[#This Row],[52Low]] * 0.1) + table1[[#This Row],[52Low]],  "TRUE", "FALSE")</f>
        <v>FALSE</v>
      </c>
      <c r="L59" s="6" cm="1">
        <f t="array" aca="1" ref="L59" ca="1">_FV(table1[[#This Row],[DataField]],"Market cap",TRUE)</f>
        <v>52192923886</v>
      </c>
    </row>
    <row r="60" spans="1:12" x14ac:dyDescent="0.2">
      <c r="A60" t="e" vm="60">
        <v>#VALUE!</v>
      </c>
      <c r="B60" t="str" cm="1">
        <f t="array" aca="1" ref="B60" ca="1">_FV(table1[[#This Row],[DataField]],"Ticker symbol",TRUE)</f>
        <v>DE</v>
      </c>
      <c r="F60" s="2" cm="1">
        <f t="array" aca="1" ref="F60" ca="1">_FV(table1[[#This Row],[DataField]],"Price")</f>
        <v>559.73</v>
      </c>
      <c r="G60" s="2" cm="1">
        <f t="array" aca="1" ref="G60" ca="1">_FV(table1[[#This Row],[DataField]],"52 week low",TRUE)</f>
        <v>404.42</v>
      </c>
      <c r="H60" s="2" cm="1">
        <f t="array" aca="1" ref="H60" ca="1">_FV(table1[[#This Row],[DataField]],"52 week high",TRUE)</f>
        <v>674.18989999999997</v>
      </c>
      <c r="I60" s="4" cm="1">
        <f t="array" aca="1" ref="I60" ca="1">_FV(table1[[#This Row],[DataField]],"P/E",TRUE)</f>
        <v>32.000399999999999</v>
      </c>
      <c r="J60" s="2" t="str">
        <f ca="1">IF(table1[[#This Row],[Price]] &lt; (table1[[#This Row],[52Low]] * 0.25) + table1[[#This Row],[52Low]],  "TRUE", "FALSE")</f>
        <v>FALSE</v>
      </c>
      <c r="K60" s="2" t="str">
        <f ca="1">IF(table1[[#This Row],[Price]] &lt; (table1[[#This Row],[52Low]] * 0.1) + table1[[#This Row],[52Low]],  "TRUE", "FALSE")</f>
        <v>FALSE</v>
      </c>
      <c r="L60" s="6" cm="1">
        <f t="array" aca="1" ref="L60" ca="1">_FV(table1[[#This Row],[DataField]],"Market cap",TRUE)</f>
        <v>151187159029</v>
      </c>
    </row>
    <row r="61" spans="1:12" x14ac:dyDescent="0.2">
      <c r="A61" t="e" vm="61">
        <v>#VALUE!</v>
      </c>
      <c r="B61" t="str" cm="1">
        <f t="array" aca="1" ref="B61" ca="1">_FV(table1[[#This Row],[DataField]],"Ticker symbol",TRUE)</f>
        <v>DEO</v>
      </c>
      <c r="F61" s="2" cm="1">
        <f t="array" aca="1" ref="F61" ca="1">_FV(table1[[#This Row],[DataField]],"Price")</f>
        <v>73.87</v>
      </c>
      <c r="G61" s="2" cm="1">
        <f t="array" aca="1" ref="G61" ca="1">_FV(table1[[#This Row],[DataField]],"52 week low",TRUE)</f>
        <v>73.64</v>
      </c>
      <c r="H61" s="2" cm="1">
        <f t="array" aca="1" ref="H61" ca="1">_FV(table1[[#This Row],[DataField]],"52 week high",TRUE)</f>
        <v>116.69</v>
      </c>
      <c r="I61" s="4" cm="1">
        <f t="array" aca="1" ref="I61" ca="1">_FV(table1[[#This Row],[DataField]],"P/E",TRUE)</f>
        <v>17.063600000000001</v>
      </c>
      <c r="J61" s="2" t="str">
        <f ca="1">IF(table1[[#This Row],[Price]] &lt; (table1[[#This Row],[52Low]] * 0.25) + table1[[#This Row],[52Low]],  "TRUE", "FALSE")</f>
        <v>TRUE</v>
      </c>
      <c r="K61" s="2" t="str">
        <f ca="1">IF(table1[[#This Row],[Price]] &lt; (table1[[#This Row],[52Low]] * 0.1) + table1[[#This Row],[52Low]],  "TRUE", "FALSE")</f>
        <v>TRUE</v>
      </c>
      <c r="L61" s="6" cm="1">
        <f t="array" aca="1" ref="L61" ca="1">_FV(table1[[#This Row],[DataField]],"Market cap",TRUE)</f>
        <v>42803539700</v>
      </c>
    </row>
    <row r="62" spans="1:12" x14ac:dyDescent="0.2">
      <c r="A62" t="e" vm="62">
        <v>#VALUE!</v>
      </c>
      <c r="B62" t="str" cm="1">
        <f t="array" aca="1" ref="B62" ca="1">_FV(table1[[#This Row],[DataField]],"Ticker symbol",TRUE)</f>
        <v>DLR</v>
      </c>
      <c r="F62" s="2" cm="1">
        <f t="array" aca="1" ref="F62" ca="1">_FV(table1[[#This Row],[DataField]],"Price")</f>
        <v>173.3</v>
      </c>
      <c r="G62" s="2" cm="1">
        <f t="array" aca="1" ref="G62" ca="1">_FV(table1[[#This Row],[DataField]],"52 week low",TRUE)</f>
        <v>129.94999999999999</v>
      </c>
      <c r="H62" s="2" cm="1">
        <f t="array" aca="1" ref="H62" ca="1">_FV(table1[[#This Row],[DataField]],"52 week high",TRUE)</f>
        <v>184.79</v>
      </c>
      <c r="I62" s="4" cm="1">
        <f t="array" aca="1" ref="I62" ca="1">_FV(table1[[#This Row],[DataField]],"P/E",TRUE)</f>
        <v>50.237400000000001</v>
      </c>
      <c r="J62" s="2" t="str">
        <f ca="1">IF(table1[[#This Row],[Price]] &lt; (table1[[#This Row],[52Low]] * 0.25) + table1[[#This Row],[52Low]],  "TRUE", "FALSE")</f>
        <v>FALSE</v>
      </c>
      <c r="K62" s="2" t="str">
        <f ca="1">IF(table1[[#This Row],[Price]] &lt; (table1[[#This Row],[52Low]] * 0.1) + table1[[#This Row],[52Low]],  "TRUE", "FALSE")</f>
        <v>FALSE</v>
      </c>
      <c r="L62" s="6" cm="1">
        <f t="array" aca="1" ref="L62" ca="1">_FV(table1[[#This Row],[DataField]],"Market cap",TRUE)</f>
        <v>59548548820</v>
      </c>
    </row>
    <row r="63" spans="1:12" x14ac:dyDescent="0.2">
      <c r="A63" t="e" vm="63">
        <v>#VALUE!</v>
      </c>
      <c r="B63" t="str" cm="1">
        <f t="array" aca="1" ref="B63" ca="1">_FV(table1[[#This Row],[DataField]],"Ticker symbol",TRUE)</f>
        <v>DOW</v>
      </c>
      <c r="F63" s="2" cm="1">
        <f t="array" aca="1" ref="F63" ca="1">_FV(table1[[#This Row],[DataField]],"Price")</f>
        <v>36.65</v>
      </c>
      <c r="G63" s="2" cm="1">
        <f t="array" aca="1" ref="G63" ca="1">_FV(table1[[#This Row],[DataField]],"52 week low",TRUE)</f>
        <v>20.401900000000001</v>
      </c>
      <c r="H63" s="2" cm="1">
        <f t="array" aca="1" ref="H63" ca="1">_FV(table1[[#This Row],[DataField]],"52 week high",TRUE)</f>
        <v>38.58</v>
      </c>
      <c r="I63" s="4" t="e" cm="1" vm="13">
        <f t="array" ref="I63">_FV(table1[[#This Row],[DataField]],"P/E",TRUE)</f>
        <v>#VALUE!</v>
      </c>
      <c r="J63" s="2" t="str">
        <f ca="1">IF(table1[[#This Row],[Price]] &lt; (table1[[#This Row],[52Low]] * 0.25) + table1[[#This Row],[52Low]],  "TRUE", "FALSE")</f>
        <v>FALSE</v>
      </c>
      <c r="K63" s="2" t="str">
        <f ca="1">IF(table1[[#This Row],[Price]] &lt; (table1[[#This Row],[52Low]] * 0.1) + table1[[#This Row],[52Low]],  "TRUE", "FALSE")</f>
        <v>FALSE</v>
      </c>
      <c r="L63" s="6" cm="1">
        <f t="array" aca="1" ref="L63" ca="1">_FV(table1[[#This Row],[DataField]],"Market cap",TRUE)</f>
        <v>26374051010</v>
      </c>
    </row>
    <row r="64" spans="1:12" x14ac:dyDescent="0.2">
      <c r="A64" t="e" vm="64">
        <v>#VALUE!</v>
      </c>
      <c r="B64" t="str" cm="1">
        <f t="array" aca="1" ref="B64" ca="1">_FV(table1[[#This Row],[DataField]],"Ticker symbol",TRUE)</f>
        <v>DUK</v>
      </c>
      <c r="F64" s="2" cm="1">
        <f t="array" aca="1" ref="F64" ca="1">_FV(table1[[#This Row],[DataField]],"Price")</f>
        <v>126.81</v>
      </c>
      <c r="G64" s="2" cm="1">
        <f t="array" aca="1" ref="G64" ca="1">_FV(table1[[#This Row],[DataField]],"52 week low",TRUE)</f>
        <v>111.22</v>
      </c>
      <c r="H64" s="2" cm="1">
        <f t="array" aca="1" ref="H64" ca="1">_FV(table1[[#This Row],[DataField]],"52 week high",TRUE)</f>
        <v>134.49</v>
      </c>
      <c r="I64" s="4" cm="1">
        <f t="array" aca="1" ref="I64" ca="1">_FV(table1[[#This Row],[DataField]],"P/E",TRUE)</f>
        <v>20.060400000000001</v>
      </c>
      <c r="J64" s="2" t="str">
        <f ca="1">IF(table1[[#This Row],[Price]] &lt; (table1[[#This Row],[52Low]] * 0.25) + table1[[#This Row],[52Low]],  "TRUE", "FALSE")</f>
        <v>TRUE</v>
      </c>
      <c r="K64" s="2" t="str">
        <f ca="1">IF(table1[[#This Row],[Price]] &lt; (table1[[#This Row],[52Low]] * 0.1) + table1[[#This Row],[52Low]],  "TRUE", "FALSE")</f>
        <v>FALSE</v>
      </c>
      <c r="L64" s="6" cm="1">
        <f t="array" aca="1" ref="L64" ca="1">_FV(table1[[#This Row],[DataField]],"Market cap",TRUE)</f>
        <v>98616446829</v>
      </c>
    </row>
    <row r="65" spans="1:12" x14ac:dyDescent="0.2">
      <c r="A65" t="e" vm="65">
        <v>#VALUE!</v>
      </c>
      <c r="B65" t="str" cm="1">
        <f t="array" aca="1" ref="B65" ca="1">_FV(table1[[#This Row],[DataField]],"Ticker symbol",TRUE)</f>
        <v>ED</v>
      </c>
      <c r="F65" s="2" cm="1">
        <f t="array" aca="1" ref="F65" ca="1">_FV(table1[[#This Row],[DataField]],"Price")</f>
        <v>109.45</v>
      </c>
      <c r="G65" s="2" cm="1">
        <f t="array" aca="1" ref="G65" ca="1">_FV(table1[[#This Row],[DataField]],"52 week low",TRUE)</f>
        <v>94.96</v>
      </c>
      <c r="H65" s="2" cm="1">
        <f t="array" aca="1" ref="H65" ca="1">_FV(table1[[#This Row],[DataField]],"52 week high",TRUE)</f>
        <v>116.23</v>
      </c>
      <c r="I65" s="4" cm="1">
        <f t="array" aca="1" ref="I65" ca="1">_FV(table1[[#This Row],[DataField]],"P/E",TRUE)</f>
        <v>19.756699999999999</v>
      </c>
      <c r="J65" s="2" t="str">
        <f ca="1">IF(table1[[#This Row],[Price]] &lt; (table1[[#This Row],[52Low]] * 0.25) + table1[[#This Row],[52Low]],  "TRUE", "FALSE")</f>
        <v>TRUE</v>
      </c>
      <c r="K65" s="2" t="str">
        <f ca="1">IF(table1[[#This Row],[Price]] &lt; (table1[[#This Row],[52Low]] * 0.1) + table1[[#This Row],[52Low]],  "TRUE", "FALSE")</f>
        <v>FALSE</v>
      </c>
      <c r="L65" s="6" cm="1">
        <f t="array" aca="1" ref="L65" ca="1">_FV(table1[[#This Row],[DataField]],"Market cap",TRUE)</f>
        <v>39544580515</v>
      </c>
    </row>
    <row r="66" spans="1:12" x14ac:dyDescent="0.2">
      <c r="A66" t="e" vm="66">
        <v>#VALUE!</v>
      </c>
      <c r="B66" t="str" cm="1">
        <f t="array" aca="1" ref="B66" ca="1">_FV(table1[[#This Row],[DataField]],"Ticker symbol",TRUE)</f>
        <v>EOG</v>
      </c>
      <c r="F66" s="2" cm="1">
        <f t="array" aca="1" ref="F66" ca="1">_FV(table1[[#This Row],[DataField]],"Price")</f>
        <v>138.72999999999999</v>
      </c>
      <c r="G66" s="2" cm="1">
        <f t="array" aca="1" ref="G66" ca="1">_FV(table1[[#This Row],[DataField]],"52 week low",TRUE)</f>
        <v>101.5936</v>
      </c>
      <c r="H66" s="2" cm="1">
        <f t="array" aca="1" ref="H66" ca="1">_FV(table1[[#This Row],[DataField]],"52 week high",TRUE)</f>
        <v>140.91990000000001</v>
      </c>
      <c r="I66" s="4" cm="1">
        <f t="array" aca="1" ref="I66" ca="1">_FV(table1[[#This Row],[DataField]],"P/E",TRUE)</f>
        <v>15.2265</v>
      </c>
      <c r="J66" s="2" t="str">
        <f ca="1">IF(table1[[#This Row],[Price]] &lt; (table1[[#This Row],[52Low]] * 0.25) + table1[[#This Row],[52Low]],  "TRUE", "FALSE")</f>
        <v>FALSE</v>
      </c>
      <c r="K66" s="2" t="str">
        <f ca="1">IF(table1[[#This Row],[Price]] &lt; (table1[[#This Row],[52Low]] * 0.1) + table1[[#This Row],[52Low]],  "TRUE", "FALSE")</f>
        <v>FALSE</v>
      </c>
      <c r="L66" s="6" cm="1">
        <f t="array" aca="1" ref="L66" ca="1">_FV(table1[[#This Row],[DataField]],"Market cap",TRUE)</f>
        <v>74427465795</v>
      </c>
    </row>
    <row r="67" spans="1:12" x14ac:dyDescent="0.2">
      <c r="A67" t="e" vm="67">
        <v>#VALUE!</v>
      </c>
      <c r="B67" t="str" cm="1">
        <f t="array" aca="1" ref="B67" ca="1">_FV(table1[[#This Row],[DataField]],"Ticker symbol",TRUE)</f>
        <v>EQIX</v>
      </c>
      <c r="F67" s="2" cm="1">
        <f t="array" aca="1" ref="F67" ca="1">_FV(table1[[#This Row],[DataField]],"Price")</f>
        <v>959.16</v>
      </c>
      <c r="G67" s="2" cm="1">
        <f t="array" aca="1" ref="G67" ca="1">_FV(table1[[#This Row],[DataField]],"52 week low",TRUE)</f>
        <v>701.41</v>
      </c>
      <c r="H67" s="2" cm="1">
        <f t="array" aca="1" ref="H67" ca="1">_FV(table1[[#This Row],[DataField]],"52 week high",TRUE)</f>
        <v>992.9</v>
      </c>
      <c r="I67" s="4" cm="1">
        <f t="array" aca="1" ref="I67" ca="1">_FV(table1[[#This Row],[DataField]],"P/E",TRUE)</f>
        <v>70.838099999999997</v>
      </c>
      <c r="J67" s="2" t="str">
        <f ca="1">IF(table1[[#This Row],[Price]] &lt; (table1[[#This Row],[52Low]] * 0.25) + table1[[#This Row],[52Low]],  "TRUE", "FALSE")</f>
        <v>FALSE</v>
      </c>
      <c r="K67" s="2" t="str">
        <f ca="1">IF(table1[[#This Row],[Price]] &lt; (table1[[#This Row],[52Low]] * 0.1) + table1[[#This Row],[52Low]],  "TRUE", "FALSE")</f>
        <v>FALSE</v>
      </c>
      <c r="L67" s="6" cm="1">
        <f t="array" aca="1" ref="L67" ca="1">_FV(table1[[#This Row],[DataField]],"Market cap",TRUE)</f>
        <v>94242198658</v>
      </c>
    </row>
    <row r="68" spans="1:12" x14ac:dyDescent="0.2">
      <c r="A68" t="e" vm="68">
        <v>#VALUE!</v>
      </c>
      <c r="B68" t="str" cm="1">
        <f t="array" aca="1" ref="B68" ca="1">_FV(table1[[#This Row],[DataField]],"Ticker symbol",TRUE)</f>
        <v>FAST</v>
      </c>
      <c r="F68" s="2" cm="1">
        <f t="array" aca="1" ref="F68" ca="1">_FV(table1[[#This Row],[DataField]],"Price")</f>
        <v>43.76</v>
      </c>
      <c r="G68" s="2" cm="1">
        <f t="array" aca="1" ref="G68" ca="1">_FV(table1[[#This Row],[DataField]],"52 week low",TRUE)</f>
        <v>35.305</v>
      </c>
      <c r="H68" s="2" cm="1">
        <f t="array" aca="1" ref="H68" ca="1">_FV(table1[[#This Row],[DataField]],"52 week high",TRUE)</f>
        <v>50.63</v>
      </c>
      <c r="I68" s="4" cm="1">
        <f t="array" aca="1" ref="I68" ca="1">_FV(table1[[#This Row],[DataField]],"P/E",TRUE)</f>
        <v>40.663600000000002</v>
      </c>
      <c r="J68" s="2" t="str">
        <f ca="1">IF(table1[[#This Row],[Price]] &lt; (table1[[#This Row],[52Low]] * 0.25) + table1[[#This Row],[52Low]],  "TRUE", "FALSE")</f>
        <v>TRUE</v>
      </c>
      <c r="K68" s="2" t="str">
        <f ca="1">IF(table1[[#This Row],[Price]] &lt; (table1[[#This Row],[52Low]] * 0.1) + table1[[#This Row],[52Low]],  "TRUE", "FALSE")</f>
        <v>FALSE</v>
      </c>
      <c r="L68" s="6" cm="1">
        <f t="array" aca="1" ref="L68" ca="1">_FV(table1[[#This Row],[DataField]],"Market cap",TRUE)</f>
        <v>50250833280</v>
      </c>
    </row>
    <row r="69" spans="1:12" x14ac:dyDescent="0.2">
      <c r="A69" t="e" vm="69">
        <v>#VALUE!</v>
      </c>
      <c r="B69" t="str" cm="1">
        <f t="array" aca="1" ref="B69" ca="1">_FV(table1[[#This Row],[DataField]],"Ticker symbol",TRUE)</f>
        <v>FDX</v>
      </c>
      <c r="F69" s="2" cm="1">
        <f t="array" aca="1" ref="F69" ca="1">_FV(table1[[#This Row],[DataField]],"Price")</f>
        <v>358.85</v>
      </c>
      <c r="G69" s="2" cm="1">
        <f t="array" aca="1" ref="G69" ca="1">_FV(table1[[#This Row],[DataField]],"52 week low",TRUE)</f>
        <v>194.29499999999999</v>
      </c>
      <c r="H69" s="2" cm="1">
        <f t="array" aca="1" ref="H69" ca="1">_FV(table1[[#This Row],[DataField]],"52 week high",TRUE)</f>
        <v>392.86</v>
      </c>
      <c r="I69" s="4" cm="1">
        <f t="array" aca="1" ref="I69" ca="1">_FV(table1[[#This Row],[DataField]],"P/E",TRUE)</f>
        <v>19.658300000000001</v>
      </c>
      <c r="J69" s="2" t="str">
        <f ca="1">IF(table1[[#This Row],[Price]] &lt; (table1[[#This Row],[52Low]] * 0.25) + table1[[#This Row],[52Low]],  "TRUE", "FALSE")</f>
        <v>FALSE</v>
      </c>
      <c r="K69" s="2" t="str">
        <f ca="1">IF(table1[[#This Row],[Price]] &lt; (table1[[#This Row],[52Low]] * 0.1) + table1[[#This Row],[52Low]],  "TRUE", "FALSE")</f>
        <v>FALSE</v>
      </c>
      <c r="L69" s="6" cm="1">
        <f t="array" aca="1" ref="L69" ca="1">_FV(table1[[#This Row],[DataField]],"Market cap",TRUE)</f>
        <v>85624050180</v>
      </c>
    </row>
    <row r="70" spans="1:12" x14ac:dyDescent="0.2">
      <c r="A70" t="e" vm="70">
        <v>#VALUE!</v>
      </c>
      <c r="B70" t="str" cm="1">
        <f t="array" aca="1" ref="B70" ca="1">_FV(table1[[#This Row],[DataField]],"Ticker symbol",TRUE)</f>
        <v>FLO</v>
      </c>
      <c r="F70" s="2" cm="1">
        <f t="array" aca="1" ref="F70" ca="1">_FV(table1[[#This Row],[DataField]],"Price")</f>
        <v>8.18</v>
      </c>
      <c r="G70" s="2" cm="1">
        <f t="array" aca="1" ref="G70" ca="1">_FV(table1[[#This Row],[DataField]],"52 week low",TRUE)</f>
        <v>8.17</v>
      </c>
      <c r="H70" s="2" cm="1">
        <f t="array" aca="1" ref="H70" ca="1">_FV(table1[[#This Row],[DataField]],"52 week high",TRUE)</f>
        <v>20.23</v>
      </c>
      <c r="I70" s="4" cm="1">
        <f t="array" aca="1" ref="I70" ca="1">_FV(table1[[#This Row],[DataField]],"P/E",TRUE)</f>
        <v>21.179099999999998</v>
      </c>
      <c r="J70" s="2" t="str">
        <f ca="1">IF(table1[[#This Row],[Price]] &lt; (table1[[#This Row],[52Low]] * 0.25) + table1[[#This Row],[52Low]],  "TRUE", "FALSE")</f>
        <v>TRUE</v>
      </c>
      <c r="K70" s="2" t="str">
        <f ca="1">IF(table1[[#This Row],[Price]] &lt; (table1[[#This Row],[52Low]] * 0.1) + table1[[#This Row],[52Low]],  "TRUE", "FALSE")</f>
        <v>TRUE</v>
      </c>
      <c r="L70" s="6" cm="1">
        <f t="array" aca="1" ref="L70" ca="1">_FV(table1[[#This Row],[DataField]],"Market cap",TRUE)</f>
        <v>1730514174</v>
      </c>
    </row>
    <row r="71" spans="1:12" x14ac:dyDescent="0.2">
      <c r="A71" t="e" vm="71">
        <v>#VALUE!</v>
      </c>
      <c r="B71" t="str" cm="1">
        <f t="array" aca="1" ref="B71" ca="1">_FV(table1[[#This Row],[DataField]],"Ticker symbol",TRUE)</f>
        <v>GIS</v>
      </c>
      <c r="F71" s="2" cm="1">
        <f t="array" aca="1" ref="F71" ca="1">_FV(table1[[#This Row],[DataField]],"Price")</f>
        <v>37.01</v>
      </c>
      <c r="G71" s="2" cm="1">
        <f t="array" aca="1" ref="G71" ca="1">_FV(table1[[#This Row],[DataField]],"52 week low",TRUE)</f>
        <v>37.01</v>
      </c>
      <c r="H71" s="2" cm="1">
        <f t="array" aca="1" ref="H71" ca="1">_FV(table1[[#This Row],[DataField]],"52 week high",TRUE)</f>
        <v>62.61</v>
      </c>
      <c r="I71" s="4" cm="1">
        <f t="array" aca="1" ref="I71" ca="1">_FV(table1[[#This Row],[DataField]],"P/E",TRUE)</f>
        <v>8.0452999999999992</v>
      </c>
      <c r="J71" s="2" t="str">
        <f ca="1">IF(table1[[#This Row],[Price]] &lt; (table1[[#This Row],[52Low]] * 0.25) + table1[[#This Row],[52Low]],  "TRUE", "FALSE")</f>
        <v>TRUE</v>
      </c>
      <c r="K71" s="2" t="str">
        <f ca="1">IF(table1[[#This Row],[Price]] &lt; (table1[[#This Row],[52Low]] * 0.1) + table1[[#This Row],[52Low]],  "TRUE", "FALSE")</f>
        <v>TRUE</v>
      </c>
      <c r="L71" s="6" cm="1">
        <f t="array" aca="1" ref="L71" ca="1">_FV(table1[[#This Row],[DataField]],"Market cap",TRUE)</f>
        <v>19751541212</v>
      </c>
    </row>
    <row r="72" spans="1:12" x14ac:dyDescent="0.2">
      <c r="A72" t="e" vm="72">
        <v>#VALUE!</v>
      </c>
      <c r="B72" t="str" cm="1">
        <f t="array" aca="1" ref="B72" ca="1">_FV(table1[[#This Row],[DataField]],"Ticker symbol",TRUE)</f>
        <v>HRL</v>
      </c>
      <c r="F72" s="2" cm="1">
        <f t="array" aca="1" ref="F72" ca="1">_FV(table1[[#This Row],[DataField]],"Price")</f>
        <v>22.14</v>
      </c>
      <c r="G72" s="2" cm="1">
        <f t="array" aca="1" ref="G72" ca="1">_FV(table1[[#This Row],[DataField]],"52 week low",TRUE)</f>
        <v>21.03</v>
      </c>
      <c r="H72" s="2" cm="1">
        <f t="array" aca="1" ref="H72" ca="1">_FV(table1[[#This Row],[DataField]],"52 week high",TRUE)</f>
        <v>32.07</v>
      </c>
      <c r="I72" s="4" cm="1">
        <f t="array" aca="1" ref="I72" ca="1">_FV(table1[[#This Row],[DataField]],"P/E",TRUE)</f>
        <v>25.1707</v>
      </c>
      <c r="J72" s="2" t="str">
        <f ca="1">IF(table1[[#This Row],[Price]] &lt; (table1[[#This Row],[52Low]] * 0.25) + table1[[#This Row],[52Low]],  "TRUE", "FALSE")</f>
        <v>TRUE</v>
      </c>
      <c r="K72" s="2" t="str">
        <f ca="1">IF(table1[[#This Row],[Price]] &lt; (table1[[#This Row],[52Low]] * 0.1) + table1[[#This Row],[52Low]],  "TRUE", "FALSE")</f>
        <v>TRUE</v>
      </c>
      <c r="L72" s="6" cm="1">
        <f t="array" aca="1" ref="L72" ca="1">_FV(table1[[#This Row],[DataField]],"Market cap",TRUE)</f>
        <v>12183292188</v>
      </c>
    </row>
    <row r="73" spans="1:12" x14ac:dyDescent="0.2">
      <c r="A73" t="e" vm="73">
        <v>#VALUE!</v>
      </c>
      <c r="B73" t="str" cm="1">
        <f t="array" aca="1" ref="B73" ca="1">_FV(table1[[#This Row],[DataField]],"Ticker symbol",TRUE)</f>
        <v>INTC</v>
      </c>
      <c r="F73" s="2" cm="1">
        <f t="array" aca="1" ref="F73" ca="1">_FV(table1[[#This Row],[DataField]],"Price")</f>
        <v>43.87</v>
      </c>
      <c r="G73" s="2" cm="1">
        <f t="array" aca="1" ref="G73" ca="1">_FV(table1[[#This Row],[DataField]],"52 week low",TRUE)</f>
        <v>17.664999999999999</v>
      </c>
      <c r="H73" s="2" cm="1">
        <f t="array" aca="1" ref="H73" ca="1">_FV(table1[[#This Row],[DataField]],"52 week high",TRUE)</f>
        <v>54.6</v>
      </c>
      <c r="I73" s="4" cm="1">
        <f t="array" aca="1" ref="I73" ca="1">_FV(table1[[#This Row],[DataField]],"P/E",TRUE)</f>
        <v>0</v>
      </c>
      <c r="J73" s="2" t="str">
        <f ca="1">IF(table1[[#This Row],[Price]] &lt; (table1[[#This Row],[52Low]] * 0.25) + table1[[#This Row],[52Low]],  "TRUE", "FALSE")</f>
        <v>FALSE</v>
      </c>
      <c r="K73" s="2" t="str">
        <f ca="1">IF(table1[[#This Row],[Price]] &lt; (table1[[#This Row],[52Low]] * 0.1) + table1[[#This Row],[52Low]],  "TRUE", "FALSE")</f>
        <v>FALSE</v>
      </c>
      <c r="L73" s="6" cm="1">
        <f t="array" aca="1" ref="L73" ca="1">_FV(table1[[#This Row],[DataField]],"Market cap",TRUE)</f>
        <v>219130650000</v>
      </c>
    </row>
    <row r="74" spans="1:12" x14ac:dyDescent="0.2">
      <c r="A74" t="e" vm="74">
        <v>#VALUE!</v>
      </c>
      <c r="B74" t="str" cm="1">
        <f t="array" aca="1" ref="B74" ca="1">_FV(table1[[#This Row],[DataField]],"Ticker symbol",TRUE)</f>
        <v>INTU</v>
      </c>
      <c r="F74" s="2" cm="1">
        <f t="array" aca="1" ref="F74" ca="1">_FV(table1[[#This Row],[DataField]],"Price")</f>
        <v>455.56</v>
      </c>
      <c r="G74" s="2" cm="1">
        <f t="array" aca="1" ref="G74" ca="1">_FV(table1[[#This Row],[DataField]],"52 week low",TRUE)</f>
        <v>349</v>
      </c>
      <c r="H74" s="2" cm="1">
        <f t="array" aca="1" ref="H74" ca="1">_FV(table1[[#This Row],[DataField]],"52 week high",TRUE)</f>
        <v>813.7</v>
      </c>
      <c r="I74" s="4" cm="1">
        <f t="array" aca="1" ref="I74" ca="1">_FV(table1[[#This Row],[DataField]],"P/E",TRUE)</f>
        <v>29.633400000000002</v>
      </c>
      <c r="J74" s="2" t="str">
        <f ca="1">IF(table1[[#This Row],[Price]] &lt; (table1[[#This Row],[52Low]] * 0.25) + table1[[#This Row],[52Low]],  "TRUE", "FALSE")</f>
        <v>FALSE</v>
      </c>
      <c r="K74" s="2" t="str">
        <f ca="1">IF(table1[[#This Row],[Price]] &lt; (table1[[#This Row],[52Low]] * 0.1) + table1[[#This Row],[52Low]],  "TRUE", "FALSE")</f>
        <v>FALSE</v>
      </c>
      <c r="L74" s="6" cm="1">
        <f t="array" aca="1" ref="L74" ca="1">_FV(table1[[#This Row],[DataField]],"Market cap",TRUE)</f>
        <v>125985118000</v>
      </c>
    </row>
    <row r="75" spans="1:12" x14ac:dyDescent="0.2">
      <c r="A75" t="e" vm="75">
        <v>#VALUE!</v>
      </c>
      <c r="B75" t="str" cm="1">
        <f t="array" aca="1" ref="B75" ca="1">_FV(table1[[#This Row],[DataField]],"Ticker symbol",TRUE)</f>
        <v>IRM</v>
      </c>
      <c r="F75" s="2" cm="1">
        <f t="array" aca="1" ref="F75" ca="1">_FV(table1[[#This Row],[DataField]],"Price")</f>
        <v>99.61</v>
      </c>
      <c r="G75" s="2" cm="1">
        <f t="array" aca="1" ref="G75" ca="1">_FV(table1[[#This Row],[DataField]],"52 week low",TRUE)</f>
        <v>72.33</v>
      </c>
      <c r="H75" s="2" cm="1">
        <f t="array" aca="1" ref="H75" ca="1">_FV(table1[[#This Row],[DataField]],"52 week high",TRUE)</f>
        <v>115.24</v>
      </c>
      <c r="I75" s="4" cm="1">
        <f t="array" aca="1" ref="I75" ca="1">_FV(table1[[#This Row],[DataField]],"P/E",TRUE)</f>
        <v>205.976</v>
      </c>
      <c r="J75" s="2" t="str">
        <f ca="1">IF(table1[[#This Row],[Price]] &lt; (table1[[#This Row],[52Low]] * 0.25) + table1[[#This Row],[52Low]],  "TRUE", "FALSE")</f>
        <v>FALSE</v>
      </c>
      <c r="K75" s="2" t="str">
        <f ca="1">IF(table1[[#This Row],[Price]] &lt; (table1[[#This Row],[52Low]] * 0.1) + table1[[#This Row],[52Low]],  "TRUE", "FALSE")</f>
        <v>FALSE</v>
      </c>
      <c r="L75" s="6" cm="1">
        <f t="array" aca="1" ref="L75" ca="1">_FV(table1[[#This Row],[DataField]],"Market cap",TRUE)</f>
        <v>29468144272</v>
      </c>
    </row>
    <row r="76" spans="1:12" x14ac:dyDescent="0.2">
      <c r="A76" t="e" vm="76">
        <v>#VALUE!</v>
      </c>
      <c r="B76" t="str" cm="1">
        <f t="array" aca="1" ref="B76" ca="1">_FV(table1[[#This Row],[DataField]],"Ticker symbol",TRUE)</f>
        <v>ITW</v>
      </c>
      <c r="F76" s="2" cm="1">
        <f t="array" aca="1" ref="F76" ca="1">_FV(table1[[#This Row],[DataField]],"Price")</f>
        <v>257.68</v>
      </c>
      <c r="G76" s="2" cm="1">
        <f t="array" aca="1" ref="G76" ca="1">_FV(table1[[#This Row],[DataField]],"52 week low",TRUE)</f>
        <v>214.66</v>
      </c>
      <c r="H76" s="2" cm="1">
        <f t="array" aca="1" ref="H76" ca="1">_FV(table1[[#This Row],[DataField]],"52 week high",TRUE)</f>
        <v>303.15499999999997</v>
      </c>
      <c r="I76" s="4" cm="1">
        <f t="array" aca="1" ref="I76" ca="1">_FV(table1[[#This Row],[DataField]],"P/E",TRUE)</f>
        <v>24.8413</v>
      </c>
      <c r="J76" s="2" t="str">
        <f ca="1">IF(table1[[#This Row],[Price]] &lt; (table1[[#This Row],[52Low]] * 0.25) + table1[[#This Row],[52Low]],  "TRUE", "FALSE")</f>
        <v>TRUE</v>
      </c>
      <c r="K76" s="7" t="str">
        <f ca="1">IF(table1[[#This Row],[Price]] &lt; (table1[[#This Row],[52Low]] * 0.1) + table1[[#This Row],[52Low]],  "TRUE", "FALSE")</f>
        <v>FALSE</v>
      </c>
      <c r="L76" s="6" cm="1">
        <f t="array" aca="1" ref="L76" ca="1">_FV(table1[[#This Row],[DataField]],"Market cap",TRUE)</f>
        <v>74263376000</v>
      </c>
    </row>
    <row r="77" spans="1:12" x14ac:dyDescent="0.2">
      <c r="A77" t="e" vm="77">
        <v>#VALUE!</v>
      </c>
      <c r="B77" t="str" cm="1">
        <f t="array" aca="1" ref="B77" ca="1">_FV(table1[[#This Row],[DataField]],"Ticker symbol",TRUE)</f>
        <v>KO</v>
      </c>
      <c r="F77" s="2" cm="1">
        <f t="array" aca="1" ref="F77" ca="1">_FV(table1[[#This Row],[DataField]],"Price")</f>
        <v>74.75</v>
      </c>
      <c r="G77" s="2" cm="1">
        <f t="array" aca="1" ref="G77" ca="1">_FV(table1[[#This Row],[DataField]],"52 week low",TRUE)</f>
        <v>65.353800000000007</v>
      </c>
      <c r="H77" s="2" cm="1">
        <f t="array" aca="1" ref="H77" ca="1">_FV(table1[[#This Row],[DataField]],"52 week high",TRUE)</f>
        <v>82</v>
      </c>
      <c r="I77" s="4" cm="1">
        <f t="array" aca="1" ref="I77" ca="1">_FV(table1[[#This Row],[DataField]],"P/E",TRUE)</f>
        <v>24.596900000000002</v>
      </c>
      <c r="J77" s="2" t="str">
        <f ca="1">IF(table1[[#This Row],[Price]] &lt; (table1[[#This Row],[52Low]] * 0.25) + table1[[#This Row],[52Low]],  "TRUE", "FALSE")</f>
        <v>TRUE</v>
      </c>
      <c r="K77" s="2" t="str">
        <f ca="1">IF(table1[[#This Row],[Price]] &lt; (table1[[#This Row],[52Low]] * 0.1) + table1[[#This Row],[52Low]],  "TRUE", "FALSE")</f>
        <v>FALSE</v>
      </c>
      <c r="L77" s="6" cm="1">
        <f t="array" aca="1" ref="L77" ca="1">_FV(table1[[#This Row],[DataField]],"Market cap",TRUE)</f>
        <v>321735436750</v>
      </c>
    </row>
    <row r="78" spans="1:12" x14ac:dyDescent="0.2">
      <c r="A78" t="e" vm="78">
        <v>#VALUE!</v>
      </c>
      <c r="B78" t="str" cm="1">
        <f t="array" aca="1" ref="B78" ca="1">_FV(table1[[#This Row],[DataField]],"Ticker symbol",TRUE)</f>
        <v>LLY</v>
      </c>
      <c r="F78" s="2" cm="1">
        <f t="array" aca="1" ref="F78" ca="1">_FV(table1[[#This Row],[DataField]],"Price")</f>
        <v>906.7</v>
      </c>
      <c r="G78" s="2" cm="1">
        <f t="array" aca="1" ref="G78" ca="1">_FV(table1[[#This Row],[DataField]],"52 week low",TRUE)</f>
        <v>623.78</v>
      </c>
      <c r="H78" s="2" cm="1">
        <f t="array" aca="1" ref="H78" ca="1">_FV(table1[[#This Row],[DataField]],"52 week high",TRUE)</f>
        <v>1133.95</v>
      </c>
      <c r="I78" s="4" cm="1">
        <f t="array" aca="1" ref="I78" ca="1">_FV(table1[[#This Row],[DataField]],"P/E",TRUE)</f>
        <v>39.966799999999999</v>
      </c>
      <c r="J78" s="2" t="str">
        <f ca="1">IF(table1[[#This Row],[Price]] &lt; (table1[[#This Row],[52Low]] * 0.25) + table1[[#This Row],[52Low]],  "TRUE", "FALSE")</f>
        <v>FALSE</v>
      </c>
      <c r="K78" s="2" t="str">
        <f ca="1">IF(table1[[#This Row],[Price]] &lt; (table1[[#This Row],[52Low]] * 0.1) + table1[[#This Row],[52Low]],  "TRUE", "FALSE")</f>
        <v>FALSE</v>
      </c>
      <c r="L78" s="6" cm="1">
        <f t="array" aca="1" ref="L78" ca="1">_FV(table1[[#This Row],[DataField]],"Market cap",TRUE)</f>
        <v>855342154580</v>
      </c>
    </row>
    <row r="79" spans="1:12" x14ac:dyDescent="0.2">
      <c r="A79" t="e" vm="79">
        <v>#VALUE!</v>
      </c>
      <c r="B79" t="str" cm="1">
        <f t="array" aca="1" ref="B79" ca="1">_FV(table1[[#This Row],[DataField]],"Ticker symbol",TRUE)</f>
        <v>MAN</v>
      </c>
      <c r="F79" s="2" cm="1">
        <f t="array" aca="1" ref="F79" ca="1">_FV(table1[[#This Row],[DataField]],"Price")</f>
        <v>26.62</v>
      </c>
      <c r="G79" s="2" cm="1">
        <f t="array" aca="1" ref="G79" ca="1">_FV(table1[[#This Row],[DataField]],"52 week low",TRUE)</f>
        <v>25.15</v>
      </c>
      <c r="H79" s="2" cm="1">
        <f t="array" aca="1" ref="H79" ca="1">_FV(table1[[#This Row],[DataField]],"52 week high",TRUE)</f>
        <v>60.45</v>
      </c>
      <c r="I79" s="4" t="e" cm="1" vm="13">
        <f t="array" ref="I79">_FV(table1[[#This Row],[DataField]],"P/E",TRUE)</f>
        <v>#VALUE!</v>
      </c>
      <c r="J79" s="2" t="str">
        <f ca="1">IF(table1[[#This Row],[Price]] &lt; (table1[[#This Row],[52Low]] * 0.25) + table1[[#This Row],[52Low]],  "TRUE", "FALSE")</f>
        <v>TRUE</v>
      </c>
      <c r="K79" s="2" t="str">
        <f ca="1">IF(table1[[#This Row],[Price]] &lt; (table1[[#This Row],[52Low]] * 0.1) + table1[[#This Row],[52Low]],  "TRUE", "FALSE")</f>
        <v>TRUE</v>
      </c>
      <c r="L79" s="6" cm="1">
        <f t="array" aca="1" ref="L79" ca="1">_FV(table1[[#This Row],[DataField]],"Market cap",TRUE)</f>
        <v>1235691083</v>
      </c>
    </row>
    <row r="80" spans="1:12" x14ac:dyDescent="0.2">
      <c r="A80" t="e" vm="80">
        <v>#VALUE!</v>
      </c>
      <c r="B80" t="str" cm="1">
        <f t="array" aca="1" ref="B80" ca="1">_FV(table1[[#This Row],[DataField]],"Ticker symbol",TRUE)</f>
        <v>MCO</v>
      </c>
      <c r="F80" s="2" cm="1">
        <f t="array" aca="1" ref="F80" ca="1">_FV(table1[[#This Row],[DataField]],"Price")</f>
        <v>435.12</v>
      </c>
      <c r="G80" s="2" cm="1">
        <f t="array" aca="1" ref="G80" ca="1">_FV(table1[[#This Row],[DataField]],"52 week low",TRUE)</f>
        <v>378.71</v>
      </c>
      <c r="H80" s="2" cm="1">
        <f t="array" aca="1" ref="H80" ca="1">_FV(table1[[#This Row],[DataField]],"52 week high",TRUE)</f>
        <v>546.88</v>
      </c>
      <c r="I80" s="4" cm="1">
        <f t="array" aca="1" ref="I80" ca="1">_FV(table1[[#This Row],[DataField]],"P/E",TRUE)</f>
        <v>31.833300000000001</v>
      </c>
      <c r="J80" s="2" t="str">
        <f ca="1">IF(table1[[#This Row],[Price]] &lt; (table1[[#This Row],[52Low]] * 0.25) + table1[[#This Row],[52Low]],  "TRUE", "FALSE")</f>
        <v>TRUE</v>
      </c>
      <c r="K80" s="7" t="str">
        <f ca="1">IF(table1[[#This Row],[Price]] &lt; (table1[[#This Row],[52Low]] * 0.1) + table1[[#This Row],[52Low]],  "TRUE", "FALSE")</f>
        <v>FALSE</v>
      </c>
      <c r="L80" s="6" cm="1">
        <f t="array" aca="1" ref="L80" ca="1">_FV(table1[[#This Row],[DataField]],"Market cap",TRUE)</f>
        <v>77453056968</v>
      </c>
    </row>
    <row r="81" spans="1:12" x14ac:dyDescent="0.2">
      <c r="A81" t="e" vm="81">
        <v>#VALUE!</v>
      </c>
      <c r="B81" t="str" cm="1">
        <f t="array" aca="1" ref="B81" ca="1">_FV(table1[[#This Row],[DataField]],"Ticker symbol",TRUE)</f>
        <v>MDLZ</v>
      </c>
      <c r="F81" s="2" cm="1">
        <f t="array" aca="1" ref="F81" ca="1">_FV(table1[[#This Row],[DataField]],"Price")</f>
        <v>56.21</v>
      </c>
      <c r="G81" s="2" cm="1">
        <f t="array" aca="1" ref="G81" ca="1">_FV(table1[[#This Row],[DataField]],"52 week low",TRUE)</f>
        <v>51.200800000000001</v>
      </c>
      <c r="H81" s="2" cm="1">
        <f t="array" aca="1" ref="H81" ca="1">_FV(table1[[#This Row],[DataField]],"52 week high",TRUE)</f>
        <v>71.150000000000006</v>
      </c>
      <c r="I81" s="4" cm="1">
        <f t="array" aca="1" ref="I81" ca="1">_FV(table1[[#This Row],[DataField]],"P/E",TRUE)</f>
        <v>29.8965</v>
      </c>
      <c r="J81" s="2" t="str">
        <f ca="1">IF(table1[[#This Row],[Price]] &lt; (table1[[#This Row],[52Low]] * 0.25) + table1[[#This Row],[52Low]],  "TRUE", "FALSE")</f>
        <v>TRUE</v>
      </c>
      <c r="K81" s="2" t="str">
        <f ca="1">IF(table1[[#This Row],[Price]] &lt; (table1[[#This Row],[52Low]] * 0.1) + table1[[#This Row],[52Low]],  "TRUE", "FALSE")</f>
        <v>TRUE</v>
      </c>
      <c r="L81" s="6" cm="1">
        <f t="array" aca="1" ref="L81" ca="1">_FV(table1[[#This Row],[DataField]],"Market cap",TRUE)</f>
        <v>72052563660</v>
      </c>
    </row>
    <row r="82" spans="1:12" x14ac:dyDescent="0.2">
      <c r="A82" t="e" vm="82">
        <v>#VALUE!</v>
      </c>
      <c r="B82" t="str" cm="1">
        <f t="array" aca="1" ref="B82" ca="1">_FV(table1[[#This Row],[DataField]],"Ticker symbol",TRUE)</f>
        <v>META</v>
      </c>
      <c r="F82" s="2" cm="1">
        <f t="array" aca="1" ref="F82" ca="1">_FV(table1[[#This Row],[DataField]],"Price")</f>
        <v>593.66</v>
      </c>
      <c r="G82" s="2" cm="1">
        <f t="array" aca="1" ref="G82" ca="1">_FV(table1[[#This Row],[DataField]],"52 week low",TRUE)</f>
        <v>479.8</v>
      </c>
      <c r="H82" s="2" cm="1">
        <f t="array" aca="1" ref="H82" ca="1">_FV(table1[[#This Row],[DataField]],"52 week high",TRUE)</f>
        <v>796.25</v>
      </c>
      <c r="I82" s="4" cm="1">
        <f t="array" aca="1" ref="I82" ca="1">_FV(table1[[#This Row],[DataField]],"P/E",TRUE)</f>
        <v>20.755700000000001</v>
      </c>
      <c r="J82" s="2" t="str">
        <f ca="1">IF(table1[[#This Row],[Price]] &lt; (table1[[#This Row],[52Low]] * 0.25) + table1[[#This Row],[52Low]],  "TRUE", "FALSE")</f>
        <v>TRUE</v>
      </c>
      <c r="K82" s="2" t="str">
        <f ca="1">IF(table1[[#This Row],[Price]] &lt; (table1[[#This Row],[52Low]] * 0.1) + table1[[#This Row],[52Low]],  "TRUE", "FALSE")</f>
        <v>FALSE</v>
      </c>
      <c r="L82" s="6" cm="1">
        <f t="array" aca="1" ref="L82" ca="1">_FV(table1[[#This Row],[DataField]],"Market cap",TRUE)</f>
        <v>1501695621300</v>
      </c>
    </row>
    <row r="83" spans="1:12" x14ac:dyDescent="0.2">
      <c r="A83" t="e" vm="83">
        <v>#VALUE!</v>
      </c>
      <c r="B83" t="str" cm="1">
        <f t="array" aca="1" ref="B83" ca="1">_FV(table1[[#This Row],[DataField]],"Ticker symbol",TRUE)</f>
        <v>MMM</v>
      </c>
      <c r="F83" s="2" cm="1">
        <f t="array" aca="1" ref="F83" ca="1">_FV(table1[[#This Row],[DataField]],"Price")</f>
        <v>141.19999999999999</v>
      </c>
      <c r="G83" s="2" cm="1">
        <f t="array" aca="1" ref="G83" ca="1">_FV(table1[[#This Row],[DataField]],"52 week low",TRUE)</f>
        <v>121.97709999999999</v>
      </c>
      <c r="H83" s="2" cm="1">
        <f t="array" aca="1" ref="H83" ca="1">_FV(table1[[#This Row],[DataField]],"52 week high",TRUE)</f>
        <v>177.41</v>
      </c>
      <c r="I83" s="4" cm="1">
        <f t="array" aca="1" ref="I83" ca="1">_FV(table1[[#This Row],[DataField]],"P/E",TRUE)</f>
        <v>23.802399999999999</v>
      </c>
      <c r="J83" s="2" t="str">
        <f ca="1">IF(table1[[#This Row],[Price]] &lt; (table1[[#This Row],[52Low]] * 0.25) + table1[[#This Row],[52Low]],  "TRUE", "FALSE")</f>
        <v>TRUE</v>
      </c>
      <c r="K83" s="2" t="str">
        <f ca="1">IF(table1[[#This Row],[Price]] &lt; (table1[[#This Row],[52Low]] * 0.1) + table1[[#This Row],[52Low]],  "TRUE", "FALSE")</f>
        <v>FALSE</v>
      </c>
      <c r="L83" s="6" cm="1">
        <f t="array" aca="1" ref="L83" ca="1">_FV(table1[[#This Row],[DataField]],"Market cap",TRUE)</f>
        <v>74370040000</v>
      </c>
    </row>
    <row r="84" spans="1:12" x14ac:dyDescent="0.2">
      <c r="A84" t="e" vm="84">
        <v>#VALUE!</v>
      </c>
      <c r="B84" t="str" cm="1">
        <f t="array" aca="1" ref="B84" ca="1">_FV(table1[[#This Row],[DataField]],"Ticker symbol",TRUE)</f>
        <v>MO</v>
      </c>
      <c r="F84" s="2" cm="1">
        <f t="array" aca="1" ref="F84" ca="1">_FV(table1[[#This Row],[DataField]],"Price")</f>
        <v>64.47</v>
      </c>
      <c r="G84" s="2" cm="1">
        <f t="array" aca="1" ref="G84" ca="1">_FV(table1[[#This Row],[DataField]],"52 week low",TRUE)</f>
        <v>52.82</v>
      </c>
      <c r="H84" s="2" cm="1">
        <f t="array" aca="1" ref="H84" ca="1">_FV(table1[[#This Row],[DataField]],"52 week high",TRUE)</f>
        <v>70.510000000000005</v>
      </c>
      <c r="I84" s="4" cm="1">
        <f t="array" aca="1" ref="I84" ca="1">_FV(table1[[#This Row],[DataField]],"P/E",TRUE)</f>
        <v>15.8064</v>
      </c>
      <c r="J84" s="2" t="str">
        <f ca="1">IF(table1[[#This Row],[Price]] &lt; (table1[[#This Row],[52Low]] * 0.25) + table1[[#This Row],[52Low]],  "TRUE", "FALSE")</f>
        <v>TRUE</v>
      </c>
      <c r="K84" s="2" t="str">
        <f ca="1">IF(table1[[#This Row],[Price]] &lt; (table1[[#This Row],[52Low]] * 0.1) + table1[[#This Row],[52Low]],  "TRUE", "FALSE")</f>
        <v>FALSE</v>
      </c>
      <c r="L84" s="6" cm="1">
        <f t="array" aca="1" ref="L84" ca="1">_FV(table1[[#This Row],[DataField]],"Market cap",TRUE)</f>
        <v>107787264060</v>
      </c>
    </row>
    <row r="85" spans="1:12" x14ac:dyDescent="0.2">
      <c r="A85" t="e" vm="85">
        <v>#VALUE!</v>
      </c>
      <c r="B85" t="str" cm="1">
        <f t="array" aca="1" ref="B85" ca="1">_FV(table1[[#This Row],[DataField]],"Ticker symbol",TRUE)</f>
        <v>MRK</v>
      </c>
      <c r="F85" s="2" cm="1">
        <f t="array" aca="1" ref="F85" ca="1">_FV(table1[[#This Row],[DataField]],"Price")</f>
        <v>114.18</v>
      </c>
      <c r="G85" s="2" cm="1">
        <f t="array" aca="1" ref="G85" ca="1">_FV(table1[[#This Row],[DataField]],"52 week low",TRUE)</f>
        <v>73.31</v>
      </c>
      <c r="H85" s="2" cm="1">
        <f t="array" aca="1" ref="H85" ca="1">_FV(table1[[#This Row],[DataField]],"52 week high",TRUE)</f>
        <v>125.14</v>
      </c>
      <c r="I85" s="4" cm="1">
        <f t="array" aca="1" ref="I85" ca="1">_FV(table1[[#This Row],[DataField]],"P/E",TRUE)</f>
        <v>15.6953</v>
      </c>
      <c r="J85" s="2" t="str">
        <f ca="1">IF(table1[[#This Row],[Price]] &lt; (table1[[#This Row],[52Low]] * 0.25) + table1[[#This Row],[52Low]],  "TRUE", "FALSE")</f>
        <v>FALSE</v>
      </c>
      <c r="K85" s="2" t="str">
        <f ca="1">IF(table1[[#This Row],[Price]] &lt; (table1[[#This Row],[52Low]] * 0.1) + table1[[#This Row],[52Low]],  "TRUE", "FALSE")</f>
        <v>FALSE</v>
      </c>
      <c r="L85" s="6" cm="1">
        <f t="array" aca="1" ref="L85" ca="1">_FV(table1[[#This Row],[DataField]],"Market cap",TRUE)</f>
        <v>282297718560</v>
      </c>
    </row>
    <row r="86" spans="1:12" x14ac:dyDescent="0.2">
      <c r="A86" t="e" vm="86">
        <v>#VALUE!</v>
      </c>
      <c r="B86" t="str" cm="1">
        <f t="array" aca="1" ref="B86" ca="1">_FV(table1[[#This Row],[DataField]],"Ticker symbol",TRUE)</f>
        <v>NOC</v>
      </c>
      <c r="F86" s="2" cm="1">
        <f t="array" aca="1" ref="F86" ca="1">_FV(table1[[#This Row],[DataField]],"Price")</f>
        <v>706.95</v>
      </c>
      <c r="G86" s="2" cm="1">
        <f t="array" aca="1" ref="G86" ca="1">_FV(table1[[#This Row],[DataField]],"52 week low",TRUE)</f>
        <v>450.13</v>
      </c>
      <c r="H86" s="2" cm="1">
        <f t="array" aca="1" ref="H86" ca="1">_FV(table1[[#This Row],[DataField]],"52 week high",TRUE)</f>
        <v>774</v>
      </c>
      <c r="I86" s="4" cm="1">
        <f t="array" aca="1" ref="I86" ca="1">_FV(table1[[#This Row],[DataField]],"P/E",TRUE)</f>
        <v>24.5564</v>
      </c>
      <c r="J86" s="2" t="str">
        <f ca="1">IF(table1[[#This Row],[Price]] &lt; (table1[[#This Row],[52Low]] * 0.25) + table1[[#This Row],[52Low]],  "TRUE", "FALSE")</f>
        <v>FALSE</v>
      </c>
      <c r="K86" s="2" t="str">
        <f ca="1">IF(table1[[#This Row],[Price]] &lt; (table1[[#This Row],[52Low]] * 0.1) + table1[[#This Row],[52Low]],  "TRUE", "FALSE")</f>
        <v>FALSE</v>
      </c>
      <c r="L86" s="6" cm="1">
        <f t="array" aca="1" ref="L86" ca="1">_FV(table1[[#This Row],[DataField]],"Market cap",TRUE)</f>
        <v>100331475120</v>
      </c>
    </row>
    <row r="87" spans="1:12" x14ac:dyDescent="0.2">
      <c r="A87" t="e" vm="87">
        <v>#VALUE!</v>
      </c>
      <c r="B87" t="str" cm="1">
        <f t="array" aca="1" ref="B87" ca="1">_FV(table1[[#This Row],[DataField]],"Ticker symbol",TRUE)</f>
        <v>NSRGY</v>
      </c>
      <c r="F87" s="2" cm="1">
        <f t="array" aca="1" ref="F87" ca="1">_FV(table1[[#This Row],[DataField]],"Price")</f>
        <v>95.6</v>
      </c>
      <c r="G87" s="2" cm="1">
        <f t="array" aca="1" ref="G87" ca="1">_FV(table1[[#This Row],[DataField]],"52 week low",TRUE)</f>
        <v>86.98</v>
      </c>
      <c r="H87" s="2" cm="1">
        <f t="array" aca="1" ref="H87" ca="1">_FV(table1[[#This Row],[DataField]],"52 week high",TRUE)</f>
        <v>109.59</v>
      </c>
      <c r="I87" s="4" cm="1">
        <f t="array" aca="1" ref="I87" ca="1">_FV(table1[[#This Row],[DataField]],"P/E",TRUE)</f>
        <v>21.870899999999999</v>
      </c>
      <c r="J87" s="2" t="str">
        <f ca="1">IF(table1[[#This Row],[Price]] &lt; (table1[[#This Row],[52Low]] * 0.25) + table1[[#This Row],[52Low]],  "TRUE", "FALSE")</f>
        <v>TRUE</v>
      </c>
      <c r="K87" s="7" t="str">
        <f ca="1">IF(table1[[#This Row],[Price]] &lt; (table1[[#This Row],[52Low]] * 0.1) + table1[[#This Row],[52Low]],  "TRUE", "FALSE")</f>
        <v>TRUE</v>
      </c>
      <c r="L87" s="6" cm="1">
        <f t="array" aca="1" ref="L87" ca="1">_FV(table1[[#This Row],[DataField]],"Market cap",TRUE)</f>
        <v>264273656399</v>
      </c>
    </row>
    <row r="88" spans="1:12" x14ac:dyDescent="0.2">
      <c r="A88" t="e" vm="88">
        <v>#VALUE!</v>
      </c>
      <c r="B88" t="str" cm="1">
        <f t="array" aca="1" ref="B88" ca="1">_FV(table1[[#This Row],[DataField]],"Ticker symbol",TRUE)</f>
        <v>PFE</v>
      </c>
      <c r="F88" s="2" cm="1">
        <f t="array" aca="1" ref="F88" ca="1">_FV(table1[[#This Row],[DataField]],"Price")</f>
        <v>26.97</v>
      </c>
      <c r="G88" s="2" cm="1">
        <f t="array" aca="1" ref="G88" ca="1">_FV(table1[[#This Row],[DataField]],"52 week low",TRUE)</f>
        <v>20.914999999999999</v>
      </c>
      <c r="H88" s="2" cm="1">
        <f t="array" aca="1" ref="H88" ca="1">_FV(table1[[#This Row],[DataField]],"52 week high",TRUE)</f>
        <v>27.94</v>
      </c>
      <c r="I88" s="4" cm="1">
        <f t="array" aca="1" ref="I88" ca="1">_FV(table1[[#This Row],[DataField]],"P/E",TRUE)</f>
        <v>20.216000000000001</v>
      </c>
      <c r="J88" s="2" t="str">
        <f ca="1">IF(table1[[#This Row],[Price]] &lt; (table1[[#This Row],[52Low]] * 0.25) + table1[[#This Row],[52Low]],  "TRUE", "FALSE")</f>
        <v>FALSE</v>
      </c>
      <c r="K88" s="2" t="str">
        <f ca="1">IF(table1[[#This Row],[Price]] &lt; (table1[[#This Row],[52Low]] * 0.1) + table1[[#This Row],[52Low]],  "TRUE", "FALSE")</f>
        <v>FALSE</v>
      </c>
      <c r="L88" s="6" cm="1">
        <f t="array" aca="1" ref="L88" ca="1">_FV(table1[[#This Row],[DataField]],"Market cap",TRUE)</f>
        <v>153414961320</v>
      </c>
    </row>
    <row r="89" spans="1:12" ht="18" customHeight="1" x14ac:dyDescent="0.2">
      <c r="A89" t="e" vm="89">
        <v>#VALUE!</v>
      </c>
      <c r="B89" t="str" cm="1">
        <f t="array" aca="1" ref="B89" ca="1">_FV(table1[[#This Row],[DataField]],"Ticker symbol",TRUE)</f>
        <v>PM</v>
      </c>
      <c r="F89" s="2" cm="1">
        <f t="array" aca="1" ref="F89" ca="1">_FV(table1[[#This Row],[DataField]],"Price")</f>
        <v>163.11000000000001</v>
      </c>
      <c r="G89" s="2" cm="1">
        <f t="array" aca="1" ref="G89" ca="1">_FV(table1[[#This Row],[DataField]],"52 week low",TRUE)</f>
        <v>142.11000000000001</v>
      </c>
      <c r="H89" s="2" cm="1">
        <f t="array" aca="1" ref="H89" ca="1">_FV(table1[[#This Row],[DataField]],"52 week high",TRUE)</f>
        <v>191.3</v>
      </c>
      <c r="I89" s="4" cm="1">
        <f t="array" aca="1" ref="I89" ca="1">_FV(table1[[#This Row],[DataField]],"P/E",TRUE)</f>
        <v>22.492999999999999</v>
      </c>
      <c r="J89" s="2" t="str">
        <f ca="1">IF(table1[[#This Row],[Price]] &lt; (table1[[#This Row],[52Low]] * 0.25) + table1[[#This Row],[52Low]],  "TRUE", "FALSE")</f>
        <v>TRUE</v>
      </c>
      <c r="K89" s="7" t="str">
        <f ca="1">IF(table1[[#This Row],[Price]] &lt; (table1[[#This Row],[52Low]] * 0.1) + table1[[#This Row],[52Low]],  "TRUE", "FALSE")</f>
        <v>FALSE</v>
      </c>
      <c r="L89" s="6" cm="1">
        <f t="array" aca="1" ref="L89" ca="1">_FV(table1[[#This Row],[DataField]],"Market cap",TRUE)</f>
        <v>253910074800</v>
      </c>
    </row>
    <row r="90" spans="1:12" x14ac:dyDescent="0.2">
      <c r="A90" t="e" vm="90">
        <v>#VALUE!</v>
      </c>
      <c r="B90" t="str" cm="1">
        <f t="array" aca="1" ref="B90" ca="1">_FV(table1[[#This Row],[DataField]],"Ticker symbol",TRUE)</f>
        <v>PPG</v>
      </c>
      <c r="F90" s="2" cm="1">
        <f t="array" aca="1" ref="F90" ca="1">_FV(table1[[#This Row],[DataField]],"Price")</f>
        <v>97.22</v>
      </c>
      <c r="G90" s="2" cm="1">
        <f t="array" aca="1" ref="G90" ca="1">_FV(table1[[#This Row],[DataField]],"52 week low",TRUE)</f>
        <v>90.24</v>
      </c>
      <c r="H90" s="2" cm="1">
        <f t="array" aca="1" ref="H90" ca="1">_FV(table1[[#This Row],[DataField]],"52 week high",TRUE)</f>
        <v>133.43</v>
      </c>
      <c r="I90" s="4" cm="1">
        <f t="array" aca="1" ref="I90" ca="1">_FV(table1[[#This Row],[DataField]],"P/E",TRUE)</f>
        <v>14.2265</v>
      </c>
      <c r="J90" s="2" t="str">
        <f ca="1">IF(table1[[#This Row],[Price]] &lt; (table1[[#This Row],[52Low]] * 0.25) + table1[[#This Row],[52Low]],  "TRUE", "FALSE")</f>
        <v>TRUE</v>
      </c>
      <c r="K90" s="7" t="str">
        <f ca="1">IF(table1[[#This Row],[Price]] &lt; (table1[[#This Row],[52Low]] * 0.1) + table1[[#This Row],[52Low]],  "TRUE", "FALSE")</f>
        <v>TRUE</v>
      </c>
      <c r="L90" s="6" cm="1">
        <f t="array" aca="1" ref="L90" ca="1">_FV(table1[[#This Row],[DataField]],"Market cap",TRUE)</f>
        <v>21757699892</v>
      </c>
    </row>
    <row r="91" spans="1:12" x14ac:dyDescent="0.2">
      <c r="A91" t="e" vm="91">
        <v>#VALUE!</v>
      </c>
      <c r="B91" t="str" cm="1">
        <f t="array" aca="1" ref="B91" ca="1">_FV(table1[[#This Row],[DataField]],"Ticker symbol",TRUE)</f>
        <v>QCOM</v>
      </c>
      <c r="F91" s="2" cm="1">
        <f t="array" aca="1" ref="F91" ca="1">_FV(table1[[#This Row],[DataField]],"Price")</f>
        <v>129.9</v>
      </c>
      <c r="G91" s="2" cm="1">
        <f t="array" aca="1" ref="G91" ca="1">_FV(table1[[#This Row],[DataField]],"52 week low",TRUE)</f>
        <v>120.8019</v>
      </c>
      <c r="H91" s="2" cm="1">
        <f t="array" aca="1" ref="H91" ca="1">_FV(table1[[#This Row],[DataField]],"52 week high",TRUE)</f>
        <v>205.95</v>
      </c>
      <c r="I91" s="4" cm="1">
        <f t="array" aca="1" ref="I91" ca="1">_FV(table1[[#This Row],[DataField]],"P/E",TRUE)</f>
        <v>26.836600000000001</v>
      </c>
      <c r="J91" s="2" t="str">
        <f ca="1">IF(table1[[#This Row],[Price]] &lt; (table1[[#This Row],[52Low]] * 0.25) + table1[[#This Row],[52Low]],  "TRUE", "FALSE")</f>
        <v>TRUE</v>
      </c>
      <c r="K91" s="2" t="str">
        <f ca="1">IF(table1[[#This Row],[Price]] &lt; (table1[[#This Row],[52Low]] * 0.1) + table1[[#This Row],[52Low]],  "TRUE", "FALSE")</f>
        <v>TRUE</v>
      </c>
      <c r="L91" s="6" cm="1">
        <f t="array" aca="1" ref="L91" ca="1">_FV(table1[[#This Row],[DataField]],"Market cap",TRUE)</f>
        <v>138603300000</v>
      </c>
    </row>
    <row r="92" spans="1:12" x14ac:dyDescent="0.2">
      <c r="A92" t="e" vm="92">
        <v>#VALUE!</v>
      </c>
      <c r="B92" t="str" cm="1">
        <f t="array" aca="1" ref="B92" ca="1">_FV(table1[[#This Row],[DataField]],"Ticker symbol",TRUE)</f>
        <v>SBUX</v>
      </c>
      <c r="F92" s="2" cm="1">
        <f t="array" aca="1" ref="F92" ca="1">_FV(table1[[#This Row],[DataField]],"Price")</f>
        <v>92.55</v>
      </c>
      <c r="G92" s="2" cm="1">
        <f t="array" aca="1" ref="G92" ca="1">_FV(table1[[#This Row],[DataField]],"52 week low",TRUE)</f>
        <v>75.5</v>
      </c>
      <c r="H92" s="2" cm="1">
        <f t="array" aca="1" ref="H92" ca="1">_FV(table1[[#This Row],[DataField]],"52 week high",TRUE)</f>
        <v>104.82</v>
      </c>
      <c r="I92" s="4" cm="1">
        <f t="array" aca="1" ref="I92" ca="1">_FV(table1[[#This Row],[DataField]],"P/E",TRUE)</f>
        <v>79.829700000000003</v>
      </c>
      <c r="J92" s="2" t="str">
        <f ca="1">IF(table1[[#This Row],[Price]] &lt; (table1[[#This Row],[52Low]] * 0.25) + table1[[#This Row],[52Low]],  "TRUE", "FALSE")</f>
        <v>TRUE</v>
      </c>
      <c r="K92" s="7" t="str">
        <f ca="1">IF(table1[[#This Row],[Price]] &lt; (table1[[#This Row],[52Low]] * 0.1) + table1[[#This Row],[52Low]],  "TRUE", "FALSE")</f>
        <v>FALSE</v>
      </c>
      <c r="L92" s="6" cm="1">
        <f t="array" aca="1" ref="L92" ca="1">_FV(table1[[#This Row],[DataField]],"Market cap",TRUE)</f>
        <v>105442215000</v>
      </c>
    </row>
    <row r="93" spans="1:12" x14ac:dyDescent="0.2">
      <c r="A93" t="e" vm="93">
        <v>#VALUE!</v>
      </c>
      <c r="B93" t="str" cm="1">
        <f t="array" aca="1" ref="B93" ca="1">_FV(table1[[#This Row],[DataField]],"Ticker symbol",TRUE)</f>
        <v>SCHW</v>
      </c>
      <c r="F93" s="2" cm="1">
        <f t="array" aca="1" ref="F93" ca="1">_FV(table1[[#This Row],[DataField]],"Price")</f>
        <v>94.66</v>
      </c>
      <c r="G93" s="2" cm="1">
        <f t="array" aca="1" ref="G93" ca="1">_FV(table1[[#This Row],[DataField]],"52 week low",TRUE)</f>
        <v>65.88</v>
      </c>
      <c r="H93" s="2" cm="1">
        <f t="array" aca="1" ref="H93" ca="1">_FV(table1[[#This Row],[DataField]],"52 week high",TRUE)</f>
        <v>107.5</v>
      </c>
      <c r="I93" s="4" cm="1">
        <f t="array" aca="1" ref="I93" ca="1">_FV(table1[[#This Row],[DataField]],"P/E",TRUE)</f>
        <v>20.157499999999999</v>
      </c>
      <c r="J93" s="2" t="str">
        <f ca="1">IF(table1[[#This Row],[Price]] &lt; (table1[[#This Row],[52Low]] * 0.25) + table1[[#This Row],[52Low]],  "TRUE", "FALSE")</f>
        <v>FALSE</v>
      </c>
      <c r="K93" s="2" t="str">
        <f ca="1">IF(table1[[#This Row],[Price]] &lt; (table1[[#This Row],[52Low]] * 0.1) + table1[[#This Row],[52Low]],  "TRUE", "FALSE")</f>
        <v>FALSE</v>
      </c>
      <c r="L93" s="6" cm="1">
        <f t="array" aca="1" ref="L93" ca="1">_FV(table1[[#This Row],[DataField]],"Market cap",TRUE)</f>
        <v>165864198600</v>
      </c>
    </row>
    <row r="94" spans="1:12" x14ac:dyDescent="0.2">
      <c r="A94" t="e" vm="94">
        <v>#VALUE!</v>
      </c>
      <c r="B94" t="str" cm="1">
        <f t="array" aca="1" ref="B94" ca="1">_FV(table1[[#This Row],[DataField]],"Ticker symbol",TRUE)</f>
        <v>SHW</v>
      </c>
      <c r="F94" s="2" cm="1">
        <f t="array" aca="1" ref="F94" ca="1">_FV(table1[[#This Row],[DataField]],"Price")</f>
        <v>303.52999999999997</v>
      </c>
      <c r="G94" s="2" cm="1">
        <f t="array" aca="1" ref="G94" ca="1">_FV(table1[[#This Row],[DataField]],"52 week low",TRUE)</f>
        <v>301.58</v>
      </c>
      <c r="H94" s="2" cm="1">
        <f t="array" aca="1" ref="H94" ca="1">_FV(table1[[#This Row],[DataField]],"52 week high",TRUE)</f>
        <v>379.65</v>
      </c>
      <c r="I94" s="4" cm="1">
        <f t="array" aca="1" ref="I94" ca="1">_FV(table1[[#This Row],[DataField]],"P/E",TRUE)</f>
        <v>30.258600000000001</v>
      </c>
      <c r="J94" s="2" t="str">
        <f ca="1">IF(table1[[#This Row],[Price]] &lt; (table1[[#This Row],[52Low]] * 0.25) + table1[[#This Row],[52Low]],  "TRUE", "FALSE")</f>
        <v>TRUE</v>
      </c>
      <c r="K94" s="2" t="str">
        <f ca="1">IF(table1[[#This Row],[Price]] &lt; (table1[[#This Row],[52Low]] * 0.1) + table1[[#This Row],[52Low]],  "TRUE", "FALSE")</f>
        <v>TRUE</v>
      </c>
      <c r="L94" s="6" cm="1">
        <f t="array" aca="1" ref="L94" ca="1">_FV(table1[[#This Row],[DataField]],"Market cap",TRUE)</f>
        <v>75081909272</v>
      </c>
    </row>
    <row r="95" spans="1:12" x14ac:dyDescent="0.2">
      <c r="A95" t="e" vm="95">
        <v>#VALUE!</v>
      </c>
      <c r="B95" t="str" cm="1">
        <f t="array" aca="1" ref="B95" ca="1">_FV(table1[[#This Row],[DataField]],"Ticker symbol",TRUE)</f>
        <v>SNA</v>
      </c>
      <c r="F95" s="2" cm="1">
        <f t="array" aca="1" ref="F95" ca="1">_FV(table1[[#This Row],[DataField]],"Price")</f>
        <v>356.9</v>
      </c>
      <c r="G95" s="2" cm="1">
        <f t="array" aca="1" ref="G95" ca="1">_FV(table1[[#This Row],[DataField]],"52 week low",TRUE)</f>
        <v>289.81</v>
      </c>
      <c r="H95" s="2" cm="1">
        <f t="array" aca="1" ref="H95" ca="1">_FV(table1[[#This Row],[DataField]],"52 week high",TRUE)</f>
        <v>390.13</v>
      </c>
      <c r="I95" s="4" cm="1">
        <f t="array" aca="1" ref="I95" ca="1">_FV(table1[[#This Row],[DataField]],"P/E",TRUE)</f>
        <v>18.803000000000001</v>
      </c>
      <c r="J95" s="2" t="str">
        <f ca="1">IF(table1[[#This Row],[Price]] &lt; (table1[[#This Row],[52Low]] * 0.25) + table1[[#This Row],[52Low]],  "TRUE", "FALSE")</f>
        <v>TRUE</v>
      </c>
      <c r="K95" s="2" t="str">
        <f ca="1">IF(table1[[#This Row],[Price]] &lt; (table1[[#This Row],[52Low]] * 0.1) + table1[[#This Row],[52Low]],  "TRUE", "FALSE")</f>
        <v>FALSE</v>
      </c>
      <c r="L95" s="6" cm="1">
        <f t="array" aca="1" ref="L95" ca="1">_FV(table1[[#This Row],[DataField]],"Market cap",TRUE)</f>
        <v>18579264646</v>
      </c>
    </row>
    <row r="96" spans="1:12" x14ac:dyDescent="0.2">
      <c r="A96" t="e" vm="96">
        <v>#VALUE!</v>
      </c>
      <c r="B96" t="str" cm="1">
        <f t="array" aca="1" ref="B96" ca="1">_FV(table1[[#This Row],[DataField]],"Ticker symbol",TRUE)</f>
        <v>SO</v>
      </c>
      <c r="F96" s="2" cm="1">
        <f t="array" aca="1" ref="F96" ca="1">_FV(table1[[#This Row],[DataField]],"Price")</f>
        <v>93.39</v>
      </c>
      <c r="G96" s="2" cm="1">
        <f t="array" aca="1" ref="G96" ca="1">_FV(table1[[#This Row],[DataField]],"52 week low",TRUE)</f>
        <v>83.09</v>
      </c>
      <c r="H96" s="2" cm="1">
        <f t="array" aca="1" ref="H96" ca="1">_FV(table1[[#This Row],[DataField]],"52 week high",TRUE)</f>
        <v>100.83499999999999</v>
      </c>
      <c r="I96" s="4" cm="1">
        <f t="array" aca="1" ref="I96" ca="1">_FV(table1[[#This Row],[DataField]],"P/E",TRUE)</f>
        <v>24.567299999999999</v>
      </c>
      <c r="J96" s="2" t="str">
        <f ca="1">IF(table1[[#This Row],[Price]] &lt; (table1[[#This Row],[52Low]] * 0.25) + table1[[#This Row],[52Low]],  "TRUE", "FALSE")</f>
        <v>TRUE</v>
      </c>
      <c r="K96" s="2" t="str">
        <f ca="1">IF(table1[[#This Row],[Price]] &lt; (table1[[#This Row],[52Low]] * 0.1) + table1[[#This Row],[52Low]],  "TRUE", "FALSE")</f>
        <v>FALSE</v>
      </c>
      <c r="L96" s="6" cm="1">
        <f t="array" aca="1" ref="L96" ca="1">_FV(table1[[#This Row],[DataField]],"Market cap",TRUE)</f>
        <v>104539925490</v>
      </c>
    </row>
    <row r="97" spans="1:12" x14ac:dyDescent="0.2">
      <c r="A97" t="e" vm="97">
        <v>#VALUE!</v>
      </c>
      <c r="B97" t="str" cm="1">
        <f t="array" aca="1" ref="B97" ca="1">_FV(table1[[#This Row],[DataField]],"Ticker symbol",TRUE)</f>
        <v>SPGI</v>
      </c>
      <c r="F97" s="2" cm="1">
        <f t="array" aca="1" ref="F97" ca="1">_FV(table1[[#This Row],[DataField]],"Price")</f>
        <v>424.43</v>
      </c>
      <c r="G97" s="2" cm="1">
        <f t="array" aca="1" ref="G97" ca="1">_FV(table1[[#This Row],[DataField]],"52 week low",TRUE)</f>
        <v>381.60500000000002</v>
      </c>
      <c r="H97" s="2" cm="1">
        <f t="array" aca="1" ref="H97" ca="1">_FV(table1[[#This Row],[DataField]],"52 week high",TRUE)</f>
        <v>579.04999999999995</v>
      </c>
      <c r="I97" s="4" cm="1">
        <f t="array" aca="1" ref="I97" ca="1">_FV(table1[[#This Row],[DataField]],"P/E",TRUE)</f>
        <v>28.951000000000001</v>
      </c>
      <c r="J97" s="2" t="str">
        <f ca="1">IF(table1[[#This Row],[Price]] &lt; (table1[[#This Row],[52Low]] * 0.25) + table1[[#This Row],[52Low]],  "TRUE", "FALSE")</f>
        <v>TRUE</v>
      </c>
      <c r="K97" s="2" t="str">
        <f ca="1">IF(table1[[#This Row],[Price]] &lt; (table1[[#This Row],[52Low]] * 0.1) + table1[[#This Row],[52Low]],  "TRUE", "FALSE")</f>
        <v>FALSE</v>
      </c>
      <c r="L97" s="6" cm="1">
        <f t="array" aca="1" ref="L97" ca="1">_FV(table1[[#This Row],[DataField]],"Market cap",TRUE)</f>
        <v>126819684000</v>
      </c>
    </row>
    <row r="98" spans="1:12" x14ac:dyDescent="0.2">
      <c r="A98" t="e" vm="98">
        <v>#VALUE!</v>
      </c>
      <c r="B98" t="str" cm="1">
        <f t="array" aca="1" ref="B98" ca="1">_FV(table1[[#This Row],[DataField]],"Ticker symbol",TRUE)</f>
        <v>TSCO</v>
      </c>
      <c r="F98" s="2" cm="1">
        <f t="array" aca="1" ref="F98" ca="1">_FV(table1[[#This Row],[DataField]],"Price")</f>
        <v>45.77</v>
      </c>
      <c r="G98" s="2" cm="1">
        <f t="array" aca="1" ref="G98" ca="1">_FV(table1[[#This Row],[DataField]],"52 week low",TRUE)</f>
        <v>45.45</v>
      </c>
      <c r="H98" s="2" cm="1">
        <f t="array" aca="1" ref="H98" ca="1">_FV(table1[[#This Row],[DataField]],"52 week high",TRUE)</f>
        <v>63.989899999999999</v>
      </c>
      <c r="I98" s="4" cm="1">
        <f t="array" aca="1" ref="I98" ca="1">_FV(table1[[#This Row],[DataField]],"P/E",TRUE)</f>
        <v>22.2195</v>
      </c>
      <c r="J98" s="2" t="str">
        <f ca="1">IF(table1[[#This Row],[Price]] &lt; (table1[[#This Row],[52Low]] * 0.25) + table1[[#This Row],[52Low]],  "TRUE", "FALSE")</f>
        <v>TRUE</v>
      </c>
      <c r="K98" s="7" t="str">
        <f ca="1">IF(table1[[#This Row],[Price]] &lt; (table1[[#This Row],[52Low]] * 0.1) + table1[[#This Row],[52Low]],  "TRUE", "FALSE")</f>
        <v>TRUE</v>
      </c>
      <c r="L98" s="6" cm="1">
        <f t="array" aca="1" ref="L98" ca="1">_FV(table1[[#This Row],[DataField]],"Market cap",TRUE)</f>
        <v>24091099001</v>
      </c>
    </row>
    <row r="99" spans="1:12" x14ac:dyDescent="0.2">
      <c r="A99" t="e" vm="99">
        <v>#VALUE!</v>
      </c>
      <c r="B99" t="str" cm="1">
        <f t="array" aca="1" ref="B99" ca="1">_FV(table1[[#This Row],[DataField]],"Ticker symbol",TRUE)</f>
        <v>TSM</v>
      </c>
      <c r="F99" s="2" cm="1">
        <f t="array" aca="1" ref="F99" ca="1">_FV(table1[[#This Row],[DataField]],"Price")</f>
        <v>329.24</v>
      </c>
      <c r="G99" s="2" cm="1">
        <f t="array" aca="1" ref="G99" ca="1">_FV(table1[[#This Row],[DataField]],"52 week low",TRUE)</f>
        <v>134.25</v>
      </c>
      <c r="H99" s="2" cm="1">
        <f t="array" aca="1" ref="H99" ca="1">_FV(table1[[#This Row],[DataField]],"52 week high",TRUE)</f>
        <v>390.20499999999998</v>
      </c>
      <c r="I99" s="4" cm="1">
        <f t="array" aca="1" ref="I99" ca="1">_FV(table1[[#This Row],[DataField]],"P/E",TRUE)</f>
        <v>32.046199999999999</v>
      </c>
      <c r="J99" s="2" t="str">
        <f ca="1">IF(table1[[#This Row],[Price]] &lt; (table1[[#This Row],[52Low]] * 0.25) + table1[[#This Row],[52Low]],  "TRUE", "FALSE")</f>
        <v>FALSE</v>
      </c>
      <c r="K99" s="2" t="str">
        <f ca="1">IF(table1[[#This Row],[Price]] &lt; (table1[[#This Row],[52Low]] * 0.1) + table1[[#This Row],[52Low]],  "TRUE", "FALSE")</f>
        <v>FALSE</v>
      </c>
      <c r="L99" s="6" cm="1">
        <f t="array" aca="1" ref="L99" ca="1">_FV(table1[[#This Row],[DataField]],"Market cap",TRUE)</f>
        <v>1764604596150</v>
      </c>
    </row>
    <row r="100" spans="1:12" x14ac:dyDescent="0.2">
      <c r="A100" t="e" vm="100">
        <v>#VALUE!</v>
      </c>
      <c r="B100" t="str" cm="1">
        <f t="array" aca="1" ref="B100" ca="1">_FV(table1[[#This Row],[DataField]],"Ticker symbol",TRUE)</f>
        <v>UNP</v>
      </c>
      <c r="F100" s="2" cm="1">
        <f t="array" aca="1" ref="F100" ca="1">_FV(table1[[#This Row],[DataField]],"Price")</f>
        <v>234.92</v>
      </c>
      <c r="G100" s="2" cm="1">
        <f t="array" aca="1" ref="G100" ca="1">_FV(table1[[#This Row],[DataField]],"52 week low",TRUE)</f>
        <v>204.66</v>
      </c>
      <c r="H100" s="2" cm="1">
        <f t="array" aca="1" ref="H100" ca="1">_FV(table1[[#This Row],[DataField]],"52 week high",TRUE)</f>
        <v>268.14</v>
      </c>
      <c r="I100" s="4" cm="1">
        <f t="array" aca="1" ref="I100" ca="1">_FV(table1[[#This Row],[DataField]],"P/E",TRUE)</f>
        <v>19.542100000000001</v>
      </c>
      <c r="J100" s="2" t="str">
        <f ca="1">IF(table1[[#This Row],[Price]] &lt; (table1[[#This Row],[52Low]] * 0.25) + table1[[#This Row],[52Low]],  "TRUE", "FALSE")</f>
        <v>TRUE</v>
      </c>
      <c r="K100" s="2" t="str">
        <f ca="1">IF(table1[[#This Row],[Price]] &lt; (table1[[#This Row],[52Low]] * 0.1) + table1[[#This Row],[52Low]],  "TRUE", "FALSE")</f>
        <v>FALSE</v>
      </c>
      <c r="L100" s="6" cm="1">
        <f t="array" aca="1" ref="L100" ca="1">_FV(table1[[#This Row],[DataField]],"Market cap",TRUE)</f>
        <v>139399531180</v>
      </c>
    </row>
    <row r="101" spans="1:12" x14ac:dyDescent="0.2">
      <c r="A101" t="e" vm="101">
        <v>#VALUE!</v>
      </c>
      <c r="B101" t="str" cm="1">
        <f t="array" aca="1" ref="B101" ca="1">_FV(table1[[#This Row],[DataField]],"Ticker symbol",TRUE)</f>
        <v>VICI</v>
      </c>
      <c r="F101" s="2" cm="1">
        <f t="array" aca="1" ref="F101" ca="1">_FV(table1[[#This Row],[DataField]],"Price")</f>
        <v>26.83</v>
      </c>
      <c r="G101" s="2" cm="1">
        <f t="array" aca="1" ref="G101" ca="1">_FV(table1[[#This Row],[DataField]],"52 week low",TRUE)</f>
        <v>26.754999999999999</v>
      </c>
      <c r="H101" s="2" cm="1">
        <f t="array" aca="1" ref="H101" ca="1">_FV(table1[[#This Row],[DataField]],"52 week high",TRUE)</f>
        <v>34.01</v>
      </c>
      <c r="I101" s="4" cm="1">
        <f t="array" aca="1" ref="I101" ca="1">_FV(table1[[#This Row],[DataField]],"P/E",TRUE)</f>
        <v>10.712</v>
      </c>
      <c r="J101" s="2" t="str">
        <f ca="1">IF(table1[[#This Row],[Price]] &lt; (table1[[#This Row],[52Low]] * 0.25) + table1[[#This Row],[52Low]],  "TRUE", "FALSE")</f>
        <v>TRUE</v>
      </c>
      <c r="K101" s="7" t="str">
        <f ca="1">IF(table1[[#This Row],[Price]] &lt; (table1[[#This Row],[52Low]] * 0.1) + table1[[#This Row],[52Low]],  "TRUE", "FALSE")</f>
        <v>TRUE</v>
      </c>
      <c r="L101" s="6" cm="1">
        <f t="array" aca="1" ref="L101" ca="1">_FV(table1[[#This Row],[DataField]],"Market cap",TRUE)</f>
        <v>28680974870</v>
      </c>
    </row>
    <row r="102" spans="1:12" x14ac:dyDescent="0.2">
      <c r="A102" t="e" vm="102">
        <v>#VALUE!</v>
      </c>
      <c r="B102" t="str" cm="1">
        <f t="array" aca="1" ref="B102" ca="1">_FV(table1[[#This Row],[DataField]],"Ticker symbol",TRUE)</f>
        <v>ZTS</v>
      </c>
      <c r="F102" s="2" cm="1">
        <f t="array" aca="1" ref="F102" ca="1">_FV(table1[[#This Row],[DataField]],"Price")</f>
        <v>115.67</v>
      </c>
      <c r="G102" s="2" cm="1">
        <f t="array" aca="1" ref="G102" ca="1">_FV(table1[[#This Row],[DataField]],"52 week low",TRUE)</f>
        <v>114.36</v>
      </c>
      <c r="H102" s="2" cm="1">
        <f t="array" aca="1" ref="H102" ca="1">_FV(table1[[#This Row],[DataField]],"52 week high",TRUE)</f>
        <v>172.23</v>
      </c>
      <c r="I102" s="4" cm="1">
        <f t="array" aca="1" ref="I102" ca="1">_FV(table1[[#This Row],[DataField]],"P/E",TRUE)</f>
        <v>19.207899999999999</v>
      </c>
      <c r="J102" s="2" t="str">
        <f ca="1">IF(table1[[#This Row],[Price]] &lt; (table1[[#This Row],[52Low]] * 0.25) + table1[[#This Row],[52Low]],  "TRUE", "FALSE")</f>
        <v>TRUE</v>
      </c>
      <c r="K102" s="2" t="str">
        <f ca="1">IF(table1[[#This Row],[Price]] &lt; (table1[[#This Row],[52Low]] * 0.1) + table1[[#This Row],[52Low]],  "TRUE", "FALSE")</f>
        <v>TRUE</v>
      </c>
      <c r="L102" s="6" cm="1">
        <f t="array" aca="1" ref="L102" ca="1">_FV(table1[[#This Row],[DataField]],"Market cap",TRUE)</f>
        <v>48827511059</v>
      </c>
    </row>
  </sheetData>
  <phoneticPr fontId="2" type="noConversion"/>
  <conditionalFormatting sqref="B1:B1048576">
    <cfRule type="duplicateValues" dxfId="1" priority="1"/>
  </conditionalFormatting>
  <conditionalFormatting sqref="J1:K102 L95:L104857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2026-03-22T13:25:29Z</dcterms:modified>
</cp:coreProperties>
</file>