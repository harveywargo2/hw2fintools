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ADE268E1-D5BB-534E-901B-C6530A2EA19E}" xr6:coauthVersionLast="47" xr6:coauthVersionMax="47" xr10:uidLastSave="{00000000-0000-0000-0000-000000000000}"/>
  <bookViews>
    <workbookView xWindow="0" yWindow="760" windowWidth="34560" windowHeight="215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0" i="1" a="1"/>
  <c r="K30" i="1" s="1"/>
  <c r="K31" i="1" a="1"/>
  <c r="K31" i="1" s="1"/>
  <c r="K32" i="1" a="1"/>
  <c r="K32" i="1" s="1"/>
  <c r="K33" i="1" a="1"/>
  <c r="K33" i="1" s="1"/>
  <c r="K34" i="1" a="1"/>
  <c r="K34" i="1" s="1"/>
  <c r="K35" i="1" a="1"/>
  <c r="K35" i="1" s="1"/>
  <c r="K36" i="1" a="1"/>
  <c r="K36"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48" i="1" a="1"/>
  <c r="K48" i="1" s="1"/>
  <c r="K49" i="1" a="1"/>
  <c r="K49" i="1" s="1"/>
  <c r="K50" i="1" a="1"/>
  <c r="K50" i="1" s="1"/>
  <c r="K51" i="1" a="1"/>
  <c r="K51" i="1" s="1"/>
  <c r="K52" i="1" a="1"/>
  <c r="K52" i="1" s="1"/>
  <c r="K53" i="1" a="1"/>
  <c r="K53" i="1" s="1"/>
  <c r="K54" i="1" a="1"/>
  <c r="K54" i="1" s="1"/>
  <c r="K55" i="1" a="1"/>
  <c r="K55" i="1" s="1"/>
  <c r="K56" i="1" a="1"/>
  <c r="K56" i="1" s="1"/>
  <c r="K57" i="1" a="1"/>
  <c r="K57" i="1" s="1"/>
  <c r="K58" i="1" a="1"/>
  <c r="K58" i="1" s="1"/>
  <c r="K59" i="1" a="1"/>
  <c r="K59"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K77" i="1" a="1"/>
  <c r="K77" i="1" s="1"/>
  <c r="K78" i="1" a="1"/>
  <c r="K78" i="1" s="1"/>
  <c r="K79" i="1" a="1"/>
  <c r="K79" i="1" s="1"/>
  <c r="K80" i="1" a="1"/>
  <c r="K80" i="1" s="1"/>
  <c r="K81" i="1" a="1"/>
  <c r="K81" i="1" s="1"/>
  <c r="K82" i="1" a="1"/>
  <c r="K82" i="1" s="1"/>
  <c r="K83" i="1" a="1"/>
  <c r="K83" i="1" s="1"/>
  <c r="K84" i="1" a="1"/>
  <c r="K84" i="1" s="1"/>
  <c r="K85" i="1" a="1"/>
  <c r="K85" i="1" s="1"/>
  <c r="K86" i="1" a="1"/>
  <c r="K86" i="1" s="1"/>
  <c r="K87" i="1" a="1"/>
  <c r="K87" i="1" s="1"/>
  <c r="K88" i="1" a="1"/>
  <c r="K88" i="1" s="1"/>
  <c r="K89" i="1" a="1"/>
  <c r="K89" i="1" s="1"/>
  <c r="K90" i="1" a="1"/>
  <c r="K90" i="1" s="1"/>
  <c r="K91" i="1" a="1"/>
  <c r="K91" i="1" s="1"/>
  <c r="K92" i="1" a="1"/>
  <c r="K92" i="1" s="1"/>
  <c r="K93" i="1" a="1"/>
  <c r="K93" i="1" s="1"/>
  <c r="K94" i="1" a="1"/>
  <c r="K94" i="1" s="1"/>
  <c r="K2" i="1" a="1"/>
  <c r="K2" i="1" s="1"/>
  <c r="B94" i="1" a="1"/>
  <c r="B94" i="1" s="1"/>
  <c r="H94" i="1" a="1"/>
  <c r="H94" i="1" s="1"/>
  <c r="I94" i="1" a="1"/>
  <c r="I94" i="1" s="1"/>
  <c r="J94" i="1" a="1"/>
  <c r="J94" i="1" s="1"/>
  <c r="N94" i="1" a="1"/>
  <c r="N94" i="1" s="1"/>
  <c r="B93" i="1" a="1"/>
  <c r="B93" i="1" s="1"/>
  <c r="H93" i="1" a="1"/>
  <c r="H93" i="1" s="1"/>
  <c r="I93" i="1" a="1"/>
  <c r="I93" i="1" s="1"/>
  <c r="J93" i="1" a="1"/>
  <c r="J93" i="1" s="1"/>
  <c r="N93" i="1" a="1"/>
  <c r="N93" i="1" s="1"/>
  <c r="B92" i="1" a="1"/>
  <c r="B92" i="1" s="1"/>
  <c r="H92" i="1" a="1"/>
  <c r="H92" i="1" s="1"/>
  <c r="I92" i="1" a="1"/>
  <c r="I92" i="1" s="1"/>
  <c r="J92" i="1" a="1"/>
  <c r="J92" i="1" s="1"/>
  <c r="N92" i="1" a="1"/>
  <c r="N92" i="1" s="1"/>
  <c r="B89" i="1" a="1"/>
  <c r="B89" i="1" s="1"/>
  <c r="H89" i="1" a="1"/>
  <c r="H89" i="1" s="1"/>
  <c r="I89" i="1" a="1"/>
  <c r="I89" i="1" s="1"/>
  <c r="J89" i="1" a="1"/>
  <c r="J89" i="1" s="1"/>
  <c r="N89" i="1" a="1"/>
  <c r="N89" i="1" s="1"/>
  <c r="B69" i="1" a="1"/>
  <c r="B69" i="1" s="1"/>
  <c r="H69" i="1" a="1"/>
  <c r="H69" i="1" s="1"/>
  <c r="I69" i="1" a="1"/>
  <c r="I69" i="1" s="1"/>
  <c r="J69" i="1" a="1"/>
  <c r="J69" i="1" s="1"/>
  <c r="N69" i="1" a="1"/>
  <c r="N69" i="1" s="1"/>
  <c r="B18" i="1" a="1"/>
  <c r="B18" i="1" s="1"/>
  <c r="H18" i="1" a="1"/>
  <c r="H18" i="1" s="1"/>
  <c r="I18" i="1" a="1"/>
  <c r="I18" i="1" s="1"/>
  <c r="J18" i="1" a="1"/>
  <c r="J18" i="1" s="1"/>
  <c r="N18" i="1" a="1"/>
  <c r="N18" i="1" s="1"/>
  <c r="B7" i="1" a="1"/>
  <c r="B7" i="1" s="1"/>
  <c r="H7" i="1" a="1"/>
  <c r="H7" i="1" s="1"/>
  <c r="I7" i="1" a="1"/>
  <c r="I7" i="1" s="1"/>
  <c r="J7" i="1" a="1"/>
  <c r="J7" i="1" s="1"/>
  <c r="N7" i="1" a="1"/>
  <c r="N7" i="1" s="1"/>
  <c r="B81" i="1" a="1"/>
  <c r="B81" i="1" s="1"/>
  <c r="H81" i="1" a="1"/>
  <c r="H81" i="1" s="1"/>
  <c r="I81" i="1" a="1"/>
  <c r="I81" i="1" s="1"/>
  <c r="J81" i="1" a="1"/>
  <c r="J81" i="1" s="1"/>
  <c r="N81" i="1" a="1"/>
  <c r="N81" i="1" s="1"/>
  <c r="B77" i="1" a="1"/>
  <c r="B77" i="1" s="1"/>
  <c r="H77" i="1" a="1"/>
  <c r="H77" i="1" s="1"/>
  <c r="I77" i="1" a="1"/>
  <c r="I77" i="1" s="1"/>
  <c r="J77" i="1" a="1"/>
  <c r="J77" i="1" s="1"/>
  <c r="N77" i="1" a="1"/>
  <c r="N77" i="1" s="1"/>
  <c r="B12" i="1" a="1"/>
  <c r="B12" i="1" s="1"/>
  <c r="H12" i="1" a="1"/>
  <c r="H12" i="1" s="1"/>
  <c r="I12" i="1" a="1"/>
  <c r="I12" i="1" s="1"/>
  <c r="J12" i="1" a="1"/>
  <c r="J12" i="1" s="1"/>
  <c r="N12" i="1" a="1"/>
  <c r="N12" i="1" s="1"/>
  <c r="B56" i="1" a="1"/>
  <c r="B56" i="1" s="1"/>
  <c r="H56" i="1" a="1"/>
  <c r="H56" i="1" s="1"/>
  <c r="I56" i="1" a="1"/>
  <c r="I56" i="1" s="1"/>
  <c r="J56" i="1" a="1"/>
  <c r="J56" i="1" s="1"/>
  <c r="N56" i="1" a="1"/>
  <c r="N56" i="1" s="1"/>
  <c r="B91" i="1" a="1"/>
  <c r="B91" i="1" s="1"/>
  <c r="H91" i="1" a="1"/>
  <c r="H91" i="1" s="1"/>
  <c r="I91" i="1" a="1"/>
  <c r="I91" i="1" s="1"/>
  <c r="J91" i="1" a="1"/>
  <c r="J91" i="1" s="1"/>
  <c r="N91" i="1" a="1"/>
  <c r="N91" i="1" s="1"/>
  <c r="B62" i="1" a="1"/>
  <c r="B62" i="1" s="1"/>
  <c r="H62" i="1" a="1"/>
  <c r="H62" i="1" s="1"/>
  <c r="I62" i="1" a="1"/>
  <c r="I62" i="1" s="1"/>
  <c r="J62" i="1" a="1"/>
  <c r="J62" i="1" s="1"/>
  <c r="N62" i="1" a="1"/>
  <c r="N62" i="1" s="1"/>
  <c r="B6" i="1" a="1"/>
  <c r="B6" i="1" s="1"/>
  <c r="H6" i="1" a="1"/>
  <c r="H6" i="1" s="1"/>
  <c r="I6" i="1" a="1"/>
  <c r="I6" i="1" s="1"/>
  <c r="J6" i="1" a="1"/>
  <c r="J6" i="1" s="1"/>
  <c r="N6" i="1" a="1"/>
  <c r="N6" i="1" s="1"/>
  <c r="B60" i="1" a="1"/>
  <c r="B60" i="1" s="1"/>
  <c r="H60" i="1" a="1"/>
  <c r="H60" i="1" s="1"/>
  <c r="I60" i="1" a="1"/>
  <c r="I60" i="1" s="1"/>
  <c r="J60" i="1" a="1"/>
  <c r="J60" i="1" s="1"/>
  <c r="N60" i="1" a="1"/>
  <c r="N60" i="1" s="1"/>
  <c r="B10" i="1" a="1"/>
  <c r="B10" i="1" s="1"/>
  <c r="H10" i="1" a="1"/>
  <c r="H10" i="1" s="1"/>
  <c r="I10" i="1" a="1"/>
  <c r="I10" i="1" s="1"/>
  <c r="J10" i="1" a="1"/>
  <c r="J10" i="1" s="1"/>
  <c r="N10" i="1" a="1"/>
  <c r="N10" i="1" s="1"/>
  <c r="B90" i="1" a="1"/>
  <c r="B90" i="1" s="1"/>
  <c r="H90" i="1" a="1"/>
  <c r="H90" i="1" s="1"/>
  <c r="I90" i="1" a="1"/>
  <c r="I90" i="1" s="1"/>
  <c r="J90" i="1" a="1"/>
  <c r="J90" i="1" s="1"/>
  <c r="N90" i="1" a="1"/>
  <c r="N90" i="1" s="1"/>
  <c r="B87" i="1" a="1"/>
  <c r="B87" i="1" s="1"/>
  <c r="H87" i="1" a="1"/>
  <c r="H87" i="1" s="1"/>
  <c r="I87" i="1" a="1"/>
  <c r="I87" i="1" s="1"/>
  <c r="J87" i="1" a="1"/>
  <c r="J87" i="1" s="1"/>
  <c r="N87" i="1" a="1"/>
  <c r="N87" i="1" s="1"/>
  <c r="B84" i="1" a="1"/>
  <c r="B84" i="1" s="1"/>
  <c r="H84" i="1" a="1"/>
  <c r="H84" i="1" s="1"/>
  <c r="I84" i="1" a="1"/>
  <c r="I84" i="1" s="1"/>
  <c r="J84" i="1" a="1"/>
  <c r="J84" i="1" s="1"/>
  <c r="N84" i="1" a="1"/>
  <c r="N84" i="1" s="1"/>
  <c r="B85" i="1" a="1"/>
  <c r="B85" i="1" s="1"/>
  <c r="H85" i="1" a="1"/>
  <c r="H85" i="1" s="1"/>
  <c r="I85" i="1" a="1"/>
  <c r="I85" i="1" s="1"/>
  <c r="J85" i="1" a="1"/>
  <c r="J85" i="1" s="1"/>
  <c r="N85" i="1" a="1"/>
  <c r="N85" i="1" s="1"/>
  <c r="B79" i="1" a="1"/>
  <c r="B79" i="1" s="1"/>
  <c r="H79" i="1" a="1"/>
  <c r="H79" i="1" s="1"/>
  <c r="I79" i="1" a="1"/>
  <c r="I79" i="1" s="1"/>
  <c r="J79" i="1" a="1"/>
  <c r="J79" i="1" s="1"/>
  <c r="N79" i="1" a="1"/>
  <c r="N79" i="1" s="1"/>
  <c r="B75" i="1" a="1"/>
  <c r="B75" i="1" s="1"/>
  <c r="H75" i="1" a="1"/>
  <c r="H75" i="1" s="1"/>
  <c r="I75" i="1" a="1"/>
  <c r="I75" i="1" s="1"/>
  <c r="J75" i="1" a="1"/>
  <c r="J75" i="1" s="1"/>
  <c r="N75" i="1" a="1"/>
  <c r="N75" i="1" s="1"/>
  <c r="B74" i="1" a="1"/>
  <c r="B74" i="1" s="1"/>
  <c r="H74" i="1" a="1"/>
  <c r="H74" i="1" s="1"/>
  <c r="I74" i="1" a="1"/>
  <c r="I74" i="1" s="1"/>
  <c r="J74" i="1" a="1"/>
  <c r="J74" i="1" s="1"/>
  <c r="N74" i="1" a="1"/>
  <c r="N74" i="1" s="1"/>
  <c r="B72" i="1" a="1"/>
  <c r="B72" i="1" s="1"/>
  <c r="H72" i="1" a="1"/>
  <c r="H72" i="1" s="1"/>
  <c r="I72" i="1" a="1"/>
  <c r="I72" i="1" s="1"/>
  <c r="J72" i="1" a="1"/>
  <c r="J72" i="1" s="1"/>
  <c r="N72" i="1" a="1"/>
  <c r="N72" i="1" s="1"/>
  <c r="B71" i="1" a="1"/>
  <c r="B71" i="1" s="1"/>
  <c r="H71" i="1" a="1"/>
  <c r="H71" i="1" s="1"/>
  <c r="I71" i="1" a="1"/>
  <c r="I71" i="1" s="1"/>
  <c r="J71" i="1" a="1"/>
  <c r="J71" i="1" s="1"/>
  <c r="N71" i="1" a="1"/>
  <c r="N71" i="1" s="1"/>
  <c r="B70" i="1" a="1"/>
  <c r="B70" i="1" s="1"/>
  <c r="H70" i="1" a="1"/>
  <c r="H70" i="1" s="1"/>
  <c r="I70" i="1" a="1"/>
  <c r="I70" i="1" s="1"/>
  <c r="J70" i="1" a="1"/>
  <c r="J70" i="1" s="1"/>
  <c r="N70" i="1" a="1"/>
  <c r="N70" i="1" s="1"/>
  <c r="B65" i="1" a="1"/>
  <c r="B65" i="1" s="1"/>
  <c r="H65" i="1" a="1"/>
  <c r="H65" i="1" s="1"/>
  <c r="I65" i="1" a="1"/>
  <c r="I65" i="1" s="1"/>
  <c r="J65" i="1" a="1"/>
  <c r="J65" i="1" s="1"/>
  <c r="N65" i="1" a="1"/>
  <c r="N65" i="1" s="1"/>
  <c r="B61" i="1" a="1"/>
  <c r="B61" i="1" s="1"/>
  <c r="H61" i="1" a="1"/>
  <c r="H61" i="1" s="1"/>
  <c r="I61" i="1" a="1"/>
  <c r="I61" i="1" s="1"/>
  <c r="J61" i="1" a="1"/>
  <c r="J61" i="1" s="1"/>
  <c r="N61" i="1" a="1"/>
  <c r="N61" i="1" s="1"/>
  <c r="B54" i="1" a="1"/>
  <c r="B54" i="1" s="1"/>
  <c r="H54" i="1" a="1"/>
  <c r="H54" i="1" s="1"/>
  <c r="I54" i="1" a="1"/>
  <c r="I54" i="1" s="1"/>
  <c r="J54" i="1" a="1"/>
  <c r="J54" i="1" s="1"/>
  <c r="N54" i="1" a="1"/>
  <c r="N54" i="1" s="1"/>
  <c r="B49" i="1" a="1"/>
  <c r="B49" i="1" s="1"/>
  <c r="H49" i="1" a="1"/>
  <c r="H49" i="1" s="1"/>
  <c r="I49" i="1" a="1"/>
  <c r="I49" i="1" s="1"/>
  <c r="J49" i="1" a="1"/>
  <c r="J49" i="1" s="1"/>
  <c r="N49" i="1" a="1"/>
  <c r="N49" i="1" s="1"/>
  <c r="B48" i="1" a="1"/>
  <c r="B48" i="1" s="1"/>
  <c r="H48" i="1" a="1"/>
  <c r="H48" i="1" s="1"/>
  <c r="I48" i="1" a="1"/>
  <c r="I48" i="1" s="1"/>
  <c r="J48" i="1" a="1"/>
  <c r="J48" i="1" s="1"/>
  <c r="N48" i="1" a="1"/>
  <c r="N48" i="1" s="1"/>
  <c r="B45" i="1" a="1"/>
  <c r="B45" i="1" s="1"/>
  <c r="H45" i="1" a="1"/>
  <c r="H45" i="1" s="1"/>
  <c r="I45" i="1" a="1"/>
  <c r="I45" i="1" s="1"/>
  <c r="J45" i="1" a="1"/>
  <c r="J45" i="1" s="1"/>
  <c r="N45" i="1" a="1"/>
  <c r="N45" i="1" s="1"/>
  <c r="B44" i="1" a="1"/>
  <c r="B44" i="1" s="1"/>
  <c r="H44" i="1" a="1"/>
  <c r="H44" i="1" s="1"/>
  <c r="I44" i="1" a="1"/>
  <c r="I44" i="1" s="1"/>
  <c r="J44" i="1" a="1"/>
  <c r="J44" i="1" s="1"/>
  <c r="N44" i="1" a="1"/>
  <c r="N44" i="1" s="1"/>
  <c r="B42" i="1" a="1"/>
  <c r="B42" i="1" s="1"/>
  <c r="H42" i="1" a="1"/>
  <c r="H42" i="1" s="1"/>
  <c r="I42" i="1" a="1"/>
  <c r="I42" i="1" s="1"/>
  <c r="J42" i="1" a="1"/>
  <c r="J42" i="1" s="1"/>
  <c r="N42" i="1" a="1"/>
  <c r="N42" i="1" s="1"/>
  <c r="B39" i="1" a="1"/>
  <c r="B39" i="1" s="1"/>
  <c r="H39" i="1" a="1"/>
  <c r="H39" i="1" s="1"/>
  <c r="I39" i="1" a="1"/>
  <c r="I39" i="1" s="1"/>
  <c r="J39" i="1" a="1"/>
  <c r="J39" i="1" s="1"/>
  <c r="N39" i="1" a="1"/>
  <c r="N39" i="1" s="1"/>
  <c r="B37" i="1" a="1"/>
  <c r="B37" i="1" s="1"/>
  <c r="H37" i="1" a="1"/>
  <c r="H37" i="1" s="1"/>
  <c r="I37" i="1" a="1"/>
  <c r="I37" i="1" s="1"/>
  <c r="J37" i="1" a="1"/>
  <c r="J37" i="1" s="1"/>
  <c r="N37" i="1" a="1"/>
  <c r="N37" i="1" s="1"/>
  <c r="B36" i="1" a="1"/>
  <c r="B36" i="1" s="1"/>
  <c r="H36" i="1" a="1"/>
  <c r="H36" i="1" s="1"/>
  <c r="I36" i="1" a="1"/>
  <c r="I36" i="1" s="1"/>
  <c r="J36" i="1" a="1"/>
  <c r="J36" i="1" s="1"/>
  <c r="N36" i="1" a="1"/>
  <c r="N36" i="1" s="1"/>
  <c r="B35" i="1" a="1"/>
  <c r="B35" i="1" s="1"/>
  <c r="H35" i="1" a="1"/>
  <c r="H35" i="1" s="1"/>
  <c r="I35" i="1" a="1"/>
  <c r="I35" i="1" s="1"/>
  <c r="J35" i="1" a="1"/>
  <c r="J35" i="1" s="1"/>
  <c r="N35" i="1" a="1"/>
  <c r="N35" i="1" s="1"/>
  <c r="B34" i="1" a="1"/>
  <c r="B34" i="1" s="1"/>
  <c r="H34" i="1" a="1"/>
  <c r="H34" i="1" s="1"/>
  <c r="I34" i="1" a="1"/>
  <c r="I34" i="1" s="1"/>
  <c r="J34" i="1" a="1"/>
  <c r="J34" i="1" s="1"/>
  <c r="N34" i="1" a="1"/>
  <c r="N34" i="1" s="1"/>
  <c r="B30" i="1" a="1"/>
  <c r="B30" i="1" s="1"/>
  <c r="H30" i="1" a="1"/>
  <c r="H30" i="1" s="1"/>
  <c r="I30" i="1" a="1"/>
  <c r="I30" i="1" s="1"/>
  <c r="J30" i="1" a="1"/>
  <c r="J30" i="1" s="1"/>
  <c r="N30" i="1" a="1"/>
  <c r="N30" i="1" s="1"/>
  <c r="B29" i="1" a="1"/>
  <c r="B29" i="1" s="1"/>
  <c r="H29" i="1" a="1"/>
  <c r="H29" i="1" s="1"/>
  <c r="I29" i="1" a="1"/>
  <c r="I29" i="1" s="1"/>
  <c r="J29" i="1" a="1"/>
  <c r="J29" i="1" s="1"/>
  <c r="N29" i="1" a="1"/>
  <c r="N29" i="1" s="1"/>
  <c r="B32" i="1" a="1"/>
  <c r="B32" i="1" s="1"/>
  <c r="H32" i="1" a="1"/>
  <c r="H32" i="1" s="1"/>
  <c r="I32" i="1" a="1"/>
  <c r="I32" i="1" s="1"/>
  <c r="J32" i="1" a="1"/>
  <c r="J32" i="1" s="1"/>
  <c r="N32" i="1" a="1"/>
  <c r="N32" i="1" s="1"/>
  <c r="B31" i="1" a="1"/>
  <c r="B31" i="1" s="1"/>
  <c r="H31" i="1" a="1"/>
  <c r="H31" i="1" s="1"/>
  <c r="I31" i="1" a="1"/>
  <c r="I31" i="1" s="1"/>
  <c r="J31" i="1" a="1"/>
  <c r="J31" i="1" s="1"/>
  <c r="N31" i="1" a="1"/>
  <c r="N31" i="1" s="1"/>
  <c r="B28" i="1" a="1"/>
  <c r="B28" i="1" s="1"/>
  <c r="H28" i="1" a="1"/>
  <c r="H28" i="1" s="1"/>
  <c r="I28" i="1" a="1"/>
  <c r="I28" i="1" s="1"/>
  <c r="J28" i="1" a="1"/>
  <c r="J28" i="1" s="1"/>
  <c r="N28" i="1" a="1"/>
  <c r="N28" i="1" s="1"/>
  <c r="B27" i="1" a="1"/>
  <c r="B27" i="1" s="1"/>
  <c r="H27" i="1" a="1"/>
  <c r="H27" i="1" s="1"/>
  <c r="I27" i="1" a="1"/>
  <c r="I27" i="1" s="1"/>
  <c r="J27" i="1" a="1"/>
  <c r="J27" i="1" s="1"/>
  <c r="N27" i="1" a="1"/>
  <c r="N27" i="1" s="1"/>
  <c r="B24" i="1" a="1"/>
  <c r="B24" i="1" s="1"/>
  <c r="H24" i="1" a="1"/>
  <c r="H24" i="1" s="1"/>
  <c r="I24" i="1" a="1"/>
  <c r="I24" i="1" s="1"/>
  <c r="J24" i="1" a="1"/>
  <c r="J24" i="1" s="1"/>
  <c r="N24" i="1" a="1"/>
  <c r="N24" i="1" s="1"/>
  <c r="B23" i="1" a="1"/>
  <c r="B23" i="1" s="1"/>
  <c r="H23" i="1" a="1"/>
  <c r="H23" i="1" s="1"/>
  <c r="I23" i="1" a="1"/>
  <c r="I23" i="1" s="1"/>
  <c r="J23" i="1" a="1"/>
  <c r="J23" i="1" s="1"/>
  <c r="N23" i="1" a="1"/>
  <c r="N23" i="1" s="1"/>
  <c r="B22" i="1" a="1"/>
  <c r="B22" i="1" s="1"/>
  <c r="H22" i="1" a="1"/>
  <c r="H22" i="1" s="1"/>
  <c r="I22" i="1" a="1"/>
  <c r="I22" i="1" s="1"/>
  <c r="J22" i="1" a="1"/>
  <c r="J22" i="1" s="1"/>
  <c r="N22" i="1" a="1"/>
  <c r="N22" i="1" s="1"/>
  <c r="B19" i="1" a="1"/>
  <c r="B19" i="1" s="1"/>
  <c r="H19" i="1" a="1"/>
  <c r="H19" i="1" s="1"/>
  <c r="I19" i="1" a="1"/>
  <c r="I19" i="1" s="1"/>
  <c r="J19" i="1" a="1"/>
  <c r="J19" i="1" s="1"/>
  <c r="N19" i="1" a="1"/>
  <c r="N19" i="1" s="1"/>
  <c r="B17" i="1" a="1"/>
  <c r="B17" i="1" s="1"/>
  <c r="H17" i="1" a="1"/>
  <c r="H17" i="1" s="1"/>
  <c r="I17" i="1" a="1"/>
  <c r="I17" i="1" s="1"/>
  <c r="J17" i="1" a="1"/>
  <c r="J17" i="1" s="1"/>
  <c r="N17" i="1" a="1"/>
  <c r="N17" i="1" s="1"/>
  <c r="B14" i="1" a="1"/>
  <c r="B14" i="1" s="1"/>
  <c r="H14" i="1" a="1"/>
  <c r="H14" i="1" s="1"/>
  <c r="I14" i="1" a="1"/>
  <c r="I14" i="1" s="1"/>
  <c r="J14" i="1" a="1"/>
  <c r="J14" i="1" s="1"/>
  <c r="N14" i="1" a="1"/>
  <c r="N14" i="1" s="1"/>
  <c r="B13" i="1" a="1"/>
  <c r="B13" i="1" s="1"/>
  <c r="H13" i="1" a="1"/>
  <c r="H13" i="1" s="1"/>
  <c r="I13" i="1" a="1"/>
  <c r="I13" i="1" s="1"/>
  <c r="J13" i="1" a="1"/>
  <c r="J13" i="1" s="1"/>
  <c r="N13" i="1" a="1"/>
  <c r="N13" i="1" s="1"/>
  <c r="B11" i="1" a="1"/>
  <c r="B11" i="1" s="1"/>
  <c r="H11" i="1" a="1"/>
  <c r="H11" i="1" s="1"/>
  <c r="I11" i="1" a="1"/>
  <c r="I11" i="1" s="1"/>
  <c r="J11" i="1" a="1"/>
  <c r="J11" i="1" s="1"/>
  <c r="N11" i="1" a="1"/>
  <c r="N11" i="1" s="1"/>
  <c r="B9" i="1" a="1"/>
  <c r="B9" i="1" s="1"/>
  <c r="H9" i="1" a="1"/>
  <c r="H9" i="1" s="1"/>
  <c r="I9" i="1" a="1"/>
  <c r="I9" i="1" s="1"/>
  <c r="J9" i="1" a="1"/>
  <c r="J9" i="1" s="1"/>
  <c r="N9" i="1" a="1"/>
  <c r="N9" i="1" s="1"/>
  <c r="B5" i="1" a="1"/>
  <c r="B5" i="1" s="1"/>
  <c r="H5" i="1" a="1"/>
  <c r="H5" i="1" s="1"/>
  <c r="I5" i="1" a="1"/>
  <c r="I5" i="1" s="1"/>
  <c r="J5" i="1" a="1"/>
  <c r="J5" i="1" s="1"/>
  <c r="N5" i="1" a="1"/>
  <c r="N5" i="1" s="1"/>
  <c r="B3" i="1" a="1"/>
  <c r="B3" i="1" s="1"/>
  <c r="H3" i="1" a="1"/>
  <c r="H3" i="1" s="1"/>
  <c r="I3" i="1" a="1"/>
  <c r="I3" i="1" s="1"/>
  <c r="J3" i="1" a="1"/>
  <c r="J3" i="1" s="1"/>
  <c r="N3" i="1" a="1"/>
  <c r="N3" i="1" s="1"/>
  <c r="L94" i="1" l="1"/>
  <c r="M94" i="1"/>
  <c r="L93" i="1"/>
  <c r="L92" i="1"/>
  <c r="M93" i="1"/>
  <c r="M92" i="1"/>
  <c r="L89" i="1"/>
  <c r="M89" i="1"/>
  <c r="L69" i="1"/>
  <c r="M69" i="1"/>
  <c r="L18" i="1"/>
  <c r="M18" i="1"/>
  <c r="L7" i="1"/>
  <c r="M81" i="1"/>
  <c r="M7" i="1"/>
  <c r="L81" i="1"/>
  <c r="L77" i="1"/>
  <c r="M77" i="1"/>
  <c r="L12" i="1"/>
  <c r="L56" i="1"/>
  <c r="M12" i="1"/>
  <c r="L91" i="1"/>
  <c r="M56" i="1"/>
  <c r="L62" i="1"/>
  <c r="M91" i="1"/>
  <c r="M62" i="1"/>
  <c r="L6" i="1"/>
  <c r="L60" i="1"/>
  <c r="M6" i="1"/>
  <c r="L10" i="1"/>
  <c r="M60" i="1"/>
  <c r="M10" i="1"/>
  <c r="M87" i="1"/>
  <c r="L90" i="1"/>
  <c r="M90" i="1"/>
  <c r="L87" i="1"/>
  <c r="L84" i="1"/>
  <c r="M84" i="1"/>
  <c r="L85" i="1"/>
  <c r="L79" i="1"/>
  <c r="M85" i="1"/>
  <c r="L75" i="1"/>
  <c r="M79" i="1"/>
  <c r="L74" i="1"/>
  <c r="M75" i="1"/>
  <c r="L72" i="1"/>
  <c r="M74" i="1"/>
  <c r="L71" i="1"/>
  <c r="M72" i="1"/>
  <c r="M71" i="1"/>
  <c r="L70" i="1"/>
  <c r="L65" i="1"/>
  <c r="M70" i="1"/>
  <c r="L61" i="1"/>
  <c r="M65" i="1"/>
  <c r="M61" i="1"/>
  <c r="L54" i="1"/>
  <c r="M54" i="1"/>
  <c r="L49" i="1"/>
  <c r="M48" i="1"/>
  <c r="M49" i="1"/>
  <c r="L48" i="1"/>
  <c r="L45" i="1"/>
  <c r="L44" i="1"/>
  <c r="M45" i="1"/>
  <c r="M44" i="1"/>
  <c r="L42" i="1"/>
  <c r="M42" i="1"/>
  <c r="L39" i="1"/>
  <c r="M39" i="1"/>
  <c r="L37" i="1"/>
  <c r="M36" i="1"/>
  <c r="M37" i="1"/>
  <c r="L36" i="1"/>
  <c r="L35" i="1"/>
  <c r="M35" i="1"/>
  <c r="L34" i="1"/>
  <c r="M34" i="1"/>
  <c r="L30" i="1"/>
  <c r="M30" i="1"/>
  <c r="L32" i="1"/>
  <c r="L29" i="1"/>
  <c r="M29" i="1"/>
  <c r="L31" i="1"/>
  <c r="M32" i="1"/>
  <c r="L28" i="1"/>
  <c r="M31" i="1"/>
  <c r="M28" i="1"/>
  <c r="L27" i="1"/>
  <c r="M27" i="1"/>
  <c r="M24" i="1"/>
  <c r="L24" i="1"/>
  <c r="L23" i="1"/>
  <c r="M23" i="1"/>
  <c r="L22" i="1"/>
  <c r="M22" i="1"/>
  <c r="L19" i="1"/>
  <c r="M19" i="1"/>
  <c r="L17" i="1"/>
  <c r="M17" i="1"/>
  <c r="L14" i="1"/>
  <c r="L13" i="1"/>
  <c r="M14" i="1"/>
  <c r="M13" i="1"/>
  <c r="L11" i="1"/>
  <c r="L9" i="1"/>
  <c r="M11" i="1"/>
  <c r="M9" i="1"/>
  <c r="L5" i="1"/>
  <c r="M5" i="1"/>
  <c r="M3" i="1"/>
  <c r="L3" i="1"/>
  <c r="B58" i="1" l="1" a="1"/>
  <c r="B58" i="1" s="1"/>
  <c r="H58" i="1" a="1"/>
  <c r="H58" i="1" s="1"/>
  <c r="I58" i="1" a="1"/>
  <c r="I58" i="1" s="1"/>
  <c r="J58" i="1" a="1"/>
  <c r="J58" i="1" s="1"/>
  <c r="N58" i="1" a="1"/>
  <c r="N58" i="1" s="1"/>
  <c r="B66" i="1" a="1"/>
  <c r="B66" i="1" s="1"/>
  <c r="H66" i="1" a="1"/>
  <c r="H66" i="1" s="1"/>
  <c r="I66" i="1" a="1"/>
  <c r="I66" i="1" s="1"/>
  <c r="J66" i="1" a="1"/>
  <c r="J66" i="1" s="1"/>
  <c r="N66" i="1" a="1"/>
  <c r="N66" i="1" s="1"/>
  <c r="B40" i="1" a="1"/>
  <c r="B40" i="1" s="1"/>
  <c r="H40" i="1" a="1"/>
  <c r="H40" i="1" s="1"/>
  <c r="I40" i="1" a="1"/>
  <c r="I40" i="1" s="1"/>
  <c r="J40" i="1" a="1"/>
  <c r="J40" i="1" s="1"/>
  <c r="N40" i="1" a="1"/>
  <c r="N40" i="1" s="1"/>
  <c r="H64" i="1" a="1"/>
  <c r="H64" i="1" s="1"/>
  <c r="H67" i="1" a="1"/>
  <c r="H67" i="1" s="1"/>
  <c r="H68" i="1" a="1"/>
  <c r="H68" i="1" s="1"/>
  <c r="H73" i="1" a="1"/>
  <c r="H73" i="1" s="1"/>
  <c r="H76" i="1" a="1"/>
  <c r="H76" i="1" s="1"/>
  <c r="H78" i="1" a="1"/>
  <c r="H78" i="1" s="1"/>
  <c r="H80" i="1" a="1"/>
  <c r="H80" i="1" s="1"/>
  <c r="H82" i="1" a="1"/>
  <c r="H82" i="1" s="1"/>
  <c r="H83" i="1" a="1"/>
  <c r="H83" i="1" s="1"/>
  <c r="H86" i="1" a="1"/>
  <c r="H86" i="1" s="1"/>
  <c r="H88" i="1" a="1"/>
  <c r="H88" i="1" s="1"/>
  <c r="H52" i="1" a="1"/>
  <c r="H52" i="1" s="1"/>
  <c r="H55" i="1" a="1"/>
  <c r="H55" i="1" s="1"/>
  <c r="H47" i="1" a="1"/>
  <c r="H47" i="1" s="1"/>
  <c r="N2" i="1" a="1"/>
  <c r="N2" i="1" s="1"/>
  <c r="N4" i="1" a="1"/>
  <c r="N4" i="1" s="1"/>
  <c r="N8" i="1" a="1"/>
  <c r="N8" i="1" s="1"/>
  <c r="N15" i="1" a="1"/>
  <c r="N15" i="1" s="1"/>
  <c r="N16" i="1" a="1"/>
  <c r="N16" i="1" s="1"/>
  <c r="N20" i="1" a="1"/>
  <c r="N20" i="1" s="1"/>
  <c r="N21" i="1" a="1"/>
  <c r="N21" i="1" s="1"/>
  <c r="N25" i="1" a="1"/>
  <c r="N25" i="1" s="1"/>
  <c r="N26" i="1" a="1"/>
  <c r="N26" i="1" s="1"/>
  <c r="N33" i="1" a="1"/>
  <c r="N33" i="1" s="1"/>
  <c r="N38" i="1" a="1"/>
  <c r="N38" i="1" s="1"/>
  <c r="N41" i="1" a="1"/>
  <c r="N41" i="1" s="1"/>
  <c r="N43" i="1" a="1"/>
  <c r="N43" i="1" s="1"/>
  <c r="N46" i="1" a="1"/>
  <c r="N46" i="1" s="1"/>
  <c r="N50" i="1" a="1"/>
  <c r="N50" i="1" s="1"/>
  <c r="N51" i="1" a="1"/>
  <c r="N51" i="1" s="1"/>
  <c r="N53" i="1" a="1"/>
  <c r="N53" i="1" s="1"/>
  <c r="N57" i="1" a="1"/>
  <c r="N57" i="1" s="1"/>
  <c r="N59" i="1" a="1"/>
  <c r="N59" i="1" s="1"/>
  <c r="N63" i="1" a="1"/>
  <c r="N63" i="1" s="1"/>
  <c r="N64" i="1" a="1"/>
  <c r="N64" i="1" s="1"/>
  <c r="N67" i="1" a="1"/>
  <c r="N67" i="1" s="1"/>
  <c r="N68" i="1" a="1"/>
  <c r="N68" i="1" s="1"/>
  <c r="N73" i="1" a="1"/>
  <c r="N73" i="1" s="1"/>
  <c r="N76" i="1" a="1"/>
  <c r="N76" i="1" s="1"/>
  <c r="N78" i="1" a="1"/>
  <c r="N78" i="1" s="1"/>
  <c r="N80" i="1" a="1"/>
  <c r="N80" i="1" s="1"/>
  <c r="N82" i="1" a="1"/>
  <c r="N82" i="1" s="1"/>
  <c r="N83" i="1" a="1"/>
  <c r="N83" i="1" s="1"/>
  <c r="N86" i="1" a="1"/>
  <c r="N86" i="1" s="1"/>
  <c r="N88" i="1" a="1"/>
  <c r="N88" i="1" s="1"/>
  <c r="N52" i="1" a="1"/>
  <c r="N52" i="1" s="1"/>
  <c r="N55" i="1" a="1"/>
  <c r="N55" i="1" s="1"/>
  <c r="N47" i="1" a="1"/>
  <c r="N47" i="1" s="1"/>
  <c r="J2" i="1" a="1"/>
  <c r="J2" i="1" s="1"/>
  <c r="J4" i="1" a="1"/>
  <c r="J4" i="1" s="1"/>
  <c r="J8" i="1" a="1"/>
  <c r="J8" i="1" s="1"/>
  <c r="J15" i="1" a="1"/>
  <c r="J15" i="1" s="1"/>
  <c r="J16" i="1" a="1"/>
  <c r="J16" i="1" s="1"/>
  <c r="J20" i="1" a="1"/>
  <c r="J20" i="1" s="1"/>
  <c r="J21" i="1" a="1"/>
  <c r="J21" i="1" s="1"/>
  <c r="J25" i="1" a="1"/>
  <c r="J25" i="1" s="1"/>
  <c r="J26" i="1" a="1"/>
  <c r="J26" i="1" s="1"/>
  <c r="J33" i="1" a="1"/>
  <c r="J33" i="1" s="1"/>
  <c r="J38" i="1" a="1"/>
  <c r="J38" i="1" s="1"/>
  <c r="J41" i="1" a="1"/>
  <c r="J41" i="1" s="1"/>
  <c r="J43" i="1" a="1"/>
  <c r="J43" i="1" s="1"/>
  <c r="J46" i="1" a="1"/>
  <c r="J46" i="1" s="1"/>
  <c r="J50" i="1" a="1"/>
  <c r="J50" i="1" s="1"/>
  <c r="J51" i="1" a="1"/>
  <c r="J51" i="1" s="1"/>
  <c r="J53" i="1" a="1"/>
  <c r="J53" i="1" s="1"/>
  <c r="J57" i="1" a="1"/>
  <c r="J57" i="1" s="1"/>
  <c r="J59" i="1" a="1"/>
  <c r="J59" i="1" s="1"/>
  <c r="J63" i="1" a="1"/>
  <c r="J63" i="1" s="1"/>
  <c r="J64" i="1" a="1"/>
  <c r="J64" i="1" s="1"/>
  <c r="J67" i="1" a="1"/>
  <c r="J67" i="1" s="1"/>
  <c r="J68" i="1" a="1"/>
  <c r="J68" i="1" s="1"/>
  <c r="J73" i="1" a="1"/>
  <c r="J73" i="1" s="1"/>
  <c r="J76" i="1" a="1"/>
  <c r="J76" i="1" s="1"/>
  <c r="J78" i="1" a="1"/>
  <c r="J78" i="1" s="1"/>
  <c r="J80" i="1" a="1"/>
  <c r="J80" i="1" s="1"/>
  <c r="J82" i="1" a="1"/>
  <c r="J82" i="1" s="1"/>
  <c r="J83" i="1" a="1"/>
  <c r="J83" i="1" s="1"/>
  <c r="J86" i="1" a="1"/>
  <c r="J86" i="1" s="1"/>
  <c r="J88" i="1" a="1"/>
  <c r="J88" i="1" s="1"/>
  <c r="J52" i="1" a="1"/>
  <c r="J52" i="1" s="1"/>
  <c r="J55" i="1" a="1"/>
  <c r="J55" i="1" s="1"/>
  <c r="J47" i="1" a="1"/>
  <c r="J47" i="1" s="1"/>
  <c r="I2" i="1" a="1"/>
  <c r="I2" i="1" s="1"/>
  <c r="I4" i="1" a="1"/>
  <c r="I4" i="1" s="1"/>
  <c r="I8" i="1" a="1"/>
  <c r="I8" i="1" s="1"/>
  <c r="I15" i="1" a="1"/>
  <c r="I15" i="1" s="1"/>
  <c r="I16" i="1" a="1"/>
  <c r="I16" i="1" s="1"/>
  <c r="I20" i="1" a="1"/>
  <c r="I20" i="1" s="1"/>
  <c r="I21" i="1" a="1"/>
  <c r="I21" i="1" s="1"/>
  <c r="I25" i="1" a="1"/>
  <c r="I25" i="1" s="1"/>
  <c r="I26" i="1" a="1"/>
  <c r="I26" i="1" s="1"/>
  <c r="I33" i="1" a="1"/>
  <c r="I33" i="1" s="1"/>
  <c r="I38" i="1" a="1"/>
  <c r="I38" i="1" s="1"/>
  <c r="I41" i="1" a="1"/>
  <c r="I41" i="1" s="1"/>
  <c r="I43" i="1" a="1"/>
  <c r="I43" i="1" s="1"/>
  <c r="I46" i="1" a="1"/>
  <c r="I46" i="1" s="1"/>
  <c r="I50" i="1" a="1"/>
  <c r="I50" i="1" s="1"/>
  <c r="I51" i="1" a="1"/>
  <c r="I51" i="1" s="1"/>
  <c r="I53" i="1" a="1"/>
  <c r="I53" i="1" s="1"/>
  <c r="I57" i="1" a="1"/>
  <c r="I57" i="1" s="1"/>
  <c r="I59" i="1" a="1"/>
  <c r="I59" i="1" s="1"/>
  <c r="I63" i="1" a="1"/>
  <c r="I63" i="1" s="1"/>
  <c r="I64" i="1" a="1"/>
  <c r="I64" i="1" s="1"/>
  <c r="I67" i="1" a="1"/>
  <c r="I67" i="1" s="1"/>
  <c r="I68" i="1" a="1"/>
  <c r="I68" i="1" s="1"/>
  <c r="I73" i="1" a="1"/>
  <c r="I73" i="1" s="1"/>
  <c r="I76" i="1" a="1"/>
  <c r="I76" i="1" s="1"/>
  <c r="I78" i="1" a="1"/>
  <c r="I78" i="1" s="1"/>
  <c r="I80" i="1" a="1"/>
  <c r="I80" i="1" s="1"/>
  <c r="I82" i="1" a="1"/>
  <c r="I82" i="1" s="1"/>
  <c r="I83" i="1" a="1"/>
  <c r="I83" i="1" s="1"/>
  <c r="I86" i="1" a="1"/>
  <c r="I86" i="1" s="1"/>
  <c r="I88" i="1" a="1"/>
  <c r="I88" i="1" s="1"/>
  <c r="I52" i="1" a="1"/>
  <c r="I52" i="1" s="1"/>
  <c r="I55" i="1" a="1"/>
  <c r="I55" i="1" s="1"/>
  <c r="I47" i="1" a="1"/>
  <c r="I47" i="1" s="1"/>
  <c r="H2" i="1" a="1"/>
  <c r="H2" i="1" s="1"/>
  <c r="H4" i="1" a="1"/>
  <c r="H4" i="1" s="1"/>
  <c r="H8" i="1" a="1"/>
  <c r="H8" i="1" s="1"/>
  <c r="H15" i="1" a="1"/>
  <c r="H15" i="1" s="1"/>
  <c r="H16" i="1" a="1"/>
  <c r="H16" i="1" s="1"/>
  <c r="H20" i="1" a="1"/>
  <c r="H20" i="1" s="1"/>
  <c r="H21" i="1" a="1"/>
  <c r="H21" i="1" s="1"/>
  <c r="H25" i="1" a="1"/>
  <c r="H25" i="1" s="1"/>
  <c r="H26" i="1" a="1"/>
  <c r="H26" i="1" s="1"/>
  <c r="H33" i="1" a="1"/>
  <c r="H33" i="1" s="1"/>
  <c r="H38" i="1" a="1"/>
  <c r="H38" i="1" s="1"/>
  <c r="H41" i="1" a="1"/>
  <c r="H41" i="1" s="1"/>
  <c r="H43" i="1" a="1"/>
  <c r="H43" i="1" s="1"/>
  <c r="H46" i="1" a="1"/>
  <c r="H46" i="1" s="1"/>
  <c r="H50" i="1" a="1"/>
  <c r="H50" i="1" s="1"/>
  <c r="H51" i="1" a="1"/>
  <c r="H51" i="1" s="1"/>
  <c r="H53" i="1" a="1"/>
  <c r="H53" i="1" s="1"/>
  <c r="H57" i="1" a="1"/>
  <c r="H57" i="1" s="1"/>
  <c r="H59" i="1" a="1"/>
  <c r="H59" i="1" s="1"/>
  <c r="H63" i="1" a="1"/>
  <c r="H63" i="1" s="1"/>
  <c r="B47" i="1" a="1"/>
  <c r="B47" i="1" s="1"/>
  <c r="B55" i="1" a="1"/>
  <c r="B55" i="1" s="1"/>
  <c r="B52" i="1" a="1"/>
  <c r="B52" i="1" s="1"/>
  <c r="B88" i="1" a="1"/>
  <c r="B88" i="1" s="1"/>
  <c r="B86" i="1" a="1"/>
  <c r="B86" i="1" s="1"/>
  <c r="B83" i="1" a="1"/>
  <c r="B83" i="1" s="1"/>
  <c r="B82" i="1" a="1"/>
  <c r="B82" i="1" s="1"/>
  <c r="B80" i="1" a="1"/>
  <c r="B80" i="1" s="1"/>
  <c r="B78" i="1" a="1"/>
  <c r="B78" i="1" s="1"/>
  <c r="B76" i="1" a="1"/>
  <c r="B76" i="1" s="1"/>
  <c r="B73" i="1" a="1"/>
  <c r="B73" i="1" s="1"/>
  <c r="B68" i="1" a="1"/>
  <c r="B68" i="1" s="1"/>
  <c r="B67" i="1" a="1"/>
  <c r="B67" i="1" s="1"/>
  <c r="B64" i="1" a="1"/>
  <c r="B64" i="1" s="1"/>
  <c r="B63" i="1" a="1"/>
  <c r="B63" i="1" s="1"/>
  <c r="B59" i="1" a="1"/>
  <c r="B59" i="1" s="1"/>
  <c r="B57" i="1" a="1"/>
  <c r="B57" i="1" s="1"/>
  <c r="B53" i="1" a="1"/>
  <c r="B53" i="1" s="1"/>
  <c r="B51" i="1" a="1"/>
  <c r="B51" i="1" s="1"/>
  <c r="B50" i="1" a="1"/>
  <c r="B50" i="1" s="1"/>
  <c r="B46" i="1" a="1"/>
  <c r="B46" i="1" s="1"/>
  <c r="B43" i="1" a="1"/>
  <c r="B43" i="1" s="1"/>
  <c r="B41" i="1" a="1"/>
  <c r="B41" i="1" s="1"/>
  <c r="B38" i="1" a="1"/>
  <c r="B38" i="1" s="1"/>
  <c r="B33" i="1" a="1"/>
  <c r="B33" i="1" s="1"/>
  <c r="B26" i="1" a="1"/>
  <c r="B26" i="1" s="1"/>
  <c r="B25" i="1" a="1"/>
  <c r="B25" i="1" s="1"/>
  <c r="B21" i="1" a="1"/>
  <c r="B21" i="1" s="1"/>
  <c r="B20" i="1" a="1"/>
  <c r="B20" i="1" s="1"/>
  <c r="B16" i="1" a="1"/>
  <c r="B16" i="1" s="1"/>
  <c r="B15" i="1" a="1"/>
  <c r="B15" i="1" s="1"/>
  <c r="B8" i="1" a="1"/>
  <c r="B8" i="1" s="1"/>
  <c r="B4" i="1" a="1"/>
  <c r="B4" i="1" s="1"/>
  <c r="B2" i="1" a="1"/>
  <c r="B2" i="1" s="1"/>
  <c r="L58" i="1" l="1"/>
  <c r="L66" i="1"/>
  <c r="M58" i="1"/>
  <c r="M66" i="1"/>
  <c r="L40" i="1"/>
  <c r="M40" i="1"/>
  <c r="M46" i="1"/>
  <c r="M16" i="1"/>
  <c r="M47" i="1"/>
  <c r="M73" i="1"/>
  <c r="M86" i="1"/>
  <c r="M63" i="1"/>
  <c r="M4" i="1"/>
  <c r="L80" i="1"/>
  <c r="L53" i="1"/>
  <c r="L25" i="1"/>
  <c r="M33" i="1"/>
  <c r="M78" i="1"/>
  <c r="M51" i="1"/>
  <c r="L21" i="1"/>
  <c r="M83" i="1"/>
  <c r="M59" i="1"/>
  <c r="M2" i="1"/>
  <c r="M76" i="1"/>
  <c r="M55" i="1"/>
  <c r="M68" i="1"/>
  <c r="M43" i="1"/>
  <c r="M15" i="1"/>
  <c r="M8" i="1"/>
  <c r="L82" i="1"/>
  <c r="L57" i="1"/>
  <c r="M52" i="1"/>
  <c r="M67" i="1"/>
  <c r="M41" i="1"/>
  <c r="L26" i="1"/>
  <c r="M50" i="1"/>
  <c r="M20" i="1"/>
  <c r="M88" i="1"/>
  <c r="M64" i="1"/>
  <c r="M38" i="1"/>
  <c r="M82" i="1"/>
  <c r="M57" i="1"/>
  <c r="M26" i="1"/>
  <c r="M80" i="1"/>
  <c r="M53" i="1"/>
  <c r="M25" i="1"/>
  <c r="L2" i="1"/>
  <c r="M21" i="1"/>
  <c r="L78" i="1"/>
  <c r="L51" i="1"/>
  <c r="L46" i="1"/>
  <c r="L47" i="1"/>
  <c r="L73" i="1"/>
  <c r="L16" i="1"/>
  <c r="L83" i="1"/>
  <c r="L59" i="1"/>
  <c r="L33" i="1"/>
  <c r="L86" i="1"/>
  <c r="L63" i="1"/>
  <c r="L4" i="1"/>
  <c r="L76" i="1"/>
  <c r="L50" i="1"/>
  <c r="L20" i="1"/>
  <c r="L55" i="1"/>
  <c r="L68" i="1"/>
  <c r="L43" i="1"/>
  <c r="L15" i="1"/>
  <c r="L67" i="1"/>
  <c r="L41" i="1"/>
  <c r="L8" i="1"/>
  <c r="L52" i="1"/>
  <c r="L88" i="1"/>
  <c r="L64" i="1"/>
  <c r="L3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<sst xmlns="http://schemas.openxmlformats.org/spreadsheetml/2006/main" count="54" uniqueCount="26">
  <si>
    <t>Ticker</t>
  </si>
  <si>
    <t>Sector</t>
  </si>
  <si>
    <t>Category</t>
  </si>
  <si>
    <t>DataField</t>
  </si>
  <si>
    <t>Owned</t>
  </si>
  <si>
    <t>consumer_staples</t>
  </si>
  <si>
    <t>technology</t>
  </si>
  <si>
    <t>consumer_discretionary</t>
  </si>
  <si>
    <t>financials</t>
  </si>
  <si>
    <t>health_care</t>
  </si>
  <si>
    <t>communication_services</t>
  </si>
  <si>
    <t>energy</t>
  </si>
  <si>
    <t>industrials</t>
  </si>
  <si>
    <t>materials</t>
  </si>
  <si>
    <t>reit</t>
  </si>
  <si>
    <t>FyEnd</t>
  </si>
  <si>
    <t>S&amp;P</t>
  </si>
  <si>
    <t>Price</t>
  </si>
  <si>
    <t>P/E</t>
  </si>
  <si>
    <t>52High</t>
  </si>
  <si>
    <t>52Low</t>
  </si>
  <si>
    <t>Watch</t>
  </si>
  <si>
    <t>Alert</t>
  </si>
  <si>
    <t>MarketCap</t>
  </si>
  <si>
    <t>tech_kong</t>
  </si>
  <si>
    <t>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</si>
</sst>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7">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95">
  <rv s="0">
    <v>https://www.bing.com/financeapi/forcetrigger?t=a1mou2&amp;q=XNAS%3aAAPL&amp;form=skydnc</v>
    <v>Learn more on Bing</v>
  </rv>
  <rv s="1">
    <v>0</v>
    <v>APPLE INC. (XNAS:AAPL)</v>
    <v>2</v>
    <v>3</v>
    <v>Finance</v>
    <v>4</v>
    <v>en-US</v>
    <v>a1mou2</v>
    <v>268435456</v>
    <v>1</v>
    <v>Powered by Refinitiv</v>
    <v>288.62</v>
    <v>169.21010000000001</v>
    <v>1.0948</v>
    <v>-4.3299000000000003</v>
    <v>-1.6201E-2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267.55</v>
    <v>Computers, Phones &amp; Household Electronics</v>
    <v>Stock</v>
    <v>46028.731798217188</v>
    <v>0</v>
    <v>262.18</v>
    <v>3885147183134</v>
    <v>APPLE INC.</v>
    <v>APPLE INC.</v>
    <v>266.95999999999998</v>
    <v>35.403799999999997</v>
    <v>267.26</v>
    <v>262.93009999999998</v>
    <v>14776350000</v>
    <v>AAPL</v>
    <v>APPLE INC. (XNAS:AAPL)</v>
    <v>22353191</v>
    <v>41125995</v>
    <v>1977</v>
  </rv>
  <rv s="2">
    <v>1</v>
  </rv>
  <rv s="0">
    <v>https://www.bing.com/financeapi/forcetrigger?t=a1mpqh&amp;q=XNYS%3aABBV&amp;form=skydnc</v>
    <v>Learn more on Bing</v>
  </rv>
  <rv s="1">
    <v>0</v>
    <v>ABBVIE INC. (XNYS:ABBV)</v>
    <v>2</v>
    <v>3</v>
    <v>Finance</v>
    <v>4</v>
    <v>en-US</v>
    <v>a1mpqh</v>
    <v>268435456</v>
    <v>1</v>
    <v>Powered by Refinitiv</v>
    <v>244.81</v>
    <v>164.39</v>
    <v>0.34060000000000001</v>
    <v>1.57</v>
    <v>7.1309999999999993E-3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224.14500000000001</v>
    <v>Pharmaceuticals</v>
    <v>Stock</v>
    <v>46028.731770115628</v>
    <v>3</v>
    <v>219.8</v>
    <v>391917623750</v>
    <v>ABBVIE INC.</v>
    <v>ABBVIE INC.</v>
    <v>220</v>
    <v>167.32060000000001</v>
    <v>220.18</v>
    <v>221.75</v>
    <v>1767385000</v>
    <v>ABBV</v>
    <v>ABBVIE INC. (XNYS:ABBV)</v>
    <v>2549771</v>
    <v>5094276</v>
    <v>2012</v>
  </rv>
  <rv s="2">
    <v>4</v>
  </rv>
  <rv s="0">
    <v>https://www.bing.com/financeapi/forcetrigger?t=a1mvm7&amp;q=XNYS%3aADM&amp;form=skydnc</v>
    <v>Learn more on Bing</v>
  </rv>
  <rv s="1">
    <v>0</v>
    <v>ARCHER-DANIELS-MIDLAND COMPANY. (XNYS:ADM)</v>
    <v>2</v>
    <v>3</v>
    <v>Finance</v>
    <v>4</v>
    <v>en-US</v>
    <v>a1mvm7</v>
    <v>268435456</v>
    <v>1</v>
    <v>Powered by Refinitiv</v>
    <v>65</v>
    <v>40.98</v>
    <v>0.69350000000000001</v>
    <v>1.365</v>
    <v>2.291E-2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61.05</v>
    <v>Food &amp; Tobacco</v>
    <v>Stock</v>
    <v>46028.73174553203</v>
    <v>6</v>
    <v>59.103000000000002</v>
    <v>29288320366</v>
    <v>ARCHER-DANIELS-MIDLAND COMPANY.</v>
    <v>ARCHER-DANIELS-MIDLAND COMPANY.</v>
    <v>59.795000000000002</v>
    <v>24.722100000000001</v>
    <v>59.58</v>
    <v>60.945</v>
    <v>480569700</v>
    <v>ADM</v>
    <v>ARCHER-DANIELS-MIDLAND COMPANY. (XNYS:ADM)</v>
    <v>1210723</v>
    <v>2572177</v>
    <v>1923</v>
  </rv>
  <rv s="2">
    <v>7</v>
  </rv>
  <rv s="0">
    <v>https://www.bing.com/financeapi/forcetrigger?t=a1mw4c&amp;q=XNAS%3aADP&amp;form=skydnc</v>
    <v>Learn more on Bing</v>
  </rv>
  <rv s="1">
    <v>0</v>
    <v>AUTOMATIC DATA PROCESSING, INC. (XNAS:ADP)</v>
    <v>2</v>
    <v>3</v>
    <v>Finance</v>
    <v>4</v>
    <v>en-US</v>
    <v>a1mw4c</v>
    <v>268435456</v>
    <v>1</v>
    <v>Powered by Refinitiv</v>
    <v>329.92950000000002</v>
    <v>247.18350000000001</v>
    <v>0.85270000000000001</v>
    <v>2.2749999999999999</v>
    <v>8.8409999999999999E-3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259.77999999999997</v>
    <v>Software &amp; IT Services</v>
    <v>Stock</v>
    <v>46028.731749837498</v>
    <v>9</v>
    <v>255.47</v>
    <v>104072800000</v>
    <v>AUTOMATIC DATA PROCESSING, INC.</v>
    <v>AUTOMATIC DATA PROCESSING, INC.</v>
    <v>255.77</v>
    <v>25.599599999999999</v>
    <v>257.32</v>
    <v>259.59500000000003</v>
    <v>404448700</v>
    <v>ADP</v>
    <v>AUTOMATIC DATA PROCESSING, INC. (XNAS:ADP)</v>
    <v>545079</v>
    <v>2402011</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1.9384999999999999</v>
    <v>-9.15</v>
    <v>-4.1388000000000001E-2</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222.92</v>
    <v>Semiconductors &amp; Semiconductor Equipment</v>
    <v>Stock</v>
    <v>46028.731789594531</v>
    <v>12</v>
    <v>211.36</v>
    <v>345030941060</v>
    <v>ADVANCED MICRO DEVICES, INC.</v>
    <v>ADVANCED MICRO DEVICES, INC.</v>
    <v>222.47</v>
    <v>110.58759999999999</v>
    <v>221.08</v>
    <v>211.93</v>
    <v>1628042000</v>
    <v>AMD</v>
    <v>ADVANCED MICRO DEVICES, INC. (XNAS:AMD)</v>
    <v>22572584</v>
    <v>27481625</v>
    <v>1969</v>
  </rv>
  <rv s="2">
    <v>13</v>
  </rv>
  <rv s="0">
    <v>https://www.bing.com/financeapi/forcetrigger?t=a1ngur&amp;q=XNYS%3aAMT&amp;form=skydnc</v>
    <v>Learn more on Bing</v>
  </rv>
  <rv s="1">
    <v>0</v>
    <v>AMERICAN TOWER CORPORATION (XNYS:AMT)</v>
    <v>2</v>
    <v>3</v>
    <v>Finance</v>
    <v>4</v>
    <v>en-US</v>
    <v>a1ngur</v>
    <v>268435456</v>
    <v>1</v>
    <v>Powered by Refinitiv</v>
    <v>234.33</v>
    <v>170.77</v>
    <v>0.93569999999999998</v>
    <v>-0.51500000000000001</v>
    <v>-2.9220000000000001E-3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4691</v>
    <v>New York Stock Exchange</v>
    <v>XNYS</v>
    <v>XNYS</v>
    <v>116 Huntington Ave, BOSTON, MA, 02116 US</v>
    <v>177.7</v>
    <v>Residential &amp; Commercial REIT</v>
    <v>Stock</v>
    <v>46028.731679467186</v>
    <v>15</v>
    <v>174.77</v>
    <v>82269742751</v>
    <v>AMERICAN TOWER CORPORATION</v>
    <v>AMERICAN TOWER CORPORATION</v>
    <v>175.27</v>
    <v>28.0306</v>
    <v>176.25</v>
    <v>175.73500000000001</v>
    <v>468146600</v>
    <v>AMT</v>
    <v>AMERICAN TOWER CORPORATION (XNYS:AMT)</v>
    <v>646242</v>
    <v>3185913</v>
    <v>1996</v>
  </rv>
  <rv s="2">
    <v>16</v>
  </rv>
  <rv s="0">
    <v>https://www.bing.com/financeapi/forcetrigger?t=a1nhlh&amp;q=XNAS%3aAMZN&amp;form=skydnc</v>
    <v>Learn more on Bing</v>
  </rv>
  <rv s="1">
    <v>0</v>
    <v>AMAZON.COM, INC. (XNAS:AMZN)</v>
    <v>2</v>
    <v>3</v>
    <v>Finance</v>
    <v>4</v>
    <v>en-US</v>
    <v>a1nhlh</v>
    <v>268435456</v>
    <v>1</v>
    <v>Powered by Refinitiv</v>
    <v>258.60000000000002</v>
    <v>161.38</v>
    <v>1.3765000000000001</v>
    <v>9.0299999999999994</v>
    <v>3.8745000000000002E-2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242.65989999999999</v>
    <v>Diversified Retail</v>
    <v>Stock</v>
    <v>46028.731793020313</v>
    <v>18</v>
    <v>232.07</v>
    <v>2587995359800</v>
    <v>AMAZON.COM, INC.</v>
    <v>AMAZON.COM, INC.</v>
    <v>232.07</v>
    <v>34.198300000000003</v>
    <v>233.06</v>
    <v>242.09</v>
    <v>10690220000</v>
    <v>AMZN</v>
    <v>AMAZON.COM, INC. (XNAS:AMZN)</v>
    <v>25227785</v>
    <v>36377694</v>
    <v>1996</v>
  </rv>
  <rv s="2">
    <v>19</v>
  </rv>
  <rv s="0">
    <v>https://www.bing.com/financeapi/forcetrigger?t=a1nkm7&amp;q=XNYS%3aAOS&amp;form=skydnc</v>
    <v>Learn more on Bing</v>
  </rv>
  <rv s="1">
    <v>0</v>
    <v>A. O. SMITH CORPORATION (XNYS:AOS)</v>
    <v>2</v>
    <v>3</v>
    <v>Finance</v>
    <v>4</v>
    <v>en-US</v>
    <v>a1nkm7</v>
    <v>268435456</v>
    <v>1</v>
    <v>Powered by Refinitiv</v>
    <v>77.31</v>
    <v>58.83</v>
    <v>1.3502000000000001</v>
    <v>0.12</v>
    <v>1.7519999999999999E-3</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12700</v>
    <v>New York Stock Exchange</v>
    <v>XNYS</v>
    <v>XNYS</v>
    <v>11270 W Park Pl, MILWAUKEE, WI, 53224-3623 US</v>
    <v>68.7</v>
    <v>Machinery, Equipment &amp; Components</v>
    <v>Stock</v>
    <v>46028.731736399997</v>
    <v>21</v>
    <v>67.41</v>
    <v>9555890214</v>
    <v>A. O. SMITH CORPORATION</v>
    <v>A. O. SMITH CORPORATION</v>
    <v>67.849999999999994</v>
    <v>18.530100000000001</v>
    <v>68.510000000000005</v>
    <v>68.63</v>
    <v>139237800</v>
    <v>AOS</v>
    <v>A. O. SMITH CORPORATION (XNYS:AOS)</v>
    <v>340735</v>
    <v>1188959</v>
    <v>1986</v>
  </rv>
  <rv s="2">
    <v>22</v>
  </rv>
  <rv s="0">
    <v>https://www.bing.com/financeapi/forcetrigger?t=a1ntlh&amp;q=XNAS%3aASML&amp;form=skydnc</v>
    <v>Learn more on Bing</v>
  </rv>
  <rv s="1">
    <v>0</v>
    <v>ASML Holding NV (XNAS:ASML)</v>
    <v>2</v>
    <v>3</v>
    <v>Finance</v>
    <v>4</v>
    <v>en-US</v>
    <v>a1ntlh</v>
    <v>268435456</v>
    <v>1</v>
    <v>Powered by Refinitiv</v>
    <v>1246.3800000000001</v>
    <v>578.51</v>
    <v>1.881</v>
    <v>6.2953999999999999</v>
    <v>5.1259999999999995E-3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1246.3800000000001</v>
    <v>Semiconductors &amp; Semiconductor Equipment</v>
    <v>Stock</v>
    <v>46028.731773760941</v>
    <v>24</v>
    <v>1222.42</v>
    <v>479066600000</v>
    <v>ASML Holding NV</v>
    <v>ASML Holding NV</v>
    <v>1223.92</v>
    <v>43.558399999999999</v>
    <v>1228.19</v>
    <v>1234.4854</v>
    <v>388147700</v>
    <v>ASML</v>
    <v>ASML Holding NV (XNAS:ASML)</v>
    <v>1039051</v>
    <v>1328323</v>
    <v>1994</v>
  </rv>
  <rv s="2">
    <v>25</v>
  </rv>
  <rv s="0">
    <v>https://www.bing.com/financeapi/forcetrigger?t=a1nz8m&amp;q=XNAS%3aAVGO&amp;form=skydnc</v>
    <v>Learn more on Bing</v>
  </rv>
  <rv s="1">
    <v>0</v>
    <v>BROADCOM INC. (XNAS:AVGO)</v>
    <v>2</v>
    <v>3</v>
    <v>Finance</v>
    <v>4</v>
    <v>en-US</v>
    <v>a1nz8m</v>
    <v>268435456</v>
    <v>1</v>
    <v>Powered by Refinitiv</v>
    <v>414.61</v>
    <v>138.1</v>
    <v>1.2224999999999999</v>
    <v>3.2961</v>
    <v>9.5980000000000006E-3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348.44</v>
    <v>Semiconductors &amp; Semiconductor Equipment</v>
    <v>Stock</v>
    <v>46028.731804247655</v>
    <v>27</v>
    <v>338</v>
    <v>1643876030311</v>
    <v>BROADCOM INC.</v>
    <v>BROADCOM INC.</v>
    <v>343.5</v>
    <v>72.686800000000005</v>
    <v>343.42</v>
    <v>346.71609999999998</v>
    <v>4741274000</v>
    <v>AVGO</v>
    <v>BROADCOM INC. (XNAS:AVGO)</v>
    <v>12169461</v>
    <v>38131360</v>
    <v>2018</v>
  </rv>
  <rv s="2">
    <v>28</v>
  </rv>
  <rv s="0">
    <v>https://www.bing.com/financeapi/forcetrigger?t=a1o1jc&amp;q=XNYS%3aAWK&amp;form=skydnc</v>
    <v>Learn more on Bing</v>
  </rv>
  <rv s="1">
    <v>0</v>
    <v>AMERICAN WATER WORKS COMPANY, INC. (XNYS:AWK)</v>
    <v>2</v>
    <v>3</v>
    <v>Finance</v>
    <v>4</v>
    <v>en-US</v>
    <v>a1o1jc</v>
    <v>268435456</v>
    <v>1</v>
    <v>Powered by Refinitiv</v>
    <v>155.5</v>
    <v>118.74</v>
    <v>0.7651</v>
    <v>0.63</v>
    <v>4.9449999999999997E-3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6700</v>
    <v>New York Stock Exchange</v>
    <v>XNYS</v>
    <v>XNYS</v>
    <v>1 Water Street, CAMDEN, NJ, 08102-1658 US</v>
    <v>129.06</v>
    <v>Water Utilities</v>
    <v>Stock</v>
    <v>46028.731752383595</v>
    <v>30</v>
    <v>126.85</v>
    <v>24988536916</v>
    <v>AMERICAN WATER WORKS COMPANY, INC.</v>
    <v>AMERICAN WATER WORKS COMPANY, INC.</v>
    <v>127.67</v>
    <v>22.4512</v>
    <v>127.4</v>
    <v>128.03</v>
    <v>195177200</v>
    <v>AWK</v>
    <v>AMERICAN WATER WORKS COMPANY, INC. (XNYS:AWK)</v>
    <v>429218</v>
    <v>1780673</v>
    <v>1936</v>
  </rv>
  <rv s="2">
    <v>31</v>
  </rv>
  <rv s="0">
    <v>https://www.bing.com/financeapi/forcetrigger?t=a1o9gh&amp;q=XNYS%3aBBY&amp;form=skydnc</v>
    <v>Learn more on Bing</v>
  </rv>
  <rv s="1">
    <v>0</v>
    <v>Best Buy Co., Inc. (XNYS:BBY)</v>
    <v>2</v>
    <v>3</v>
    <v>Finance</v>
    <v>4</v>
    <v>en-US</v>
    <v>a1o9gh</v>
    <v>268435456</v>
    <v>1</v>
    <v>Powered by Refinitiv</v>
    <v>91.68</v>
    <v>54.99</v>
    <v>1.4560999999999999</v>
    <v>1.4601</v>
    <v>2.0844000000000001E-2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71.569999999999993</v>
    <v>Specialty Retailers</v>
    <v>Stock</v>
    <v>46028.731775693748</v>
    <v>33</v>
    <v>68.510000000000005</v>
    <v>14983875954</v>
    <v>Best Buy Co., Inc.</v>
    <v>Best Buy Co., Inc.</v>
    <v>69.709999999999994</v>
    <v>23.596800000000002</v>
    <v>70.05</v>
    <v>71.510099999999994</v>
    <v>209535100</v>
    <v>BBY</v>
    <v>Best Buy Co., Inc. (XNYS:BBY)</v>
    <v>1908769</v>
    <v>4539721</v>
    <v>1966</v>
  </rv>
  <rv s="2">
    <v>34</v>
  </rv>
  <rv s="0">
    <v>https://www.bing.com/financeapi/forcetrigger?t=a1odur&amp;q=XNYS%3aBF.A&amp;form=skydnc</v>
    <v>Learn more on Bing</v>
  </rv>
  <rv s="1">
    <v>0</v>
    <v>BROWN-FORMAN CORPORATION (XNYS:BF.A)</v>
    <v>2</v>
    <v>3</v>
    <v>Finance</v>
    <v>4</v>
    <v>en-US</v>
    <v>a1odur</v>
    <v>268435456</v>
    <v>1</v>
    <v>Powered by Refinitiv</v>
    <v>38.21</v>
    <v>25.81</v>
    <v>0.40300000000000002</v>
    <v>0.14499999999999999</v>
    <v>5.5769999999999995E-3</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26.49</v>
    <v>Beverages</v>
    <v>Stock</v>
    <v>46028.731684953127</v>
    <v>36</v>
    <v>25.81</v>
    <v>11987470000</v>
    <v>BROWN-FORMAN CORPORATION</v>
    <v>BROWN-FORMAN CORPORATION</v>
    <v>26.03</v>
    <v>0</v>
    <v>26</v>
    <v>26.145</v>
    <v>463209400</v>
    <v>BF.A</v>
    <v>BROWN-FORMAN CORPORATION (XNYS:BF.A)</v>
    <v>60051</v>
    <v>192483</v>
    <v>1933</v>
  </rv>
  <rv s="2">
    <v>37</v>
  </rv>
  <rv s="0">
    <v>https://www.bing.com/financeapi/forcetrigger?t=a1om4c&amp;q=XNYS%3aBLK&amp;form=skydnc</v>
    <v>Learn more on Bing</v>
  </rv>
  <rv s="1">
    <v>0</v>
    <v>BLACKROCK, INC. (XNYS:BLK)</v>
    <v>2</v>
    <v>3</v>
    <v>Finance</v>
    <v>4</v>
    <v>en-US</v>
    <v>a1om4c</v>
    <v>268435456</v>
    <v>1</v>
    <v>Powered by Refinitiv</v>
    <v>1219.9399000000001</v>
    <v>773.74009999999998</v>
    <v>1.4816</v>
    <v>-1.39</v>
    <v>-1.2409999999999999E-3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1124.28</v>
    <v>Investment Banking &amp; Investment Services</v>
    <v>Stock</v>
    <v>46028.731782939059</v>
    <v>39</v>
    <v>1106.7550000000001</v>
    <v>173516112032</v>
    <v>BLACKROCK, INC.</v>
    <v>BLACKROCK, INC.</v>
    <v>1120</v>
    <v>29.063800000000001</v>
    <v>1119.76</v>
    <v>1118.3699999999999</v>
    <v>155150900</v>
    <v>BLK</v>
    <v>BLACKROCK, INC. (XNYS:BLK)</v>
    <v>137289</v>
    <v>556305</v>
    <v>2024</v>
  </rv>
  <rv s="2">
    <v>40</v>
  </rv>
  <rv s="0">
    <v>https://www.bing.com/financeapi/forcetrigger?t=a1ook2&amp;q=XNYS%3aBMY&amp;form=skydnc</v>
    <v>Learn more on Bing</v>
  </rv>
  <rv s="1">
    <v>0</v>
    <v>BRISTOL-MYERS SQUIBB COMPANY (XNYS:BMY)</v>
    <v>2</v>
    <v>3</v>
    <v>Finance</v>
    <v>4</v>
    <v>en-US</v>
    <v>a1ook2</v>
    <v>268435456</v>
    <v>1</v>
    <v>Powered by Refinitiv</v>
    <v>63.33</v>
    <v>42.52</v>
    <v>0.29430000000000001</v>
    <v>1.385</v>
    <v>2.6103000000000001E-2</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34100</v>
    <v>New York Stock Exchange</v>
    <v>XNYS</v>
    <v>XNYS</v>
    <v>Route 206 And Province Line Road, PRINCETON, NJ, 08543 US</v>
    <v>54.779200000000003</v>
    <v>Pharmaceuticals</v>
    <v>Stock</v>
    <v>46028.731761029689</v>
    <v>42</v>
    <v>53.15</v>
    <v>108017100000</v>
    <v>BRISTOL-MYERS SQUIBB COMPANY</v>
    <v>BRISTOL-MYERS SQUIBB COMPANY</v>
    <v>53.2</v>
    <v>18.421600000000002</v>
    <v>53.06</v>
    <v>54.445</v>
    <v>2035753000</v>
    <v>BMY</v>
    <v>BRISTOL-MYERS SQUIBB COMPANY (XNYS:BMY)</v>
    <v>6397475</v>
    <v>15458278</v>
    <v>1933</v>
  </rv>
  <rv s="2">
    <v>43</v>
  </rv>
  <rv s="0">
    <v>https://www.bing.com/financeapi/forcetrigger?t=a1p7zr&amp;q=XNYS%3aCAT&amp;form=skydnc</v>
    <v>Learn more on Bing</v>
  </rv>
  <rv s="1">
    <v>0</v>
    <v>CATERPILLAR INC. (XNYS:CAT)</v>
    <v>2</v>
    <v>3</v>
    <v>Finance</v>
    <v>4</v>
    <v>en-US</v>
    <v>a1p7zr</v>
    <v>268435456</v>
    <v>1</v>
    <v>Powered by Refinitiv</v>
    <v>627.5</v>
    <v>267.3</v>
    <v>1.5687</v>
    <v>7.0549999999999997</v>
    <v>1.1450999999999999E-2</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624.65989999999999</v>
    <v>Machinery, Equipment &amp; Components</v>
    <v>Stock</v>
    <v>46028.731754062501</v>
    <v>45</v>
    <v>608.91</v>
    <v>291623827638</v>
    <v>CATERPILLAR INC.</v>
    <v>CATERPILLAR INC.</v>
    <v>616.04999999999995</v>
    <v>31.9739</v>
    <v>616.1</v>
    <v>623.15499999999997</v>
    <v>467979600</v>
    <v>CAT</v>
    <v>CATERPILLAR INC. (XNYS:CAT)</v>
    <v>1077106</v>
    <v>2443611</v>
    <v>1986</v>
  </rv>
  <rv s="2">
    <v>46</v>
  </rv>
  <rv s="0">
    <v>https://www.bing.com/financeapi/forcetrigger?t=a1pcf2&amp;q=XNYS%3aCCI&amp;form=skydnc</v>
    <v>Learn more on Bing</v>
  </rv>
  <rv s="1">
    <v>0</v>
    <v>CROWN CASTLE INC. (XNYS:CCI)</v>
    <v>2</v>
    <v>3</v>
    <v>Finance</v>
    <v>4</v>
    <v>en-US</v>
    <v>a1pcf2</v>
    <v>268435456</v>
    <v>1</v>
    <v>Powered by Refinitiv</v>
    <v>115.76</v>
    <v>84.2</v>
    <v>0.98089999999999999</v>
    <v>-0.68</v>
    <v>-7.6909999999999999E-3</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3900</v>
    <v>New York Stock Exchange</v>
    <v>XNYS</v>
    <v>XNYS</v>
    <v>8020 Katy Freeway, HOUSTON, TX, 77024 US</v>
    <v>88.89</v>
    <v>Residential &amp; Commercial REIT</v>
    <v>Stock</v>
    <v>46028.731783495314</v>
    <v>48</v>
    <v>87.53</v>
    <v>38208927460</v>
    <v>CROWN CASTLE INC.</v>
    <v>CROWN CASTLE INC.</v>
    <v>87.94</v>
    <v>0</v>
    <v>88.42</v>
    <v>87.74</v>
    <v>435479000</v>
    <v>CCI</v>
    <v>CROWN CASTLE INC. (XNYS:CCI)</v>
    <v>639217</v>
    <v>2680491</v>
    <v>2014</v>
  </rv>
  <rv s="2">
    <v>49</v>
  </rv>
  <rv s="0">
    <v>https://www.bing.com/financeapi/forcetrigger?t=a1pshw&amp;q=XNYS%3aCL&amp;form=skydnc</v>
    <v>Learn more on Bing</v>
  </rv>
  <rv s="1">
    <v>0</v>
    <v>COLGATE-PALMOLIVE COMPANY (XNYS:CL)</v>
    <v>2</v>
    <v>3</v>
    <v>Finance</v>
    <v>4</v>
    <v>en-US</v>
    <v>a1pshw</v>
    <v>268435456</v>
    <v>1</v>
    <v>Powered by Refinitiv</v>
    <v>100.18</v>
    <v>74.545000000000002</v>
    <v>0.2828</v>
    <v>0.17</v>
    <v>2.2100000000000002E-3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34000</v>
    <v>New York Stock Exchange</v>
    <v>XNYS</v>
    <v>XNYS</v>
    <v>300 PARK AVE, NEW YORK, NY, 10022 US</v>
    <v>77.204999999999998</v>
    <v>Personal &amp; Household Products &amp; Services</v>
    <v>Stock</v>
    <v>46028.731770103906</v>
    <v>51</v>
    <v>76.510000000000005</v>
    <v>62147603789</v>
    <v>COLGATE-PALMOLIVE COMPANY</v>
    <v>COLGATE-PALMOLIVE COMPANY</v>
    <v>76.75</v>
    <v>21.606300000000001</v>
    <v>76.930000000000007</v>
    <v>77.099999999999994</v>
    <v>806064900</v>
    <v>CL</v>
    <v>COLGATE-PALMOLIVE COMPANY (XNYS:CL)</v>
    <v>2619914</v>
    <v>5687186</v>
    <v>1923</v>
  </rv>
  <rv s="2">
    <v>52</v>
  </rv>
  <rv s="0">
    <v>https://www.bing.com/financeapi/forcetrigger?t=a1pvu2&amp;q=XNYS%3aCLX&amp;form=skydnc</v>
    <v>Learn more on Bing</v>
  </rv>
  <rv s="1">
    <v>0</v>
    <v>THE CLOROX COMPANY (XNYS:CLX)</v>
    <v>2</v>
    <v>3</v>
    <v>Finance</v>
    <v>4</v>
    <v>en-US</v>
    <v>a1pvu2</v>
    <v>268435456</v>
    <v>1</v>
    <v>Powered by Refinitiv</v>
    <v>164.2184</v>
    <v>96.6601</v>
    <v>0.5867</v>
    <v>-1.57</v>
    <v>-1.5502E-2</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products within this segment include laundry additives, home care products, bags and wraps, cat litter, water-filtration products and others.</v>
    <v>7600</v>
    <v>New York Stock Exchange</v>
    <v>XNYS</v>
    <v>XNYS</v>
    <v>1221 Broadway, OAKLAND, CA, 94612-1888 US</v>
    <v>102.41</v>
    <v>Personal &amp; Household Products &amp; Services</v>
    <v>Stock</v>
    <v>46028.731745289064</v>
    <v>54</v>
    <v>99.71</v>
    <v>12354170000</v>
    <v>THE CLOROX COMPANY</v>
    <v>THE CLOROX COMPANY</v>
    <v>100.96</v>
    <v>15.626799999999999</v>
    <v>101.28</v>
    <v>99.71</v>
    <v>121980400</v>
    <v>CLX</v>
    <v>THE CLOROX COMPANY (XNYS:CLX)</v>
    <v>965465</v>
    <v>2269711</v>
    <v>1986</v>
  </rv>
  <rv s="2">
    <v>55</v>
  </rv>
  <rv s="0">
    <v>https://www.bing.com/financeapi/forcetrigger?t=a1pwqh&amp;q=XNAS%3aCMCSA&amp;form=skydnc</v>
    <v>Learn more on Bing</v>
  </rv>
  <rv s="1">
    <v>0</v>
    <v>COMCAST CORPORATION (XNAS:CMCSA)</v>
    <v>2</v>
    <v>3</v>
    <v>Finance</v>
    <v>4</v>
    <v>en-US</v>
    <v>a1pwqh</v>
    <v>268435456</v>
    <v>1</v>
    <v>Powered by Refinitiv</v>
    <v>35.974299999999999</v>
    <v>24.1234</v>
    <v>0.80089999999999995</v>
    <v>-0.7</v>
    <v>-2.4884E-2</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Connectivity and Content &amp; Experiences business include three segments: Media, Studios and Theme Parks. The Sky provides connectivity services to customers across Europe through Sky Broadband, Sky Mobile, and Sky Business. Sky Business extends broadband services and purpose-built products to businesses in Europe.</v>
    <v>182000</v>
    <v>Nasdaq Stock Market</v>
    <v>XNAS</v>
    <v>XNAS</v>
    <v>One Comcast Center, PHILADELPHIA, PA, 19103-2838 US</v>
    <v>27.94</v>
    <v>Telecommunications Services</v>
    <v>Stock</v>
    <v>46028.73177476797</v>
    <v>57</v>
    <v>27.26</v>
    <v>99952039850</v>
    <v>COMCAST CORPORATION</v>
    <v>COMCAST CORPORATION</v>
    <v>27.82</v>
    <v>4.5542999999999996</v>
    <v>28.13</v>
    <v>27.43</v>
    <v>3643895000</v>
    <v>CMCSA</v>
    <v>COMCAST CORPORATION (XNAS:CMCSA)</v>
    <v>12853489</v>
    <v>37418902</v>
    <v>2001</v>
  </rv>
  <rv s="2">
    <v>58</v>
  </rv>
  <rv s="0">
    <v>https://www.bing.com/financeapi/forcetrigger?t=a1q19c&amp;q=XNYS%3aCNI&amp;form=skydnc</v>
    <v>Learn more on Bing</v>
  </rv>
  <rv s="1">
    <v>0</v>
    <v>Canadian National Railway Company (XNYS:CNI)</v>
    <v>2</v>
    <v>5</v>
    <v>Finance</v>
    <v>4</v>
    <v>en-US</v>
    <v>a1q19c</v>
    <v>268435456</v>
    <v>1</v>
    <v>Powered by Refinitiv</v>
    <v>108.745</v>
    <v>90.74</v>
    <v>0.87919999999999998</v>
    <v>0.49</v>
    <v>4.9329999999999999E-3</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24237</v>
    <v>New York Stock Exchange</v>
    <v>XNYS</v>
    <v>XNYS</v>
    <v>935 de la Gauchetiere Street West, MONTREAL, QC, H3B 2M9 CA</v>
    <v>100.363</v>
    <v>Freight &amp; Logistics Services</v>
    <v>Stock</v>
    <v>46028.731373796094</v>
    <v>60</v>
    <v>98.84</v>
    <v>84312200000</v>
    <v>Canadian National Railway Company</v>
    <v>Canadian National Railway Company</v>
    <v>99.43</v>
    <v>18.868500000000001</v>
    <v>99.33</v>
    <v>99.82</v>
    <v>616497500</v>
    <v>CNI</v>
    <v>Canadian National Railway Company (XNYS:CNI)</v>
    <v>297380</v>
    <v>1344647</v>
    <v>1995</v>
  </rv>
  <rv s="2">
    <v>61</v>
  </rv>
  <rv s="0">
    <v>https://www.bing.com/financeapi/forcetrigger?t=a1q6k2&amp;q=XNAS%3aCOST&amp;form=skydnc</v>
    <v>Learn more on Bing</v>
  </rv>
  <rv s="1">
    <v>0</v>
    <v>COSTCO WHOLESALE CORPORATION (XNAS:COST)</v>
    <v>2</v>
    <v>3</v>
    <v>Finance</v>
    <v>4</v>
    <v>en-US</v>
    <v>a1q6k2</v>
    <v>268435456</v>
    <v>1</v>
    <v>Powered by Refinitiv</v>
    <v>1078.2349999999999</v>
    <v>844.06</v>
    <v>1.0024999999999999</v>
    <v>12.875999999999999</v>
    <v>1.4702999999999999E-2</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888.63499999999999</v>
    <v>Diversified Retail</v>
    <v>Stock</v>
    <v>46028.731793020313</v>
    <v>63</v>
    <v>871.3</v>
    <v>394429450750</v>
    <v>COSTCO WHOLESALE CORPORATION</v>
    <v>COSTCO WHOLESALE CORPORATION</v>
    <v>875.67</v>
    <v>47.600499999999997</v>
    <v>875.74</v>
    <v>888.61599999999999</v>
    <v>443869400</v>
    <v>COST</v>
    <v>COSTCO WHOLESALE CORPORATION (XNAS:COST)</v>
    <v>1164019</v>
    <v>2800870</v>
    <v>1987</v>
  </rv>
  <rv s="2">
    <v>64</v>
  </rv>
  <rv s="0">
    <v>https://www.bing.com/financeapi/forcetrigger?t=a1q7jc&amp;q=XNYS%3aCPB&amp;form=skydnc</v>
    <v>Learn more on Bing</v>
  </rv>
  <rv s="1">
    <v>0</v>
    <v>THE CAMPBELL'S COMPANY (XNAS:CPB)</v>
    <v>2</v>
    <v>3</v>
    <v>Finance</v>
    <v>4</v>
    <v>en-US</v>
    <v>a1q7jc</v>
    <v>268435456</v>
    <v>1</v>
    <v>Powered by Refinitiv</v>
    <v>43.85</v>
    <v>26.58</v>
    <v>-4.1599999999999998E-2</v>
    <v>5.0000000000000001E-3</v>
    <v>1.875E-4</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26.815000000000001</v>
    <v>Food &amp; Tobacco</v>
    <v>Stock</v>
    <v>46028.731734698435</v>
    <v>66</v>
    <v>26.58</v>
    <v>7952729785</v>
    <v>THE CAMPBELL'S COMPANY</v>
    <v>THE CAMPBELL'S COMPANY</v>
    <v>26.7</v>
    <v>13.8119</v>
    <v>26.67</v>
    <v>26.675000000000001</v>
    <v>298134200</v>
    <v>CPB</v>
    <v>THE CAMPBELL'S COMPANY (XNAS:CPB)</v>
    <v>3009442</v>
    <v>6980277</v>
    <v>1922</v>
  </rv>
  <rv s="2">
    <v>67</v>
  </rv>
  <rv s="0">
    <v>https://www.bing.com/financeapi/forcetrigger?t=a1qlnm&amp;q=XNYS%3aCVS&amp;form=skydnc</v>
    <v>Learn more on Bing</v>
  </rv>
  <rv s="1">
    <v>0</v>
    <v>CVS HEALTH CORPORATION (XNYS:CVS)</v>
    <v>2</v>
    <v>3</v>
    <v>Finance</v>
    <v>4</v>
    <v>en-US</v>
    <v>a1qlnm</v>
    <v>268435456</v>
    <v>1</v>
    <v>Powered by Refinitiv</v>
    <v>85.15</v>
    <v>44.92</v>
    <v>0.4945</v>
    <v>1.01</v>
    <v>1.2559000000000001E-2</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81.53</v>
    <v>Healthcare Providers &amp; Services</v>
    <v>Stock</v>
    <v>46028.731730774998</v>
    <v>69</v>
    <v>79.760000000000005</v>
    <v>102087800000</v>
    <v>CVS HEALTH CORPORATION</v>
    <v>CVS HEALTH CORPORATION</v>
    <v>80.39</v>
    <v>213.33510000000001</v>
    <v>80.42</v>
    <v>81.430000000000007</v>
    <v>1269432000</v>
    <v>CVS</v>
    <v>CVS HEALTH CORPORATION (XNYS:CVS)</v>
    <v>2212211</v>
    <v>6785073</v>
    <v>1996</v>
  </rv>
  <rv s="2">
    <v>70</v>
  </rv>
  <rv s="0">
    <v>https://www.bing.com/financeapi/forcetrigger?t=a1qlz2&amp;q=XNYS%3aCVX&amp;form=skydnc</v>
    <v>Learn more on Bing</v>
  </rv>
  <rv s="1">
    <v>0</v>
    <v>CHEVRON CORPORATION (XNYS:CVX)</v>
    <v>2</v>
    <v>3</v>
    <v>Finance</v>
    <v>4</v>
    <v>en-US</v>
    <v>a1qlz2</v>
    <v>268435456</v>
    <v>1</v>
    <v>Powered by Refinitiv</v>
    <v>168.96</v>
    <v>132.04</v>
    <v>0.6875</v>
    <v>-5.8479999999999999</v>
    <v>-3.5691000000000001E-2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165.05</v>
    <v>Oil &amp; Gas</v>
    <v>Stock</v>
    <v>46028.7317873375</v>
    <v>72</v>
    <v>157.93</v>
    <v>318140503044</v>
    <v>CHEVRON CORPORATION</v>
    <v>CHEVRON CORPORATION</v>
    <v>164.77</v>
    <v>22.310700000000001</v>
    <v>163.85</v>
    <v>158.00200000000001</v>
    <v>2013522000</v>
    <v>CVX</v>
    <v>CHEVRON CORPORATION (XNYS:CVX)</v>
    <v>9793641</v>
    <v>9052460</v>
    <v>1926</v>
  </rv>
  <rv s="2">
    <v>73</v>
  </rv>
  <rv s="0">
    <v>https://www.bing.com/financeapi/forcetrigger?t=a1qpw7&amp;q=XNYS%3aD&amp;form=skydnc</v>
    <v>Learn more on Bing</v>
  </rv>
  <rv s="1">
    <v>0</v>
    <v>Dominion Energy, Inc. (XNYS:D)</v>
    <v>2</v>
    <v>3</v>
    <v>Finance</v>
    <v>4</v>
    <v>en-US</v>
    <v>a1qpw7</v>
    <v>268435456</v>
    <v>1</v>
    <v>Powered by Refinitiv</v>
    <v>62.87</v>
    <v>48.07</v>
    <v>0.69650000000000001</v>
    <v>0.02</v>
    <v>3.4079999999999999E-4</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14700</v>
    <v>New York Stock Exchange</v>
    <v>XNYS</v>
    <v>XNYS</v>
    <v>600 EAST CANAL STREET, RICHMOND, VA, 23219 US</v>
    <v>59.21</v>
    <v>Electrical Utilities &amp; IPPs</v>
    <v>Stock</v>
    <v>46028.731781747658</v>
    <v>75</v>
    <v>58.66</v>
    <v>50133249843</v>
    <v>Dominion Energy, Inc.</v>
    <v>Dominion Energy, Inc.</v>
    <v>58.85</v>
    <v>22.0383</v>
    <v>58.69</v>
    <v>58.71</v>
    <v>853913300</v>
    <v>D</v>
    <v>Dominion Energy, Inc. (XNYS:D)</v>
    <v>1461861</v>
    <v>6919100</v>
    <v>1983</v>
  </rv>
  <rv s="2">
    <v>76</v>
  </rv>
  <rv s="0">
    <v>https://www.bing.com/financeapi/forcetrigger?t=a1qvjc&amp;q=XNYS%3aDE&amp;form=skydnc</v>
    <v>Learn more on Bing</v>
  </rv>
  <rv s="1">
    <v>0</v>
    <v>DEERE &amp; COMPANY (XNYS:DE)</v>
    <v>2</v>
    <v>3</v>
    <v>Finance</v>
    <v>4</v>
    <v>en-US</v>
    <v>a1qvjc</v>
    <v>268435456</v>
    <v>1</v>
    <v>Powered by Refinitiv</v>
    <v>533.78</v>
    <v>403.01</v>
    <v>1.0262</v>
    <v>18.254999999999999</v>
    <v>3.9164999999999998E-2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484.96</v>
    <v>Machinery, Equipment &amp; Components</v>
    <v>Stock</v>
    <v>46028.731762846874</v>
    <v>78</v>
    <v>464.31</v>
    <v>130991581717</v>
    <v>DEERE &amp; COMPANY</v>
    <v>DEERE &amp; COMPANY</v>
    <v>465.97500000000002</v>
    <v>26.1722</v>
    <v>466.1</v>
    <v>484.35500000000002</v>
    <v>270445400</v>
    <v>DE</v>
    <v>DEERE &amp; COMPANY (XNYS:DE)</v>
    <v>654201</v>
    <v>1369825</v>
    <v>1958</v>
  </rv>
  <rv s="2">
    <v>79</v>
  </rv>
  <rv s="0">
    <v>https://www.bing.com/financeapi/forcetrigger?t=a1qwoc&amp;q=XNYS%3aDEO&amp;form=skydnc</v>
    <v>Learn more on Bing</v>
  </rv>
  <rv s="1">
    <v>0</v>
    <v>DIAGEO PLC (XNYS:DEO)</v>
    <v>2</v>
    <v>3</v>
    <v>Finance</v>
    <v>4</v>
    <v>en-US</v>
    <v>a1qwoc</v>
    <v>268435456</v>
    <v>1</v>
    <v>Powered by Refinitiv</v>
    <v>126.73</v>
    <v>85.114999999999995</v>
    <v>0.45660000000000001</v>
    <v>-0.83</v>
    <v>-9.2689999999999995E-3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89.22</v>
    <v>Beverages</v>
    <v>Stock</v>
    <v>46028.731709710155</v>
    <v>81</v>
    <v>88.05</v>
    <v>48952860000</v>
    <v>DIAGEO PLC</v>
    <v>DIAGEO PLC</v>
    <v>88.26</v>
    <v>20.992899999999999</v>
    <v>89.55</v>
    <v>88.72</v>
    <v>556606600</v>
    <v>DEO</v>
    <v>DIAGEO PLC (XNYS:DEO)</v>
    <v>944076</v>
    <v>1734416</v>
    <v>1886</v>
  </rv>
  <rv s="2">
    <v>82</v>
  </rv>
  <rv s="0">
    <v>https://www.bing.com/financeapi/forcetrigger?t=bpifbh&amp;q=XNYS%3aDOW&amp;form=skydnc</v>
    <v>Learn more on Bing</v>
  </rv>
  <rv s="1">
    <v>0</v>
    <v>Dow Inc. (XNYS:DOW)</v>
    <v>2</v>
    <v>3</v>
    <v>Finance</v>
    <v>4</v>
    <v>en-US</v>
    <v>bpifbh</v>
    <v>268435456</v>
    <v>1</v>
    <v>Powered by Refinitiv</v>
    <v>42.173999999999999</v>
    <v>20.401900000000001</v>
    <v>0.76580000000000004</v>
    <v>0.755</v>
    <v>3.0320999999999997E-2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36000</v>
    <v>New York Stock Exchange</v>
    <v>XNYS</v>
    <v>XNYS</v>
    <v>2211 H.H. Dow Way, MIDLAND, MI, 48674 US</v>
    <v>25.67</v>
    <v>Chemicals</v>
    <v>Stock</v>
    <v>46028.731786875003</v>
    <v>84</v>
    <v>24.684999999999999</v>
    <v>18234737647</v>
    <v>Dow Inc.</v>
    <v>Dow Inc.</v>
    <v>24.78</v>
    <v>0</v>
    <v>24.9</v>
    <v>25.655000000000001</v>
    <v>710767400</v>
    <v>DOW</v>
    <v>Dow Inc. (XNYS:DOW)</v>
    <v>4028399</v>
    <v>10892097</v>
    <v>2018</v>
  </rv>
  <rv s="2">
    <v>85</v>
  </rv>
  <rv s="0">
    <v>https://www.bing.com/financeapi/forcetrigger?t=a1rdzr&amp;q=XNYS%3aDUK&amp;form=skydnc</v>
    <v>Learn more on Bing</v>
  </rv>
  <rv s="1">
    <v>0</v>
    <v>DUKE ENERGY CORPORATION (XNYS:DUK)</v>
    <v>2</v>
    <v>3</v>
    <v>Finance</v>
    <v>4</v>
    <v>en-US</v>
    <v>a1rdzr</v>
    <v>268435456</v>
    <v>1</v>
    <v>Powered by Refinitiv</v>
    <v>130.03</v>
    <v>105.2</v>
    <v>0.49669999999999997</v>
    <v>-0.36</v>
    <v>-3.0819999999999997E-3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26413</v>
    <v>New York Stock Exchange</v>
    <v>XNYS</v>
    <v>XNYS</v>
    <v>525 South Tryon Street, CHARLOTTE, NC, 28202-1803 US</v>
    <v>117.2546</v>
    <v>Electrical Utilities &amp; IPPs</v>
    <v>Stock</v>
    <v>46028.731775867971</v>
    <v>87</v>
    <v>116.4</v>
    <v>90558646740</v>
    <v>DUKE ENERGY CORPORATION</v>
    <v>DUKE ENERGY CORPORATION</v>
    <v>116.79</v>
    <v>18.2959</v>
    <v>116.81</v>
    <v>116.45</v>
    <v>777661200</v>
    <v>DUK</v>
    <v>DUKE ENERGY CORPORATION (XNYS:DUK)</v>
    <v>817045</v>
    <v>3270822</v>
    <v>2005</v>
  </rv>
  <rv s="2">
    <v>88</v>
  </rv>
  <rv s="0">
    <v>https://www.bing.com/financeapi/forcetrigger?t=a1rmkr&amp;q=XNYS%3aED&amp;form=skydnc</v>
    <v>Learn more on Bing</v>
  </rv>
  <rv s="1">
    <v>0</v>
    <v>CONSOLIDATED EDISON, INC. (XNYS:ED)</v>
    <v>2</v>
    <v>3</v>
    <v>Finance</v>
    <v>4</v>
    <v>en-US</v>
    <v>a1rmkr</v>
    <v>268435456</v>
    <v>1</v>
    <v>Powered by Refinitiv</v>
    <v>114.87</v>
    <v>87.28</v>
    <v>0.37590000000000001</v>
    <v>0.24</v>
    <v>2.4369999999999999E-3</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15097</v>
    <v>New York Stock Exchange</v>
    <v>XNYS</v>
    <v>XNYS</v>
    <v>4 Irving Place, NEW YORK, NY, 10003 US</v>
    <v>99.069900000000004</v>
    <v>Electrical Utilities &amp; IPPs</v>
    <v>Stock</v>
    <v>46028.731759432812</v>
    <v>90</v>
    <v>98.17</v>
    <v>35638781144</v>
    <v>CONSOLIDATED EDISON, INC.</v>
    <v>CONSOLIDATED EDISON, INC.</v>
    <v>98.53</v>
    <v>17.248100000000001</v>
    <v>98.5</v>
    <v>98.74</v>
    <v>360935600</v>
    <v>ED</v>
    <v>CONSOLIDATED EDISON, INC. (XNYS:ED)</v>
    <v>379460</v>
    <v>1901433</v>
    <v>1997</v>
  </rv>
  <rv s="2">
    <v>91</v>
  </rv>
  <rv s="0">
    <v>https://www.bing.com/financeapi/forcetrigger?t=a1rxu2&amp;q=XNYS%3aEMN&amp;form=skydnc</v>
    <v>Learn more on Bing</v>
  </rv>
  <rv s="1">
    <v>0</v>
    <v>EASTMAN CHEMICAL COMPANY (XNYS:EMN)</v>
    <v>2</v>
    <v>3</v>
    <v>Finance</v>
    <v>4</v>
    <v>en-US</v>
    <v>a1rxu2</v>
    <v>268435456</v>
    <v>1</v>
    <v>Powered by Refinitiv</v>
    <v>103.82</v>
    <v>56.11</v>
    <v>1.2436</v>
    <v>3.34</v>
    <v>5.1582999999999997E-2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68.09</v>
    <v>Chemicals</v>
    <v>Stock</v>
    <v>46028.731778298439</v>
    <v>93</v>
    <v>64.47</v>
    <v>7767012682</v>
    <v>EASTMAN CHEMICAL COMPANY</v>
    <v>EASTMAN CHEMICAL COMPANY</v>
    <v>64.47</v>
    <v>11.3444</v>
    <v>64.75</v>
    <v>68.09</v>
    <v>114069800</v>
    <v>EMN</v>
    <v>EASTMAN CHEMICAL COMPANY (XNYS:EMN)</v>
    <v>724997</v>
    <v>1548272</v>
    <v>1993</v>
  </rv>
  <rv s="2">
    <v>94</v>
  </rv>
  <rv s="0">
    <v>https://www.bing.com/financeapi/forcetrigger?t=a1s24c&amp;q=XNYS%3aEOG&amp;form=skydnc</v>
    <v>Learn more on Bing</v>
  </rv>
  <rv s="1">
    <v>0</v>
    <v>EOG RESOURCES, INC. (XNYS:EOG)</v>
    <v>2</v>
    <v>3</v>
    <v>Finance</v>
    <v>4</v>
    <v>en-US</v>
    <v>a1s24c</v>
    <v>268435456</v>
    <v>1</v>
    <v>Powered by Refinitiv</v>
    <v>138.18</v>
    <v>101.5936</v>
    <v>0.49249999999999999</v>
    <v>-0.73380000000000001</v>
    <v>-6.9099999999999995E-3</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107.09</v>
    <v>Oil &amp; Gas</v>
    <v>Stock</v>
    <v>46028.731764432814</v>
    <v>96</v>
    <v>105.4662</v>
    <v>57225791374</v>
    <v>EOG RESOURCES, INC.</v>
    <v>EOG RESOURCES, INC.</v>
    <v>106.41</v>
    <v>10.4849</v>
    <v>106.2</v>
    <v>105.4662</v>
    <v>542598400</v>
    <v>EOG</v>
    <v>EOG RESOURCES, INC. (XNYS:EOG)</v>
    <v>1162701</v>
    <v>3736305</v>
    <v>1985</v>
  </rv>
  <rv s="2">
    <v>97</v>
  </rv>
  <rv s="0">
    <v>https://www.bing.com/financeapi/forcetrigger?t=a1sl52&amp;q=XNAS%3aFAST&amp;form=skydnc</v>
    <v>Learn more on Bing</v>
  </rv>
  <rv s="1">
    <v>0</v>
    <v>Fastenal Company (XNAS:FAST)</v>
    <v>2</v>
    <v>3</v>
    <v>Finance</v>
    <v>4</v>
    <v>en-US</v>
    <v>a1sl52</v>
    <v>268435456</v>
    <v>1</v>
    <v>Powered by Refinitiv</v>
    <v>50.63</v>
    <v>35.305</v>
    <v>0.8851</v>
    <v>6.5000000000000002E-2</v>
    <v>1.58E-3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21568</v>
    <v>Nasdaq Stock Market</v>
    <v>XNAS</v>
    <v>XNAS</v>
    <v>2001 Theurer Blvd, WINONA, MN, 55987 US</v>
    <v>41.26</v>
    <v>Machinery, Equipment &amp; Components</v>
    <v>Stock</v>
    <v>46028.731745219535</v>
    <v>99</v>
    <v>40.75</v>
    <v>47316303740</v>
    <v>Fastenal Company</v>
    <v>Fastenal Company</v>
    <v>40.89</v>
    <v>38.645099999999999</v>
    <v>41.15</v>
    <v>41.215000000000003</v>
    <v>1148036000</v>
    <v>FAST</v>
    <v>Fastenal Company (XNAS:FAST)</v>
    <v>1670546</v>
    <v>6924967</v>
    <v>1968</v>
  </rv>
  <rv s="2">
    <v>100</v>
  </rv>
  <rv s="0">
    <v>https://www.bing.com/financeapi/forcetrigger?t=a1sqr7&amp;q=XNYS%3aFDX&amp;form=skydnc</v>
    <v>Learn more on Bing</v>
  </rv>
  <rv s="1">
    <v>0</v>
    <v>FEDEX CORPORATION (XNYS:FDX)</v>
    <v>2</v>
    <v>3</v>
    <v>Finance</v>
    <v>4</v>
    <v>en-US</v>
    <v>a1sqr7</v>
    <v>268435456</v>
    <v>1</v>
    <v>Powered by Refinitiv</v>
    <v>303.75</v>
    <v>194.29499999999999</v>
    <v>1.3414999999999999</v>
    <v>5.55</v>
    <v>1.8657999999999998E-2</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303.75</v>
    <v>Freight &amp; Logistics Services</v>
    <v>Stock</v>
    <v>46028.731788124998</v>
    <v>102</v>
    <v>297.13</v>
    <v>71244559628</v>
    <v>FEDEX CORPORATION</v>
    <v>FEDEX CORPORATION</v>
    <v>297.23</v>
    <v>16.727</v>
    <v>297.45999999999998</v>
    <v>303.01</v>
    <v>235122800</v>
    <v>FDX</v>
    <v>FEDEX CORPORATION (XNYS:FDX)</v>
    <v>1002409</v>
    <v>1628281</v>
    <v>1997</v>
  </rv>
  <rv s="2">
    <v>103</v>
  </rv>
  <rv s="0">
    <v>https://www.bing.com/financeapi/forcetrigger?t=a1t227&amp;q=XNYS%3aFLO&amp;form=skydnc</v>
    <v>Learn more on Bing</v>
  </rv>
  <rv s="1">
    <v>0</v>
    <v>FLOWERS FOODS, INC. (XNYS:FLO)</v>
    <v>2</v>
    <v>3</v>
    <v>Finance</v>
    <v>4</v>
    <v>en-US</v>
    <v>a1t227</v>
    <v>268435456</v>
    <v>1</v>
    <v>Powered by Refinitiv</v>
    <v>20.86</v>
    <v>10.23</v>
    <v>0.31890000000000002</v>
    <v>0.17499999999999999</v>
    <v>1.6957E-2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10200</v>
    <v>New York Stock Exchange</v>
    <v>XNYS</v>
    <v>XNYS</v>
    <v>1919 Flowers Cir, THOMASVILLE, GA, 31757 US</v>
    <v>10.52</v>
    <v>Food &amp; Tobacco</v>
    <v>Stock</v>
    <v>46028.73169547422</v>
    <v>105</v>
    <v>10.23</v>
    <v>2216315209</v>
    <v>FLOWERS FOODS, INC.</v>
    <v>FLOWERS FOODS, INC.</v>
    <v>10.26</v>
    <v>11.4674</v>
    <v>10.32</v>
    <v>10.494999999999999</v>
    <v>211178200</v>
    <v>FLO</v>
    <v>FLOWERS FOODS, INC. (XNYS:FLO)</v>
    <v>2131304</v>
    <v>3940488</v>
    <v>2000</v>
  </rv>
  <rv s="2">
    <v>106</v>
  </rv>
  <rv s="0">
    <v>https://www.bing.com/financeapi/forcetrigger?t=a1tppr&amp;q=XNYS%3aGD&amp;form=skydnc</v>
    <v>Learn more on Bing</v>
  </rv>
  <rv s="1">
    <v>0</v>
    <v>GENERAL DYNAMICS CORPORATION (XNYS:GD)</v>
    <v>2</v>
    <v>3</v>
    <v>Finance</v>
    <v>4</v>
    <v>en-US</v>
    <v>a1tppr</v>
    <v>268435456</v>
    <v>1</v>
    <v>Powered by Refinitiv</v>
    <v>361.94</v>
    <v>239.2</v>
    <v>0.40920000000000001</v>
    <v>4.03</v>
    <v>1.1334E-2</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361.94</v>
    <v>Aerospace &amp; Defense</v>
    <v>Stock</v>
    <v>46028.731787962497</v>
    <v>108</v>
    <v>356.97</v>
    <v>97132630595</v>
    <v>GENERAL DYNAMICS CORPORATION</v>
    <v>GENERAL DYNAMICS CORPORATION</v>
    <v>357.76</v>
    <v>23.313199999999998</v>
    <v>355.56</v>
    <v>359.59</v>
    <v>270120500</v>
    <v>GD</v>
    <v>GENERAL DYNAMICS CORPORATION (XNYS:GD)</v>
    <v>388627</v>
    <v>1120547</v>
    <v>1952</v>
  </rv>
  <rv s="2">
    <v>109</v>
  </rv>
  <rv s="0">
    <v>https://www.bing.com/financeapi/forcetrigger?t=a1tvzr&amp;q=XNYS%3aGIS&amp;form=skydnc</v>
    <v>Learn more on Bing</v>
  </rv>
  <rv s="1">
    <v>0</v>
    <v>GENERAL MILLS, INC. (XNYS:GIS)</v>
    <v>2</v>
    <v>3</v>
    <v>Finance</v>
    <v>4</v>
    <v>en-US</v>
    <v>a1tvzr</v>
    <v>268435456</v>
    <v>1</v>
    <v>Powered by Refinitiv</v>
    <v>67.349999999999994</v>
    <v>43.87</v>
    <v>-6.8900000000000003E-2</v>
    <v>-0.3</v>
    <v>-6.7610000000000005E-3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44.42</v>
    <v>Food &amp; Tobacco</v>
    <v>Stock</v>
    <v>46028.731770902341</v>
    <v>111</v>
    <v>43.87</v>
    <v>23514963147</v>
    <v>GENERAL MILLS, INC.</v>
    <v>GENERAL MILLS, INC.</v>
    <v>44.38</v>
    <v>9.4548000000000005</v>
    <v>44.37</v>
    <v>44.07</v>
    <v>533582100</v>
    <v>GIS</v>
    <v>GENERAL MILLS, INC. (XNYS:GIS)</v>
    <v>4147126</v>
    <v>7106368</v>
    <v>1928</v>
  </rv>
  <rv s="2">
    <v>112</v>
  </rv>
  <rv s="0">
    <v>https://www.bing.com/financeapi/forcetrigger?t=a1u3rw&amp;q=XNAS%3aGOOGL&amp;form=skydnc</v>
    <v>Learn more on Bing</v>
  </rv>
  <rv s="1">
    <v>0</v>
    <v>ALPHABET INC. (XNAS:GOOGL)</v>
    <v>2</v>
    <v>3</v>
    <v>Finance</v>
    <v>4</v>
    <v>en-US</v>
    <v>a1u3rw</v>
    <v>268435456</v>
    <v>1</v>
    <v>Powered by Refinitiv</v>
    <v>328.83</v>
    <v>140.53</v>
    <v>1.0949</v>
    <v>-3.11</v>
    <v>-9.8250000000000004E-3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320.94</v>
    <v>Software &amp; IT Services</v>
    <v>Stock</v>
    <v>46028.731773055471</v>
    <v>114</v>
    <v>311.79000000000002</v>
    <v>3823906000000</v>
    <v>ALPHABET INC.</v>
    <v>ALPHABET INC.</v>
    <v>316.5</v>
    <v>30.907499999999999</v>
    <v>316.54000000000002</v>
    <v>313.43</v>
    <v>12067000000</v>
    <v>GOOGL</v>
    <v>ALPHABET INC. (XNAS:GOOGL)</v>
    <v>15042772</v>
    <v>30657294</v>
    <v>2015</v>
  </rv>
  <rv s="2">
    <v>115</v>
  </rv>
  <rv s="0">
    <v>https://www.bing.com/financeapi/forcetrigger?t=a1uj52&amp;q=XNYS%3aHD&amp;form=skydnc</v>
    <v>Learn more on Bing</v>
  </rv>
  <rv s="1">
    <v>0</v>
    <v>THE HOME DEPOT, INC. (XNYS:HD)</v>
    <v>2</v>
    <v>3</v>
    <v>Finance</v>
    <v>4</v>
    <v>en-US</v>
    <v>a1uj52</v>
    <v>268435456</v>
    <v>1</v>
    <v>Powered by Refinitiv</v>
    <v>426.75</v>
    <v>326.31</v>
    <v>1.0788</v>
    <v>4.7699999999999996</v>
    <v>1.3863E-2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348.87</v>
    <v>Specialty Retailers</v>
    <v>Stock</v>
    <v>46028.731784062496</v>
    <v>117</v>
    <v>337.71</v>
    <v>347294141890</v>
    <v>THE HOME DEPOT, INC.</v>
    <v>THE HOME DEPOT, INC.</v>
    <v>341.11</v>
    <v>23.794899999999998</v>
    <v>344.09</v>
    <v>348.86</v>
    <v>995511500</v>
    <v>HD</v>
    <v>THE HOME DEPOT, INC. (XNYS:HD)</v>
    <v>1868201</v>
    <v>4455920</v>
    <v>1978</v>
  </rv>
  <rv s="2">
    <v>118</v>
  </rv>
  <rv s="0">
    <v>https://www.bing.com/financeapi/forcetrigger?t=a1uv7w&amp;q=XNYS%3aHRL&amp;form=skydnc</v>
    <v>Learn more on Bing</v>
  </rv>
  <rv s="1">
    <v>0</v>
    <v>HORMEL FOODS CORPORATION (XNYS:HRL)</v>
    <v>2</v>
    <v>3</v>
    <v>Finance</v>
    <v>4</v>
    <v>en-US</v>
    <v>a1uv7w</v>
    <v>268435456</v>
    <v>1</v>
    <v>Powered by Refinitiv</v>
    <v>32.07</v>
    <v>21.03</v>
    <v>0.32869999999999999</v>
    <v>-0.09</v>
    <v>-3.9199999999999999E-3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23.01</v>
    <v>Food &amp; Tobacco</v>
    <v>Stock</v>
    <v>46028.731782939059</v>
    <v>120</v>
    <v>22.83</v>
    <v>12630460000</v>
    <v>HORMEL FOODS CORPORATION</v>
    <v>HORMEL FOODS CORPORATION</v>
    <v>22.905000000000001</v>
    <v>26.323699999999999</v>
    <v>22.96</v>
    <v>22.87</v>
    <v>550106900</v>
    <v>HRL</v>
    <v>HORMEL FOODS CORPORATION (XNYS:HRL)</v>
    <v>1404346</v>
    <v>5098415</v>
    <v>1928</v>
  </rv>
  <rv s="2">
    <v>121</v>
  </rv>
  <rv s="0">
    <v>https://www.bing.com/financeapi/forcetrigger?t=a1uwu2&amp;q=XNYS%3aHSY&amp;form=skydnc</v>
    <v>Learn more on Bing</v>
  </rv>
  <rv s="1">
    <v>0</v>
    <v>THE HERSHEY COMPANY (XNYS:HSY)</v>
    <v>2</v>
    <v>3</v>
    <v>Finance</v>
    <v>4</v>
    <v>en-US</v>
    <v>a1uwu2</v>
    <v>268435456</v>
    <v>1</v>
    <v>Powered by Refinitiv</v>
    <v>199</v>
    <v>140.13</v>
    <v>0.16719999999999999</v>
    <v>0.55879999999999996</v>
    <v>3.1050000000000001E-3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18540</v>
    <v>New York Stock Exchange</v>
    <v>XNYS</v>
    <v>XNYS</v>
    <v>19 East Chocolate Avenue, External Rptg &amp; Compliance, HERSHEY, PA, 17033 US</v>
    <v>182.4</v>
    <v>Food &amp; Tobacco</v>
    <v>Stock</v>
    <v>46028.731764976561</v>
    <v>123</v>
    <v>179.34</v>
    <v>36612606462</v>
    <v>THE HERSHEY COMPANY</v>
    <v>THE HERSHEY COMPANY</v>
    <v>180.1</v>
    <v>20.800999999999998</v>
    <v>179.99</v>
    <v>180.5488</v>
    <v>202785100</v>
    <v>HSY</v>
    <v>THE HERSHEY COMPANY (XNYS:HSY)</v>
    <v>519747</v>
    <v>1400215</v>
    <v>1927</v>
  </rv>
  <rv s="2">
    <v>124</v>
  </rv>
  <rv s="0">
    <v>https://www.bing.com/financeapi/forcetrigger?t=a1vmf2&amp;q=XNAS%3aINTC&amp;form=skydnc</v>
    <v>Learn more on Bing</v>
  </rv>
  <rv s="1">
    <v>0</v>
    <v>INTEL CORPORATION (XNAS:INTC)</v>
    <v>2</v>
    <v>3</v>
    <v>Finance</v>
    <v>4</v>
    <v>en-US</v>
    <v>a1vmf2</v>
    <v>268435456</v>
    <v>1</v>
    <v>Powered by Refinitiv</v>
    <v>44.02</v>
    <v>17.664999999999999</v>
    <v>1.3798999999999999</v>
    <v>0.32990000000000003</v>
    <v>8.3789999999999993E-3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108900</v>
    <v>Nasdaq Stock Market</v>
    <v>XNAS</v>
    <v>XNAS</v>
    <v>2200 Mission College Blvd, Rnb-4-151, SANTA CLARA, CA, 95054 US</v>
    <v>39.880000000000003</v>
    <v>Semiconductors &amp; Semiconductor Equipment</v>
    <v>Stock</v>
    <v>46028.731768923441</v>
    <v>126</v>
    <v>38.950000000000003</v>
    <v>189368523000</v>
    <v>INTEL CORPORATION</v>
    <v>INTEL CORPORATION</v>
    <v>39.82</v>
    <v>3745.2736</v>
    <v>39.369999999999997</v>
    <v>39.6999</v>
    <v>4770000000</v>
    <v>INTC</v>
    <v>INTEL CORPORATION (XNAS:INTC)</v>
    <v>33624648</v>
    <v>76615893</v>
    <v>1989</v>
  </rv>
  <rv s="2">
    <v>127</v>
  </rv>
  <rv s="0">
    <v>https://www.bing.com/financeapi/forcetrigger?t=a1vmtc&amp;q=XNAS%3aINTU&amp;form=skydnc</v>
    <v>Learn more on Bing</v>
  </rv>
  <rv s="1">
    <v>0</v>
    <v>INTUIT INC. (XNAS:INTU)</v>
    <v>2</v>
    <v>3</v>
    <v>Finance</v>
    <v>4</v>
    <v>en-US</v>
    <v>a1vmtc</v>
    <v>268435456</v>
    <v>1</v>
    <v>Powered by Refinitiv</v>
    <v>813.7</v>
    <v>532.64499999999998</v>
    <v>1.2487999999999999</v>
    <v>6.84</v>
    <v>1.0791E-2</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649.23720000000003</v>
    <v>Financial Technology (Fintech) &amp; Infrastructure</v>
    <v>Stock</v>
    <v>46028.731763772659</v>
    <v>129</v>
    <v>627.72</v>
    <v>178284650388</v>
    <v>INTUIT INC.</v>
    <v>INTUIT INC.</v>
    <v>631.01</v>
    <v>43.995199999999997</v>
    <v>633.84</v>
    <v>640.67999999999995</v>
    <v>278274100</v>
    <v>INTU</v>
    <v>INTUIT INC. (XNAS:INTU)</v>
    <v>988992</v>
    <v>1739402</v>
    <v>1993</v>
  </rv>
  <rv s="2">
    <v>130</v>
  </rv>
  <rv s="0">
    <v>https://www.bing.com/financeapi/forcetrigger?t=a1w8ec&amp;q=XNYS%3aJNJ&amp;form=skydnc</v>
    <v>Learn more on Bing</v>
  </rv>
  <rv s="1">
    <v>0</v>
    <v>JOHNSON &amp; JOHNSON (XNYS:JNJ)</v>
    <v>2</v>
    <v>3</v>
    <v>Finance</v>
    <v>4</v>
    <v>en-US</v>
    <v>a1w8ec</v>
    <v>268435456</v>
    <v>1</v>
    <v>Powered by Refinitiv</v>
    <v>215.185</v>
    <v>140.68</v>
    <v>0.34110000000000001</v>
    <v>1.06</v>
    <v>5.1880000000000008E-3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206.70500000000001</v>
    <v>Pharmaceuticals</v>
    <v>Stock</v>
    <v>46028.731749478909</v>
    <v>132</v>
    <v>204.32</v>
    <v>494796914150</v>
    <v>JOHNSON &amp; JOHNSON</v>
    <v>JOHNSON &amp; JOHNSON</v>
    <v>204.5</v>
    <v>19.822199999999999</v>
    <v>204.31</v>
    <v>205.37</v>
    <v>2409295000</v>
    <v>JNJ</v>
    <v>JOHNSON &amp; JOHNSON (XNYS:JNJ)</v>
    <v>2877292</v>
    <v>7912411</v>
    <v>1887</v>
  </rv>
  <rv s="2">
    <v>133</v>
  </rv>
  <rv s="0">
    <v>https://www.bing.com/financeapi/forcetrigger?t=a1wjz2&amp;q=XNYS%3aKMB&amp;form=skydnc</v>
    <v>Learn more on Bing</v>
  </rv>
  <rv s="1">
    <v>0</v>
    <v>KIMBERLY-CLARK CORPORATION (XNAS:KMB)</v>
    <v>2</v>
    <v>3</v>
    <v>Finance</v>
    <v>4</v>
    <v>en-US</v>
    <v>a1wjz2</v>
    <v>268435456</v>
    <v>1</v>
    <v>Powered by Refinitiv</v>
    <v>150.44999999999999</v>
    <v>97.62</v>
    <v>0.27410000000000001</v>
    <v>-0.17</v>
    <v>-1.7330000000000002E-3</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38000</v>
    <v>Nasdaq Stock Market</v>
    <v>XNAS</v>
    <v>XNAS</v>
    <v>351 Phelps Dr, IRVING, TX, 75038 US</v>
    <v>98.534999999999997</v>
    <v>Personal &amp; Household Products &amp; Services</v>
    <v>Stock</v>
    <v>46028.731742453128</v>
    <v>135</v>
    <v>97.62</v>
    <v>32492334490</v>
    <v>KIMBERLY-CLARK CORPORATION</v>
    <v>KIMBERLY-CLARK CORPORATION</v>
    <v>98.11</v>
    <v>18.230599999999999</v>
    <v>98.07</v>
    <v>97.9</v>
    <v>331893100</v>
    <v>KMB</v>
    <v>KIMBERLY-CLARK CORPORATION (XNAS:KMB)</v>
    <v>2081341</v>
    <v>5319883</v>
    <v>1928</v>
  </rv>
  <rv s="2">
    <v>136</v>
  </rv>
  <rv s="0">
    <v>https://www.bing.com/financeapi/forcetrigger?t=a1wljc&amp;q=XNYS%3aKO&amp;form=skydnc</v>
    <v>Learn more on Bing</v>
  </rv>
  <rv s="1">
    <v>0</v>
    <v>THE COCA-COLA COMPANY (XNYS:KO)</v>
    <v>2</v>
    <v>3</v>
    <v>Finance</v>
    <v>4</v>
    <v>en-US</v>
    <v>a1wljc</v>
    <v>268435456</v>
    <v>1</v>
    <v>Powered by Refinitiv</v>
    <v>74.38</v>
    <v>60.615000000000002</v>
    <v>0.36409999999999998</v>
    <v>5.0000000000000001E-3</v>
    <v>7.3590000000000005E-5</v>
    <v>USD</v>
    <v>The Coca-Cola Company is a beverage company. The Company's segments include Europe, Middle East and Africa; Latin America; North America; Asia Pacific; Global Ventures;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AdeS.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69700</v>
    <v>New York Stock Exchange</v>
    <v>XNYS</v>
    <v>XNYS</v>
    <v>1 Coca Cola Plz NW, ATLANTA, GA, 30313-2420 US</v>
    <v>68.245000000000005</v>
    <v>Beverages</v>
    <v>Stock</v>
    <v>46028.731740000003</v>
    <v>138</v>
    <v>67.709999999999994</v>
    <v>292272823505</v>
    <v>THE COCA-COLA COMPANY</v>
    <v>THE COCA-COLA COMPANY</v>
    <v>68.010000000000005</v>
    <v>22.4924</v>
    <v>67.94</v>
    <v>67.944999999999993</v>
    <v>4301609000</v>
    <v>KO</v>
    <v>THE COCA-COLA COMPANY (XNYS:KO)</v>
    <v>7899322</v>
    <v>15477782</v>
    <v>1919</v>
  </rv>
  <rv s="2">
    <v>139</v>
  </rv>
  <rv s="0">
    <v>https://www.bing.com/financeapi/forcetrigger?t=a1wyu2&amp;q=XNYS%3aLLY&amp;form=skydnc</v>
    <v>Learn more on Bing</v>
  </rv>
  <rv s="1">
    <v>0</v>
    <v>ELI LILLY AND COMPANY (XNYS:LLY)</v>
    <v>2</v>
    <v>3</v>
    <v>Finance</v>
    <v>4</v>
    <v>en-US</v>
    <v>a1wyu2</v>
    <v>268435456</v>
    <v>1</v>
    <v>Powered by Refinitiv</v>
    <v>1111.99</v>
    <v>623.78</v>
    <v>0.38990000000000002</v>
    <v>9.4799000000000007</v>
    <v>9.1020000000000007E-3</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1070.8299</v>
    <v>Pharmaceuticals</v>
    <v>Stock</v>
    <v>46028.731718437499</v>
    <v>141</v>
    <v>1040</v>
    <v>993588825423</v>
    <v>ELI LILLY AND COMPANY</v>
    <v>ELI LILLY AND COMPANY</v>
    <v>1043.9000000000001</v>
    <v>51.395400000000002</v>
    <v>1041.51</v>
    <v>1050.9899</v>
    <v>945383800</v>
    <v>LLY</v>
    <v>ELI LILLY AND COMPANY (XNYS:LLY)</v>
    <v>1269292</v>
    <v>3006678</v>
    <v>1901</v>
  </rv>
  <rv s="2">
    <v>142</v>
  </rv>
  <rv s="0">
    <v>https://www.bing.com/financeapi/forcetrigger?t=a1wzw7&amp;q=XNYS%3aLMT&amp;form=skydnc</v>
    <v>Learn more on Bing</v>
  </rv>
  <rv s="1">
    <v>0</v>
    <v>LOCKHEED MARTIN CORPORATION (XNYS:LMT)</v>
    <v>2</v>
    <v>3</v>
    <v>Finance</v>
    <v>4</v>
    <v>en-US</v>
    <v>a1wzw7</v>
    <v>268435456</v>
    <v>1</v>
    <v>Powered by Refinitiv</v>
    <v>538.72</v>
    <v>410.11</v>
    <v>0.22420000000000001</v>
    <v>17.885000000000002</v>
    <v>3.4960999999999999E-2</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538.72</v>
    <v>Aerospace &amp; Defense</v>
    <v>Stock</v>
    <v>46028.731765416407</v>
    <v>144</v>
    <v>516.69000000000005</v>
    <v>122514722199</v>
    <v>LOCKHEED MARTIN CORPORATION</v>
    <v>LOCKHEED MARTIN CORPORATION</v>
    <v>516.69000000000005</v>
    <v>29.493300000000001</v>
    <v>511.57</v>
    <v>529.45500000000004</v>
    <v>231397800</v>
    <v>LMT</v>
    <v>LOCKHEED MARTIN CORPORATION (XNYS:LMT)</v>
    <v>1634128</v>
    <v>1323245</v>
    <v>1994</v>
  </rv>
  <rv s="2">
    <v>145</v>
  </rv>
  <rv s="0">
    <v>https://www.bing.com/financeapi/forcetrigger?t=a1x2ur&amp;q=XNYS%3aLOW&amp;form=skydnc</v>
    <v>Learn more on Bing</v>
  </rv>
  <rv s="1">
    <v>0</v>
    <v>LOWE'S COMPANIES, INC. (XNYS:LOW)</v>
    <v>2</v>
    <v>3</v>
    <v>Finance</v>
    <v>4</v>
    <v>en-US</v>
    <v>a1x2ur</v>
    <v>268435456</v>
    <v>1</v>
    <v>Powered by Refinitiv</v>
    <v>274.98</v>
    <v>206.38499999999999</v>
    <v>0.96719999999999995</v>
    <v>1.272</v>
    <v>5.1970000000000002E-3</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246.04</v>
    <v>Specialty Retailers</v>
    <v>Stock</v>
    <v>46028.73170364531</v>
    <v>147</v>
    <v>240.03</v>
    <v>138006409933</v>
    <v>LOWE'S COMPANIES, INC.</v>
    <v>LOWE'S COMPANIES, INC.</v>
    <v>241.49</v>
    <v>20.407399999999999</v>
    <v>244.75</v>
    <v>246.02199999999999</v>
    <v>560951500</v>
    <v>LOW</v>
    <v>LOWE'S COMPANIES, INC. (XNYS:LOW)</v>
    <v>999164</v>
    <v>2687789</v>
    <v>1952</v>
  </rv>
  <rv s="2">
    <v>148</v>
  </rv>
  <rv s="0">
    <v>https://www.bing.com/financeapi/forcetrigger?t=a1x4f2&amp;q=XNAS%3aLRCX&amp;form=skydnc</v>
    <v>Learn more on Bing</v>
  </rv>
  <rv s="1">
    <v>0</v>
    <v>LAM RESEARCH CORPORATION (XNAS:LRCX)</v>
    <v>2</v>
    <v>3</v>
    <v>Finance</v>
    <v>4</v>
    <v>en-US</v>
    <v>a1x4f2</v>
    <v>268435456</v>
    <v>1</v>
    <v>Powered by Refinitiv</v>
    <v>210.24</v>
    <v>56.32</v>
    <v>1.782</v>
    <v>14.23</v>
    <v>7.3064000000000004E-2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210.24</v>
    <v>Semiconductors &amp; Semiconductor Equipment</v>
    <v>Stock</v>
    <v>46028.731770010934</v>
    <v>150</v>
    <v>197.15</v>
    <v>262497709700</v>
    <v>LAM RESEARCH CORPORATION</v>
    <v>LAM RESEARCH CORPORATION</v>
    <v>197.79</v>
    <v>46.051299999999998</v>
    <v>194.76</v>
    <v>208.99</v>
    <v>1256030000</v>
    <v>LRCX</v>
    <v>LAM RESEARCH CORPORATION (XNAS:LRCX)</v>
    <v>9115074</v>
    <v>10119855</v>
    <v>1989</v>
  </rv>
  <rv s="2">
    <v>151</v>
  </rv>
  <rv s="0">
    <v>https://www.bing.com/financeapi/forcetrigger?t=a1x8c7&amp;q=XNYS%3aLYB&amp;form=skydnc</v>
    <v>Learn more on Bing</v>
  </rv>
  <rv s="1">
    <v>0</v>
    <v>LyondellBasell Industries NV (XNYS:LYB)</v>
    <v>2</v>
    <v>3</v>
    <v>Finance</v>
    <v>4</v>
    <v>en-US</v>
    <v>a1x8c7</v>
    <v>268435456</v>
    <v>1</v>
    <v>Powered by Refinitiv</v>
    <v>79.389899999999997</v>
    <v>41.58</v>
    <v>0.69810000000000005</v>
    <v>1.2350000000000001</v>
    <v>2.7088999999999998E-2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46.86</v>
    <v>Chemicals</v>
    <v>Stock</v>
    <v>46028.731782025003</v>
    <v>153</v>
    <v>45.075200000000002</v>
    <v>15071703225</v>
    <v>LyondellBasell Industries NV</v>
    <v>LyondellBasell Industries NV</v>
    <v>45.28</v>
    <v>0</v>
    <v>45.59</v>
    <v>46.825000000000003</v>
    <v>321873000</v>
    <v>LYB</v>
    <v>LyondellBasell Industries NV (XNYS:LYB)</v>
    <v>1355670</v>
    <v>5619213</v>
    <v>2009</v>
  </rv>
  <rv s="2">
    <v>154</v>
  </rv>
  <rv s="0">
    <v>https://www.bing.com/financeapi/forcetrigger?t=a1x9yc&amp;q=XNYS%3aMAN&amp;form=skydnc</v>
    <v>Learn more on Bing</v>
  </rv>
  <rv s="1">
    <v>0</v>
    <v>MANPOWERGROUP INC. (XNYS:MAN)</v>
    <v>2</v>
    <v>3</v>
    <v>Finance</v>
    <v>4</v>
    <v>en-US</v>
    <v>a1x9yc</v>
    <v>268435456</v>
    <v>1</v>
    <v>Powered by Refinitiv</v>
    <v>63.344999999999999</v>
    <v>26.14</v>
    <v>0.86280000000000001</v>
    <v>0.45</v>
    <v>1.5004999999999999E-2</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26700</v>
    <v>New York Stock Exchange</v>
    <v>XNYS</v>
    <v>XNYS</v>
    <v>100 Manpower Place, MILWAUKEE, WI, 53212 US</v>
    <v>30.83</v>
    <v>Professional &amp; Commercial Services</v>
    <v>Stock</v>
    <v>46028.731653818752</v>
    <v>156</v>
    <v>29.375</v>
    <v>1409286159</v>
    <v>MANPOWERGROUP INC.</v>
    <v>MANPOWERGROUP INC.</v>
    <v>29.695</v>
    <v>0</v>
    <v>29.99</v>
    <v>30.44</v>
    <v>46297180</v>
    <v>MAN</v>
    <v>MANPOWERGROUP INC. (XNYS:MAN)</v>
    <v>235497</v>
    <v>873809</v>
    <v>1990</v>
  </rv>
  <rv s="2">
    <v>157</v>
  </rv>
  <rv s="0">
    <v>http://en.wikipedia.org/wiki/Public_domain</v>
    <v>Public domain</v>
  </rv>
  <rv s="0">
    <v>http://en.wikipedia.org/wiki/McDonald's</v>
    <v>Wikipedia</v>
  </rv>
  <rv s="3">
    <v>159</v>
    <v>160</v>
  </rv>
  <rv s="4">
    <v>10</v>
    <v>https://www.bing.com/th?id=AMMS_7d8255243964a8970376f8dd41121106&amp;qlt=95</v>
    <v>161</v>
    <v>0</v>
    <v>https://www.bing.com/images/search?form=xlimg&amp;q=mcdonald%27s</v>
    <v>Image of MCDONALD'S CORPORATION</v>
  </rv>
  <rv s="0">
    <v>https://www.bing.com/financeapi/forcetrigger?t=a1xdec&amp;q=XNYS%3aMCD&amp;form=skydnc</v>
    <v>Learn more on Bing</v>
  </rv>
  <rv s="5">
    <v>6</v>
    <v>MCDONALD'S CORPORATION (XNYS:MCD)</v>
    <v>8</v>
    <v>9</v>
    <v>Finance</v>
    <v>4</v>
    <v>en-US</v>
    <v>a1xdec</v>
    <v>268435456</v>
    <v>1</v>
    <v>Powered by Refinitiv</v>
    <v>326.32</v>
    <v>276.52999999999997</v>
    <v>0.52600000000000002</v>
    <v>3.9582999999999999</v>
    <v>1.32E-2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304.02</v>
    <v>162</v>
    <v>Hotels &amp; Entertainment Services</v>
    <v>Stock</v>
    <v>46028.731801446091</v>
    <v>163</v>
    <v>298.33</v>
    <v>216365539145</v>
    <v>MCDONALD'S CORPORATION</v>
    <v>MCDONALD'S CORPORATION</v>
    <v>299.23</v>
    <v>25.9131</v>
    <v>299.86</v>
    <v>303.81830000000002</v>
    <v>712154400</v>
    <v>MCD</v>
    <v>MCDONALD'S CORPORATION (XNYS:MCD)</v>
    <v>1268554</v>
    <v>3293472</v>
    <v>1964</v>
  </rv>
  <rv s="2">
    <v>164</v>
  </rv>
  <rv s="0">
    <v>https://www.bing.com/financeapi/forcetrigger?t=a1xfoc&amp;q=XNAS%3aMDLZ&amp;form=skydnc</v>
    <v>Learn more on Bing</v>
  </rv>
  <rv s="1">
    <v>0</v>
    <v>Mondelez International, Inc. (XNAS:MDLZ)</v>
    <v>2</v>
    <v>3</v>
    <v>Finance</v>
    <v>4</v>
    <v>en-US</v>
    <v>a1xfoc</v>
    <v>268435456</v>
    <v>1</v>
    <v>Powered by Refinitiv</v>
    <v>71.150000000000006</v>
    <v>52.79</v>
    <v>0.39290000000000003</v>
    <v>-0.82</v>
    <v>-1.5259E-2</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90000</v>
    <v>Nasdaq Stock Market</v>
    <v>XNAS</v>
    <v>XNAS</v>
    <v>905 West Fulton Market, Suite 200, CHICAGO, IL, 60607 US</v>
    <v>53.645000000000003</v>
    <v>Food &amp; Tobacco</v>
    <v>Stock</v>
    <v>46028.731766955469</v>
    <v>166</v>
    <v>52.79</v>
    <v>68285798280</v>
    <v>Mondelez International, Inc.</v>
    <v>Mondelez International, Inc.</v>
    <v>53.5</v>
    <v>19.774999999999999</v>
    <v>53.74</v>
    <v>52.92</v>
    <v>1290359000</v>
    <v>MDLZ</v>
    <v>Mondelez International, Inc. (XNAS:MDLZ)</v>
    <v>3181526</v>
    <v>11491224</v>
    <v>2000</v>
  </rv>
  <rv s="2">
    <v>167</v>
  </rv>
  <rv s="0">
    <v>https://www.bing.com/financeapi/forcetrigger?t=a1xg3m&amp;q=XNYS%3aMDT&amp;form=skydnc</v>
    <v>Learn more on Bing</v>
  </rv>
  <rv s="1">
    <v>0</v>
    <v>MEDTRONIC PUBLIC LIMITED COMPANY (XNYS:MDT)</v>
    <v>2</v>
    <v>3</v>
    <v>Finance</v>
    <v>4</v>
    <v>en-US</v>
    <v>a1xg3m</v>
    <v>268435456</v>
    <v>1</v>
    <v>Powered by Refinitiv</v>
    <v>106.33</v>
    <v>79.55</v>
    <v>0.72219999999999995</v>
    <v>2.27</v>
    <v>2.3316E-2</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100.15989999999999</v>
    <v>Healthcare Equipment &amp; Supplies</v>
    <v>Stock</v>
    <v>46028.731748888284</v>
    <v>169</v>
    <v>97.71</v>
    <v>127727054820</v>
    <v>MEDTRONIC PUBLIC LIMITED COMPANY</v>
    <v>MEDTRONIC PUBLIC LIMITED COMPANY</v>
    <v>98.11</v>
    <v>26.937899999999999</v>
    <v>97.36</v>
    <v>99.63</v>
    <v>1282014000</v>
    <v>MDT</v>
    <v>MEDTRONIC PUBLIC LIMITED COMPANY (XNYS:MDT)</v>
    <v>2630224</v>
    <v>5700266</v>
    <v>2014</v>
  </rv>
  <rv s="2">
    <v>170</v>
  </rv>
  <rv s="0">
    <v>https://www.bing.com/financeapi/forcetrigger?t=a1slm7&amp;q=XNAS%3aMETA&amp;form=skydnc</v>
    <v>Learn more on Bing</v>
  </rv>
  <rv s="1">
    <v>0</v>
    <v>Meta Platforms, Inc. (XNAS:META)</v>
    <v>2</v>
    <v>3</v>
    <v>Finance</v>
    <v>4</v>
    <v>en-US</v>
    <v>a1slm7</v>
    <v>268435456</v>
    <v>1</v>
    <v>Powered by Refinitiv</v>
    <v>796.25</v>
    <v>479.8</v>
    <v>1.2777000000000001</v>
    <v>-2.83</v>
    <v>-4.2959999999999995E-3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661.73990000000003</v>
    <v>Software &amp; IT Services</v>
    <v>Stock</v>
    <v>46028.731768483594</v>
    <v>172</v>
    <v>651.9</v>
    <v>1660498000000</v>
    <v>Meta Platforms, Inc.</v>
    <v>Meta Platforms, Inc.</v>
    <v>660</v>
    <v>22.567799999999998</v>
    <v>658.79</v>
    <v>655.96</v>
    <v>2520528000</v>
    <v>META</v>
    <v>Meta Platforms, Inc. (XNAS:META)</v>
    <v>5050463</v>
    <v>14889586</v>
    <v>2004</v>
  </rv>
  <rv s="2">
    <v>173</v>
  </rv>
  <rv s="0">
    <v>http://zh.wikipedia.org/wiki/味可美</v>
    <v>Wikipedia</v>
  </rv>
  <rv s="3">
    <v>159</v>
    <v>175</v>
  </rv>
  <rv s="4">
    <v>10</v>
    <v>https://www.bing.com/th?id=AMMS_8d96836a886471f7120ce0135f3ca8bd&amp;qlt=95</v>
    <v>176</v>
    <v>0</v>
    <v>https://www.bing.com/images/search?form=xlimg&amp;q=mccormick+%26+company</v>
    <v>Image of MCCORMICK &amp; COMPANY, INCORPORATED</v>
  </rv>
  <rv s="0">
    <v>https://www.bing.com/financeapi/forcetrigger?t=a1xof2&amp;q=XNYS%3aMKC.V&amp;form=skydnc</v>
    <v>Learn more on Bing</v>
  </rv>
  <rv s="5">
    <v>6</v>
    <v>MCCORMICK &amp; COMPANY, INCORPORATED (XNYS:MKC.V)</v>
    <v>8</v>
    <v>9</v>
    <v>Finance</v>
    <v>4</v>
    <v>en-US</v>
    <v>a1xof2</v>
    <v>268435456</v>
    <v>1</v>
    <v>Powered by Refinitiv</v>
    <v>85.5</v>
    <v>62.78</v>
    <v>0.60809999999999997</v>
    <v>-1.26</v>
    <v>-1.8845000000000001E-2</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68.5</v>
    <v>177</v>
    <v>Food &amp; Tobacco</v>
    <v>Stock</v>
    <v>46028.021468818748</v>
    <v>178</v>
    <v>65.58</v>
    <v>18049960000</v>
    <v>MCCORMICK &amp; COMPANY, INCORPORATED</v>
    <v>MCCORMICK &amp; COMPANY, INCORPORATED</v>
    <v>68.5</v>
    <v>0</v>
    <v>66.86</v>
    <v>65.599999999999994</v>
    <v>268375700</v>
    <v>MKC.V</v>
    <v>MCCORMICK &amp; COMPANY, INCORPORATED (XNYS:MKC.V)</v>
    <v>328</v>
    <v>4269</v>
    <v>1915</v>
  </rv>
  <rv s="2">
    <v>179</v>
  </rv>
  <rv s="0">
    <v>https://www.bing.com/financeapi/forcetrigger?t=a1xroc&amp;q=XNYS%3aMMM&amp;form=skydnc</v>
    <v>Learn more on Bing</v>
  </rv>
  <rv s="1">
    <v>0</v>
    <v>3M COMPANY (XNYS:MMM)</v>
    <v>2</v>
    <v>3</v>
    <v>Finance</v>
    <v>4</v>
    <v>en-US</v>
    <v>a1xroc</v>
    <v>268435456</v>
    <v>1</v>
    <v>Powered by Refinitiv</v>
    <v>174.69</v>
    <v>121.97709999999999</v>
    <v>1.0790999999999999</v>
    <v>1.7450000000000001</v>
    <v>1.0669999999999999E-2</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61500</v>
    <v>New York Stock Exchange</v>
    <v>XNYS</v>
    <v>XNYS</v>
    <v>3M Center, Bldg. 220-9E-02, SAINT PAUL, MN, 55144-1000 US</v>
    <v>165.36</v>
    <v>Consumer Goods Conglomerates</v>
    <v>Stock</v>
    <v>46028.731765717188</v>
    <v>181</v>
    <v>161.82239999999999</v>
    <v>87808836375</v>
    <v>3M COMPANY</v>
    <v>3M COMPANY</v>
    <v>162.91999999999999</v>
    <v>26.413399999999999</v>
    <v>163.55000000000001</v>
    <v>165.29499999999999</v>
    <v>531225000</v>
    <v>MMM</v>
    <v>3M COMPANY (XNYS:MMM)</v>
    <v>1036507</v>
    <v>2343173</v>
    <v>1929</v>
  </rv>
  <rv s="2">
    <v>182</v>
  </rv>
  <rv s="0">
    <v>https://www.bing.com/financeapi/forcetrigger?t=a1xtpr&amp;q=XNYS%3aMO&amp;form=skydnc</v>
    <v>Learn more on Bing</v>
  </rv>
  <rv s="1">
    <v>0</v>
    <v>Altria Group, Inc. (XNYS:MO)</v>
    <v>2</v>
    <v>3</v>
    <v>Finance</v>
    <v>4</v>
    <v>en-US</v>
    <v>a1xtpr</v>
    <v>268435456</v>
    <v>1</v>
    <v>Powered by Refinitiv</v>
    <v>68.599999999999994</v>
    <v>50.08</v>
    <v>0.50249999999999995</v>
    <v>-1.4650000000000001</v>
    <v>-2.6021000000000002E-2</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6200</v>
    <v>New York Stock Exchange</v>
    <v>XNYS</v>
    <v>XNYS</v>
    <v>6601 W Broad St, RICHMOND, VA, 23230 US</v>
    <v>56.33</v>
    <v>Food &amp; Tobacco</v>
    <v>Stock</v>
    <v>46028.731803564064</v>
    <v>184</v>
    <v>54.78</v>
    <v>92049979120</v>
    <v>Altria Group, Inc.</v>
    <v>Altria Group, Inc.</v>
    <v>56.05</v>
    <v>10.4613</v>
    <v>56.3</v>
    <v>54.835000000000001</v>
    <v>1678672000</v>
    <v>MO</v>
    <v>Altria Group, Inc. (XNYS:MO)</v>
    <v>5221527</v>
    <v>9119523</v>
    <v>1985</v>
  </rv>
  <rv s="2">
    <v>185</v>
  </rv>
  <rv s="0">
    <v>https://www.bing.com/financeapi/forcetrigger?t=a1xxmw&amp;q=XNYS%3aMRK&amp;form=skydnc</v>
    <v>Learn more on Bing</v>
  </rv>
  <rv s="1">
    <v>0</v>
    <v>MERCK &amp; CO., INC. (XNYS:MRK)</v>
    <v>2</v>
    <v>3</v>
    <v>Finance</v>
    <v>4</v>
    <v>en-US</v>
    <v>a1xxmw</v>
    <v>268435456</v>
    <v>1</v>
    <v>Powered by Refinitiv</v>
    <v>110.17</v>
    <v>73.31</v>
    <v>0.29099999999999998</v>
    <v>1.67</v>
    <v>1.5544000000000001E-2</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110.17</v>
    <v>Pharmaceuticals</v>
    <v>Stock</v>
    <v>46028.73176575156</v>
    <v>187</v>
    <v>107.74</v>
    <v>270813420420</v>
    <v>MERCK &amp; CO., INC.</v>
    <v>MERCK &amp; CO., INC.</v>
    <v>107.74</v>
    <v>14.4312</v>
    <v>107.44</v>
    <v>109.11</v>
    <v>2482022000</v>
    <v>MRK</v>
    <v>MERCK &amp; CO., INC. (XNYS:MRK)</v>
    <v>5575583</v>
    <v>13638599</v>
    <v>1970</v>
  </rv>
  <rv s="2">
    <v>188</v>
  </rv>
  <rv s="0">
    <v>https://en.wikipedia.org/wiki/Microsoft</v>
    <v>Wikipedia</v>
  </rv>
  <rv s="3">
    <v>159</v>
    <v>190</v>
  </rv>
  <rv s="4">
    <v>10</v>
    <v>https://www.bing.com/th?id=AMMS_e6e837c7bf3a77408619758b7447855a&amp;qlt=95</v>
    <v>191</v>
    <v>0</v>
    <v>https://www.bing.com/images/search?form=xlimg&amp;q=microsoft</v>
    <v>Image of MICROSOFT CORPORATION</v>
  </rv>
  <rv s="0">
    <v>https://www.bing.com/financeapi/forcetrigger?t=a1xzim&amp;q=XNAS%3aMSFT&amp;form=skydnc</v>
    <v>Learn more on Bing</v>
  </rv>
  <rv s="5">
    <v>6</v>
    <v>MICROSOFT CORPORATION (XNAS:MSFT)</v>
    <v>8</v>
    <v>9</v>
    <v>Finance</v>
    <v>4</v>
    <v>en-US</v>
    <v>a1xzim</v>
    <v>268435456</v>
    <v>1</v>
    <v>Powered by Refinitiv</v>
    <v>555.45000000000005</v>
    <v>344.79</v>
    <v>1.0845</v>
    <v>0.37940000000000002</v>
    <v>8.024000000000001E-4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474.25</v>
    <v>192</v>
    <v>Software &amp; IT Services</v>
    <v>Stock</v>
    <v>46028.731776481247</v>
    <v>193</v>
    <v>469.75</v>
    <v>3517219308283</v>
    <v>MICROSOFT CORPORATION</v>
    <v>MICROSOFT CORPORATION</v>
    <v>473.9</v>
    <v>33.668900000000001</v>
    <v>472.85</v>
    <v>473.2294</v>
    <v>7432377000</v>
    <v>MSFT</v>
    <v>MICROSOFT CORPORATION (XNAS:MSFT)</v>
    <v>7446292</v>
    <v>22470678</v>
    <v>1993</v>
  </rv>
  <rv s="2">
    <v>194</v>
  </rv>
  <rv s="0">
    <v>https://www.bing.com/financeapi/forcetrigger?t=a1yjxm&amp;q=XNYS%3aNKE&amp;form=skydnc</v>
    <v>Learn more on Bing</v>
  </rv>
  <rv s="1">
    <v>0</v>
    <v>NIKE, INC. (XNYS:NKE)</v>
    <v>2</v>
    <v>3</v>
    <v>Finance</v>
    <v>4</v>
    <v>en-US</v>
    <v>a1yjxm</v>
    <v>268435456</v>
    <v>1</v>
    <v>Powered by Refinitiv</v>
    <v>82.44</v>
    <v>52.28</v>
    <v>1.2793000000000001</v>
    <v>-0.64559999999999995</v>
    <v>-1.0005E-2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64.23</v>
    <v>Textiles &amp; Apparel</v>
    <v>Stock</v>
    <v>46028.73176012656</v>
    <v>196</v>
    <v>63.41</v>
    <v>94573379725</v>
    <v>NIKE, INC.</v>
    <v>NIKE, INC.</v>
    <v>63.87</v>
    <v>37.460099999999997</v>
    <v>64.53</v>
    <v>63.884399999999999</v>
    <v>1480383000</v>
    <v>NKE</v>
    <v>NIKE, INC. (XNYS:NKE)</v>
    <v>10277524</v>
    <v>22214950</v>
    <v>1969</v>
  </rv>
  <rv s="2">
    <v>197</v>
  </rv>
  <rv s="0">
    <v>https://www.bing.com/financeapi/forcetrigger?t=a1yngh&amp;q=XNYS%3aNOC&amp;form=skydnc</v>
    <v>Learn more on Bing</v>
  </rv>
  <rv s="1">
    <v>0</v>
    <v>NORTHROP GRUMMAN CORPORATION (XNYS:NOC)</v>
    <v>2</v>
    <v>3</v>
    <v>Finance</v>
    <v>4</v>
    <v>en-US</v>
    <v>a1yngh</v>
    <v>268435456</v>
    <v>1</v>
    <v>Powered by Refinitiv</v>
    <v>640.90099999999995</v>
    <v>426.24</v>
    <v>3.3799999999999997E-2</v>
    <v>-1.5349999999999999</v>
    <v>-2.5109999999999998E-3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97000</v>
    <v>New York Stock Exchange</v>
    <v>XNYS</v>
    <v>XNYS</v>
    <v>2980 Fairview Park Drive, FALLS CHURCH, VA, 22042 US</v>
    <v>619.20000000000005</v>
    <v>Aerospace &amp; Defense</v>
    <v>Stock</v>
    <v>46028.731719003903</v>
    <v>199</v>
    <v>608.32000000000005</v>
    <v>87028576178</v>
    <v>NORTHROP GRUMMAN CORPORATION</v>
    <v>NORTHROP GRUMMAN CORPORATION</v>
    <v>612.77</v>
    <v>21.947299999999998</v>
    <v>611.32000000000005</v>
    <v>609.78499999999997</v>
    <v>142720100</v>
    <v>NOC</v>
    <v>NORTHROP GRUMMAN CORPORATION (XNYS:NOC)</v>
    <v>384105</v>
    <v>629860</v>
    <v>2010</v>
  </rv>
  <rv s="2">
    <v>200</v>
  </rv>
  <rv s="0">
    <v>https://www.bing.com/financeapi/forcetrigger?t=a1yv52&amp;q=XNAS%3aNVDA&amp;form=skydnc</v>
    <v>Learn more on Bing</v>
  </rv>
  <rv s="1">
    <v>0</v>
    <v>NVIDIA CORPORATION (XNAS:NVDA)</v>
    <v>2</v>
    <v>3</v>
    <v>Finance</v>
    <v>4</v>
    <v>en-US</v>
    <v>a1yv52</v>
    <v>268435456</v>
    <v>1</v>
    <v>Powered by Refinitiv</v>
    <v>212.18989999999999</v>
    <v>86.62</v>
    <v>2.3117000000000001</v>
    <v>1.3149999999999999</v>
    <v>6.9899999999999997E-3</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192.17400000000001</v>
    <v>Semiconductors &amp; Semiconductor Equipment</v>
    <v>Stock</v>
    <v>46028.731778437497</v>
    <v>202</v>
    <v>187.64009999999999</v>
    <v>4603270500000</v>
    <v>NVIDIA CORPORATION</v>
    <v>NVIDIA CORPORATION</v>
    <v>190.49</v>
    <v>46.918900000000001</v>
    <v>188.12</v>
    <v>189.435</v>
    <v>24300000000</v>
    <v>NVDA</v>
    <v>NVIDIA CORPORATION (XNAS:NVDA)</v>
    <v>100706289</v>
    <v>163311868</v>
    <v>1998</v>
  </rv>
  <rv s="2">
    <v>203</v>
  </rv>
  <rv s="0">
    <v>https://www.bing.com/financeapi/forcetrigger?t=a1z11h&amp;q=XNYS%3aO&amp;form=skydnc</v>
    <v>Learn more on Bing</v>
  </rv>
  <rv s="1">
    <v>0</v>
    <v>REALTY INCOME CORPORATION (XNYS:O)</v>
    <v>2</v>
    <v>3</v>
    <v>Finance</v>
    <v>4</v>
    <v>en-US</v>
    <v>a1z11h</v>
    <v>268435456</v>
    <v>1</v>
    <v>Powered by Refinitiv</v>
    <v>61.085000000000001</v>
    <v>50.71</v>
    <v>0.79379999999999995</v>
    <v>-0.66080000000000005</v>
    <v>-1.1423000000000001E-2</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57.94</v>
    <v>Residential &amp; Commercial REIT</v>
    <v>Stock</v>
    <v>46028.731748124999</v>
    <v>205</v>
    <v>56.704999999999998</v>
    <v>52608676777</v>
    <v>REALTY INCOME CORPORATION</v>
    <v>REALTY INCOME CORPORATION</v>
    <v>57.93</v>
    <v>53.422899999999998</v>
    <v>57.85</v>
    <v>57.1892</v>
    <v>919905800</v>
    <v>O</v>
    <v>REALTY INCOME CORPORATION (XNYS:O)</v>
    <v>6801690</v>
    <v>6198310</v>
    <v>1997</v>
  </rv>
  <rv s="2">
    <v>206</v>
  </rv>
  <rv s="0">
    <v>https://www.bing.com/financeapi/forcetrigger?t=axyhnm&amp;q=XNAS%3aPEP&amp;form=skydnc</v>
    <v>Learn more on Bing</v>
  </rv>
  <rv s="1">
    <v>0</v>
    <v>PEPSICO, INC. (XNAS:PEP)</v>
    <v>2</v>
    <v>3</v>
    <v>Finance</v>
    <v>4</v>
    <v>en-US</v>
    <v>axyhnm</v>
    <v>268435456</v>
    <v>1</v>
    <v>Powered by Refinitiv</v>
    <v>160.15</v>
    <v>127.6</v>
    <v>0.4073</v>
    <v>-0.96</v>
    <v>-6.8610000000000008E-3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319000</v>
    <v>Nasdaq Stock Market</v>
    <v>XNAS</v>
    <v>XNAS</v>
    <v>700 ANDERSON HILL RD, PURCHASE, NY, 10577 US</v>
    <v>140.0574</v>
    <v>Beverages</v>
    <v>Stock</v>
    <v>46028.731741955467</v>
    <v>208</v>
    <v>138.565</v>
    <v>190005566400</v>
    <v>PEPSICO, INC.</v>
    <v>PEPSICO, INC.</v>
    <v>139.68</v>
    <v>26.423300000000001</v>
    <v>139.91999999999999</v>
    <v>138.96</v>
    <v>1367340000</v>
    <v>PEP</v>
    <v>PEPSICO, INC. (XNAS:PEP)</v>
    <v>2842462</v>
    <v>7622146</v>
    <v>1986</v>
  </rv>
  <rv s="2">
    <v>209</v>
  </rv>
  <rv s="0">
    <v>https://www.bing.com/financeapi/forcetrigger?t=a1zqnm&amp;q=XNYS%3aPFE&amp;form=skydnc</v>
    <v>Learn more on Bing</v>
  </rv>
  <rv s="1">
    <v>0</v>
    <v>PFIZER INC. (XNYS:PFE)</v>
    <v>2</v>
    <v>3</v>
    <v>Finance</v>
    <v>4</v>
    <v>en-US</v>
    <v>a1zqnm</v>
    <v>268435456</v>
    <v>1</v>
    <v>Powered by Refinitiv</v>
    <v>27.69</v>
    <v>20.914999999999999</v>
    <v>0.43009999999999998</v>
    <v>0.45</v>
    <v>1.7878000000000002E-2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26.004999999999999</v>
    <v>Pharmaceuticals</v>
    <v>Stock</v>
    <v>46028.731783506249</v>
    <v>211</v>
    <v>25.17</v>
    <v>145667838960</v>
    <v>PFIZER INC.</v>
    <v>PFIZER INC.</v>
    <v>25.17</v>
    <v>14.9336</v>
    <v>25.17</v>
    <v>25.62</v>
    <v>5685708000</v>
    <v>PFE</v>
    <v>PFIZER INC. (XNYS:PFE)</v>
    <v>22128446</v>
    <v>45977121</v>
    <v>1942</v>
  </rv>
  <rv s="2">
    <v>212</v>
  </rv>
  <rv s="0">
    <v>http://en.wikipedia.org/wiki/Qualcomm</v>
    <v>Wikipedia</v>
  </rv>
  <rv s="3">
    <v>159</v>
    <v>214</v>
  </rv>
  <rv s="4">
    <v>10</v>
    <v>https://www.bing.com/th?id=AMMS_2b1c176dae370ecc0d55a1517537f595&amp;qlt=95</v>
    <v>215</v>
    <v>0</v>
    <v>https://www.bing.com/images/search?form=xlimg&amp;q=qualcomm</v>
    <v>Image of QUALCOMM INCORPORATED</v>
  </rv>
  <rv s="0">
    <v>https://www.bing.com/financeapi/forcetrigger?t=a21k2w&amp;q=XNAS%3aQCOM&amp;form=skydnc</v>
    <v>Learn more on Bing</v>
  </rv>
  <rv s="5">
    <v>6</v>
    <v>QUALCOMM INCORPORATED (XNAS:QCOM)</v>
    <v>8</v>
    <v>9</v>
    <v>Finance</v>
    <v>4</v>
    <v>en-US</v>
    <v>a21k2w</v>
    <v>268435456</v>
    <v>1</v>
    <v>Powered by Refinitiv</v>
    <v>205.95</v>
    <v>120.8019</v>
    <v>1.2204999999999999</v>
    <v>6.8239999999999998</v>
    <v>3.8704999999999996E-2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184.45</v>
    <v>216</v>
    <v>Semiconductors &amp; Semiconductor Equipment</v>
    <v>Stock</v>
    <v>46028.731779733593</v>
    <v>217</v>
    <v>176.62</v>
    <v>195768231526</v>
    <v>QUALCOMM INCORPORATED</v>
    <v>QUALCOMM INCORPORATED</v>
    <v>177.22</v>
    <v>37.446100000000001</v>
    <v>176.31</v>
    <v>183.13399999999999</v>
    <v>1068989000</v>
    <v>QCOM</v>
    <v>QUALCOMM INCORPORATED (XNAS:QCOM)</v>
    <v>4702858</v>
    <v>7383561</v>
    <v>1991</v>
  </rv>
  <rv s="2">
    <v>218</v>
  </rv>
  <rv s="0">
    <v>https://www.bing.com/financeapi/forcetrigger?t=a22n4c&amp;q=XNYS%3aSCHW&amp;form=skydnc</v>
    <v>Learn more on Bing</v>
  </rv>
  <rv s="1">
    <v>0</v>
    <v>THE CHARLES SCHWAB CORPORATION (XNYS:SCHW)</v>
    <v>2</v>
    <v>3</v>
    <v>Finance</v>
    <v>4</v>
    <v>en-US</v>
    <v>a22n4c</v>
    <v>268435456</v>
    <v>1</v>
    <v>Powered by Refinitiv</v>
    <v>104.75</v>
    <v>65.88</v>
    <v>0.93110000000000004</v>
    <v>0.79</v>
    <v>7.6149999999999994E-3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32700</v>
    <v>New York Stock Exchange</v>
    <v>XNYS</v>
    <v>XNYS</v>
    <v>3000 Schwab Way, WESTLAKE, TX, 76262 US</v>
    <v>104.75</v>
    <v>Investment Banking &amp; Investment Services</v>
    <v>Stock</v>
    <v>46028.731695185154</v>
    <v>220</v>
    <v>104.16</v>
    <v>185743224610</v>
    <v>THE CHARLES SCHWAB CORPORATION</v>
    <v>THE CHARLES SCHWAB CORPORATION</v>
    <v>104.27</v>
    <v>24.5105</v>
    <v>103.74</v>
    <v>104.53</v>
    <v>1776937000</v>
    <v>SCHW</v>
    <v>THE CHARLES SCHWAB CORPORATION (XNYS:SCHW)</v>
    <v>2237085</v>
    <v>8701840</v>
    <v>1986</v>
  </rv>
  <rv s="2">
    <v>221</v>
  </rv>
  <rv s="0">
    <v>https://www.bing.com/financeapi/forcetrigger?t=a22xk2&amp;q=XNYS%3aSHW&amp;form=skydnc</v>
    <v>Learn more on Bing</v>
  </rv>
  <rv s="1">
    <v>0</v>
    <v>THE SHERWIN-WILLIAMS COMPANY (XNYS:SHW)</v>
    <v>2</v>
    <v>3</v>
    <v>Finance</v>
    <v>4</v>
    <v>en-US</v>
    <v>a22xk2</v>
    <v>268435456</v>
    <v>1</v>
    <v>Powered by Refinitiv</v>
    <v>379.65</v>
    <v>308.83999999999997</v>
    <v>1.2514000000000001</v>
    <v>5.6555999999999997</v>
    <v>1.7024999999999998E-2</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63890</v>
    <v>New York Stock Exchange</v>
    <v>XNYS</v>
    <v>XNYS</v>
    <v>101 Prospect Ave Nw, CLEVELAND, OH, 44115 US</v>
    <v>337.93</v>
    <v>Chemicals</v>
    <v>Stock</v>
    <v>46028.731712997658</v>
    <v>223</v>
    <v>329</v>
    <v>83752207178</v>
    <v>THE SHERWIN-WILLIAMS COMPANY</v>
    <v>THE SHERWIN-WILLIAMS COMPANY</v>
    <v>331.29</v>
    <v>32.9741</v>
    <v>332.2</v>
    <v>337.85559999999998</v>
    <v>247893500</v>
    <v>SHW</v>
    <v>THE SHERWIN-WILLIAMS COMPANY (XNYS:SHW)</v>
    <v>544316</v>
    <v>1561773</v>
    <v>1884</v>
  </rv>
  <rv s="2">
    <v>224</v>
  </rv>
  <rv s="0">
    <v>https://www.bing.com/financeapi/forcetrigger?t=a2319c&amp;q=XNYS%3aSJM&amp;form=skydnc</v>
    <v>Learn more on Bing</v>
  </rv>
  <rv s="1">
    <v>0</v>
    <v>THE J. M. SMUCKER COMPANY (XNYS:SJM)</v>
    <v>2</v>
    <v>3</v>
    <v>Finance</v>
    <v>4</v>
    <v>en-US</v>
    <v>a2319c</v>
    <v>268435456</v>
    <v>1</v>
    <v>Powered by Refinitiv</v>
    <v>121.48</v>
    <v>93.3</v>
    <v>0.22409999999999999</v>
    <v>1.6486000000000001</v>
    <v>1.7434000000000002E-2</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96.23</v>
    <v>Food &amp; Tobacco</v>
    <v>Stock</v>
    <v>46028.731734628906</v>
    <v>226</v>
    <v>94.43</v>
    <v>10089020000</v>
    <v>THE J. M. SMUCKER COMPANY</v>
    <v>THE J. M. SMUCKER COMPANY</v>
    <v>94.45</v>
    <v>0</v>
    <v>94.56</v>
    <v>96.208600000000004</v>
    <v>106694300</v>
    <v>SJM</v>
    <v>THE J. M. SMUCKER COMPANY (XNYS:SJM)</v>
    <v>405963</v>
    <v>1444438</v>
    <v>1921</v>
  </rv>
  <rv s="2">
    <v>227</v>
  </rv>
  <rv s="0">
    <v>https://www.bing.com/financeapi/forcetrigger?t=a237gh&amp;q=XNYS%3aSNA&amp;form=skydnc</v>
    <v>Learn more on Bing</v>
  </rv>
  <rv s="1">
    <v>0</v>
    <v>SNAP-ON INCORPORATED (XNYS:SNA)</v>
    <v>2</v>
    <v>3</v>
    <v>Finance</v>
    <v>4</v>
    <v>en-US</v>
    <v>a237gh</v>
    <v>268435456</v>
    <v>1</v>
    <v>Powered by Refinitiv</v>
    <v>365.78</v>
    <v>289.81</v>
    <v>0.79959999999999998</v>
    <v>3.4</v>
    <v>9.5989999999999999E-3</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357.6</v>
    <v>Machinery, Equipment &amp; Components</v>
    <v>Stock</v>
    <v>46028.731709189065</v>
    <v>229</v>
    <v>351.64</v>
    <v>18597903456</v>
    <v>SNAP-ON INCORPORATED</v>
    <v>SNAP-ON INCORPORATED</v>
    <v>352.61</v>
    <v>18.745899999999999</v>
    <v>354.2</v>
    <v>357.6</v>
    <v>52007560</v>
    <v>SNA</v>
    <v>SNAP-ON INCORPORATED (XNYS:SNA)</v>
    <v>72493</v>
    <v>278279</v>
    <v>1930</v>
  </rv>
  <rv s="2">
    <v>230</v>
  </rv>
  <rv s="0">
    <v>https://www.bing.com/financeapi/forcetrigger?t=a23a5r&amp;q=XNYS%3aSO&amp;form=skydnc</v>
    <v>Learn more on Bing</v>
  </rv>
  <rv s="1">
    <v>0</v>
    <v>THE SOUTHERN COMPANY (XNYS:SO)</v>
    <v>2</v>
    <v>3</v>
    <v>Finance</v>
    <v>4</v>
    <v>en-US</v>
    <v>a23a5r</v>
    <v>268435456</v>
    <v>1</v>
    <v>Powered by Refinitiv</v>
    <v>100.83499999999999</v>
    <v>80.459999999999994</v>
    <v>0.43959999999999999</v>
    <v>-0.2</v>
    <v>-2.3019999999999998E-3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87.375</v>
    <v>Electrical Utilities &amp; IPPs</v>
    <v>Stock</v>
    <v>46028.731743113283</v>
    <v>232</v>
    <v>86.58</v>
    <v>95432770350</v>
    <v>THE SOUTHERN COMPANY</v>
    <v>THE SOUTHERN COMPANY</v>
    <v>86.85</v>
    <v>21.519600000000001</v>
    <v>86.87</v>
    <v>86.67</v>
    <v>1101105000</v>
    <v>SO</v>
    <v>THE SOUTHERN COMPANY (XNYS:SO)</v>
    <v>1231055</v>
    <v>5791163</v>
    <v>1945</v>
  </rv>
  <rv s="2">
    <v>233</v>
  </rv>
  <rv s="0">
    <v>https://www.bing.com/financeapi/forcetrigger?t=a23d6h&amp;q=XNYS%3aSPG&amp;form=skydnc</v>
    <v>Learn more on Bing</v>
  </rv>
  <rv s="1">
    <v>0</v>
    <v>SIMON PROPERTY GROUP, INC. (XNYS:SPG)</v>
    <v>2</v>
    <v>3</v>
    <v>Finance</v>
    <v>4</v>
    <v>en-US</v>
    <v>a23d6h</v>
    <v>268435456</v>
    <v>1</v>
    <v>Powered by Refinitiv</v>
    <v>190.13499999999999</v>
    <v>136.34</v>
    <v>1.4205000000000001</v>
    <v>0.93010000000000004</v>
    <v>5.0790000000000002E-3</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184.34</v>
    <v>Residential &amp; Commercial REIT</v>
    <v>Stock</v>
    <v>46028.73173259219</v>
    <v>235</v>
    <v>182</v>
    <v>60083589851</v>
    <v>SIMON PROPERTY GROUP, INC.</v>
    <v>SIMON PROPERTY GROUP, INC.</v>
    <v>182.6</v>
    <v>21.5456</v>
    <v>183.11</v>
    <v>184.0401</v>
    <v>326470100</v>
    <v>SPG</v>
    <v>SIMON PROPERTY GROUP, INC. (XNYS:SPG)</v>
    <v>266162</v>
    <v>1356172</v>
    <v>1998</v>
  </rv>
  <rv s="2">
    <v>236</v>
  </rv>
  <rv s="0">
    <v>https://www.bing.com/financeapi/forcetrigger?t=a23d9c&amp;q=XNYS%3aSPGI&amp;form=skydnc</v>
    <v>Learn more on Bing</v>
  </rv>
  <rv s="1">
    <v>0</v>
    <v>S&amp;P Global Inc. (XNYS:SPGI)</v>
    <v>2</v>
    <v>3</v>
    <v>Finance</v>
    <v>4</v>
    <v>en-US</v>
    <v>a23d9c</v>
    <v>268435456</v>
    <v>1</v>
    <v>Powered by Refinitiv</v>
    <v>579.04999999999995</v>
    <v>427.14</v>
    <v>1.2027000000000001</v>
    <v>7.7649999999999997</v>
    <v>1.4571000000000001E-2</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42350</v>
    <v>New York Stock Exchange</v>
    <v>XNYS</v>
    <v>XNYS</v>
    <v>55 Water Street, NEW YORK, NY, 10041 US</v>
    <v>541.42999999999995</v>
    <v>Professional &amp; Commercial Services</v>
    <v>Stock</v>
    <v>46028.731803796094</v>
    <v>238</v>
    <v>532.13499999999999</v>
    <v>163713362000</v>
    <v>S&amp;P Global Inc.</v>
    <v>S&amp;P Global Inc.</v>
    <v>534</v>
    <v>39.305700000000002</v>
    <v>532.9</v>
    <v>540.66499999999996</v>
    <v>302800000</v>
    <v>SPGI</v>
    <v>S&amp;P Global Inc. (XNYS:SPGI)</v>
    <v>631644</v>
    <v>1482725</v>
    <v>1925</v>
  </rv>
  <rv s="2">
    <v>239</v>
  </rv>
  <rv s="0">
    <v>https://www.bing.com/financeapi/forcetrigger?t=a23www&amp;q=XNYS%3aT&amp;form=skydnc</v>
    <v>Learn more on Bing</v>
  </rv>
  <rv s="1">
    <v>0</v>
    <v>AT&amp;T INC. (XNYS:T)</v>
    <v>2</v>
    <v>3</v>
    <v>Finance</v>
    <v>4</v>
    <v>en-US</v>
    <v>a23www</v>
    <v>268435456</v>
    <v>1</v>
    <v>Powered by Refinitiv</v>
    <v>29.79</v>
    <v>21.38</v>
    <v>0.37180000000000002</v>
    <v>-0.7</v>
    <v>-2.8329E-2</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135670</v>
    <v>New York Stock Exchange</v>
    <v>XNYS</v>
    <v>XNYS</v>
    <v>208 S. Akard St, DALLAS, TX, 75202 US</v>
    <v>24.53</v>
    <v>Telecommunications Services</v>
    <v>Stock</v>
    <v>46028.731785763281</v>
    <v>241</v>
    <v>23.87</v>
    <v>170217694500</v>
    <v>AT&amp;T INC.</v>
    <v>AT&amp;T INC.</v>
    <v>24.53</v>
    <v>7.7906000000000004</v>
    <v>24.71</v>
    <v>24.01</v>
    <v>7089450000</v>
    <v>T</v>
    <v>AT&amp;T INC. (XNYS:T)</v>
    <v>21718505</v>
    <v>33688666</v>
    <v>1983</v>
  </rv>
  <rv s="2">
    <v>242</v>
  </rv>
  <rv s="0">
    <v>https://www.bing.com/financeapi/forcetrigger?t=a246z2&amp;q=XNYS%3aTGT&amp;form=skydnc</v>
    <v>Learn more on Bing</v>
  </rv>
  <rv s="1">
    <v>0</v>
    <v>TARGET CORPORATION (XNYS:TGT)</v>
    <v>2</v>
    <v>3</v>
    <v>Finance</v>
    <v>4</v>
    <v>en-US</v>
    <v>a246z2</v>
    <v>268435456</v>
    <v>1</v>
    <v>Powered by Refinitiv</v>
    <v>145.08000000000001</v>
    <v>83.44</v>
    <v>1.1336999999999999</v>
    <v>1.7186999999999999</v>
    <v>1.6833000000000001E-2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104.12</v>
    <v>Diversified Retail</v>
    <v>Stock</v>
    <v>46028.731735103909</v>
    <v>244</v>
    <v>101.5938</v>
    <v>47009771799</v>
    <v>TARGET CORPORATION</v>
    <v>TARGET CORPORATION</v>
    <v>102.07</v>
    <v>12.5974</v>
    <v>102.1</v>
    <v>103.81870000000001</v>
    <v>452806400</v>
    <v>TGT</v>
    <v>TARGET CORPORATION (XNYS:TGT)</v>
    <v>2539771</v>
    <v>6977804</v>
    <v>1902</v>
  </rv>
  <rv s="2">
    <v>245</v>
  </rv>
  <rv s="0">
    <v>http://it.wikipedia.org/wiki/T._Rowe_Price</v>
    <v>Wikipedia</v>
  </rv>
  <rv s="3">
    <v>159</v>
    <v>247</v>
  </rv>
  <rv s="4">
    <v>10</v>
    <v>https://www.bing.com/th?id=AMMS_4c600be848f66590834841f27e6f786d&amp;qlt=95</v>
    <v>248</v>
    <v>0</v>
    <v>https://www.bing.com/images/search?form=xlimg&amp;q=t.+rowe+price</v>
    <v>Image of T. ROWE PRICE GROUP, INC.</v>
  </rv>
  <rv s="0">
    <v>https://www.bing.com/financeapi/forcetrigger?t=a24i3m&amp;q=XNAS%3aTROW&amp;form=skydnc</v>
    <v>Learn more on Bing</v>
  </rv>
  <rv s="5">
    <v>6</v>
    <v>T. ROWE PRICE GROUP, INC. (XNAS:TROW)</v>
    <v>8</v>
    <v>9</v>
    <v>Finance</v>
    <v>4</v>
    <v>en-US</v>
    <v>a24i3m</v>
    <v>268435456</v>
    <v>1</v>
    <v>Powered by Refinitiv</v>
    <v>118.32</v>
    <v>77.849999999999994</v>
    <v>1.5458000000000001</v>
    <v>2.56</v>
    <v>2.4039999999999999E-2</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109.09</v>
    <v>249</v>
    <v>Investment Banking &amp; Investment Services</v>
    <v>Stock</v>
    <v>46028.731676909374</v>
    <v>250</v>
    <v>106.53</v>
    <v>23798744850</v>
    <v>T. ROWE PRICE GROUP, INC.</v>
    <v>T. ROWE PRICE GROUP, INC.</v>
    <v>106.63</v>
    <v>11.8779</v>
    <v>106.49</v>
    <v>109.05</v>
    <v>218237000</v>
    <v>TROW</v>
    <v>T. ROWE PRICE GROUP, INC. (XNAS:TROW)</v>
    <v>465471</v>
    <v>1802331</v>
    <v>2000</v>
  </rv>
  <rv s="2">
    <v>251</v>
  </rv>
  <rv s="0">
    <v>https://www.bing.com/financeapi/forcetrigger?t=a24kjc&amp;q=XNYS%3aTSM&amp;form=skydnc</v>
    <v>Learn more on Bing</v>
  </rv>
  <rv s="1">
    <v>0</v>
    <v>Taiwan Semiconductor Manufacturing Co., Ltd. (XNYS:TSM)</v>
    <v>2</v>
    <v>3</v>
    <v>Finance</v>
    <v>4</v>
    <v>en-US</v>
    <v>a24kjc</v>
    <v>268435456</v>
    <v>1</v>
    <v>Powered by Refinitiv</v>
    <v>333.08</v>
    <v>134.25</v>
    <v>1.3154999999999999</v>
    <v>4.2999000000000001</v>
    <v>1.3343000000000001E-2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333.08</v>
    <v>Semiconductors &amp; Semiconductor Equipment</v>
    <v>Stock</v>
    <v>46028.731791318751</v>
    <v>253</v>
    <v>325.93</v>
    <v>1381017000000</v>
    <v>Taiwan Semiconductor Manufacturing Co., Ltd.</v>
    <v>Taiwan Semiconductor Manufacturing Co., Ltd.</v>
    <v>330.53</v>
    <v>32.4938</v>
    <v>322.25</v>
    <v>326.54989999999998</v>
    <v>5186505000</v>
    <v>TSM</v>
    <v>Taiwan Semiconductor Manufacturing Co., Ltd. (XNYS:TSM)</v>
    <v>9026695</v>
    <v>10679810</v>
    <v>1987</v>
  </rv>
  <rv s="2">
    <v>254</v>
  </rv>
  <rv s="0">
    <v>https://www.bing.com/financeapi/forcetrigger?t=a24km7&amp;q=XNYS%3aTSN&amp;form=skydnc</v>
    <v>Learn more on Bing</v>
  </rv>
  <rv s="1">
    <v>0</v>
    <v>TYSON FOODS, INCORPORATED (XNYS:TSN)</v>
    <v>2</v>
    <v>3</v>
    <v>Finance</v>
    <v>4</v>
    <v>en-US</v>
    <v>a24km7</v>
    <v>268435456</v>
    <v>1</v>
    <v>Powered by Refinitiv</v>
    <v>64.36</v>
    <v>50.56</v>
    <v>0.46939999999999998</v>
    <v>-0.3</v>
    <v>-5.2510000000000005E-3</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57.284999999999997</v>
    <v>Food &amp; Tobacco</v>
    <v>Stock</v>
    <v>46028.731785775002</v>
    <v>256</v>
    <v>56.71</v>
    <v>20064223627</v>
    <v>TYSON FOODS, INCORPORATED</v>
    <v>TYSON FOODS, INCORPORATED</v>
    <v>56.92</v>
    <v>42.448500000000003</v>
    <v>57.13</v>
    <v>56.83</v>
    <v>353056900</v>
    <v>TSN</v>
    <v>TYSON FOODS, INCORPORATED (XNYS:TSN)</v>
    <v>497102</v>
    <v>2755570</v>
    <v>1986</v>
  </rv>
  <rv s="2">
    <v>257</v>
  </rv>
  <rv s="0">
    <v>https://www.bing.com/financeapi/forcetrigger?t=a24p1h&amp;q=XNAS%3aTXN&amp;form=skydnc</v>
    <v>Learn more on Bing</v>
  </rv>
  <rv s="1">
    <v>0</v>
    <v>TEXAS INSTRUMENTS INCORPORATED (XNAS:TXN)</v>
    <v>2</v>
    <v>3</v>
    <v>Finance</v>
    <v>4</v>
    <v>en-US</v>
    <v>a24p1h</v>
    <v>268435456</v>
    <v>1</v>
    <v>Powered by Refinitiv</v>
    <v>221.69</v>
    <v>139.94999999999999</v>
    <v>0.99250000000000005</v>
    <v>14.98</v>
    <v>8.4552000000000002E-2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192.92</v>
    <v>Semiconductors &amp; Semiconductor Equipment</v>
    <v>Stock</v>
    <v>46028.731786608594</v>
    <v>259</v>
    <v>180.09</v>
    <v>174591909450</v>
    <v>TEXAS INSTRUMENTS INCORPORATED</v>
    <v>TEXAS INSTRUMENTS INCORPORATED</v>
    <v>180.22</v>
    <v>35.063200000000002</v>
    <v>177.17</v>
    <v>192.15</v>
    <v>908623000</v>
    <v>TXN</v>
    <v>TEXAS INSTRUMENTS INCORPORATED (XNAS:TXN)</v>
    <v>5710226</v>
    <v>6299005</v>
    <v>1938</v>
  </rv>
  <rv s="2">
    <v>260</v>
  </rv>
  <rv s="0">
    <v>https://www.bing.com/financeapi/forcetrigger?t=afn5yc&amp;q=XFRA%3aUNH&amp;form=skydnc</v>
    <v>Learn more on Bing</v>
  </rv>
  <rv s="1">
    <v>0</v>
    <v>UNITEDHEALTH GROUP INCORPORATED (XFRA:UNH)</v>
    <v>2</v>
    <v>11</v>
    <v>Finance</v>
    <v>12</v>
    <v>en-US</v>
    <v>afn5yc</v>
    <v>268435456</v>
    <v>1</v>
    <v>Powered by Refinitiv</v>
    <v>589.70000000000005</v>
    <v>168.42</v>
    <v>0.41599999999999998</v>
    <v>11.9</v>
    <v>4.1348000000000003E-2</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Deutsche Boerse AG</v>
    <v>XFRA</v>
    <v>XFRA</v>
    <v>1 HEALTH DRIVE, EDEN PRAIRIE, MN, 55344 US</v>
    <v>299.7</v>
    <v>Healthcare Providers &amp; Services</v>
    <v>Stock</v>
    <v>46028.720833333333</v>
    <v>262</v>
    <v>291.2</v>
    <v>309814900000</v>
    <v>UNITEDHEALTH GROUP INCORPORATED</v>
    <v>UNITEDHEALTH GROUP INCORPORATED</v>
    <v>291.2</v>
    <v>18.3415</v>
    <v>287.8</v>
    <v>299.7</v>
    <v>905838600</v>
    <v>UNH</v>
    <v>UNITEDHEALTH GROUP INCORPORATED (XFRA:UNH)</v>
    <v>524</v>
    <v>5637370</v>
    <v>2015</v>
  </rv>
  <rv s="2">
    <v>263</v>
  </rv>
  <rv s="0">
    <v>https://www.bing.com/financeapi/forcetrigger?t=a24xww&amp;q=XNYS%3aUNP&amp;form=skydnc</v>
    <v>Learn more on Bing</v>
  </rv>
  <rv s="1">
    <v>0</v>
    <v>UNION PACIFIC CORPORATION (XNYS:UNP)</v>
    <v>2</v>
    <v>3</v>
    <v>Finance</v>
    <v>4</v>
    <v>en-US</v>
    <v>a24xww</v>
    <v>268435456</v>
    <v>1</v>
    <v>Powered by Refinitiv</v>
    <v>256.83999999999997</v>
    <v>204.66</v>
    <v>0.98970000000000002</v>
    <v>1.105</v>
    <v>4.764E-3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29576</v>
    <v>New York Stock Exchange</v>
    <v>XNYS</v>
    <v>XNYS</v>
    <v>1400 Douglas Street, OMAHA, NE, 68179 US</v>
    <v>233.51</v>
    <v>Freight &amp; Logistics Services</v>
    <v>Stock</v>
    <v>46028.731776481247</v>
    <v>265</v>
    <v>231.2</v>
    <v>138250976767</v>
    <v>UNION PACIFIC CORPORATION</v>
    <v>UNION PACIFIC CORPORATION</v>
    <v>231.22</v>
    <v>19.784600000000001</v>
    <v>231.97</v>
    <v>233.07499999999999</v>
    <v>593160900</v>
    <v>UNP</v>
    <v>UNION PACIFIC CORPORATION (XNYS:UNP)</v>
    <v>719848</v>
    <v>2747467</v>
    <v>1969</v>
  </rv>
  <rv s="2">
    <v>266</v>
  </rv>
  <rv s="0">
    <v>https://www.bing.com/financeapi/forcetrigger?t=a24ynm&amp;q=XNYS%3aUPS&amp;form=skydnc</v>
    <v>Learn more on Bing</v>
  </rv>
  <rv s="1">
    <v>0</v>
    <v>UNITED PARCEL SERVICE, INC. (XNYS:UPS)</v>
    <v>2</v>
    <v>3</v>
    <v>Finance</v>
    <v>4</v>
    <v>en-US</v>
    <v>a24ynm</v>
    <v>268435456</v>
    <v>1</v>
    <v>Powered by Refinitiv</v>
    <v>136.99</v>
    <v>82</v>
    <v>1.0859000000000001</v>
    <v>2.2599999999999998</v>
    <v>2.2157E-2</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104.61</v>
    <v>Freight &amp; Logistics Services</v>
    <v>Stock</v>
    <v>46028.731752071093</v>
    <v>268</v>
    <v>102.075</v>
    <v>88452682656</v>
    <v>UNITED PARCEL SERVICE, INC.</v>
    <v>UNITED PARCEL SERVICE, INC.</v>
    <v>102.28</v>
    <v>16.1111</v>
    <v>102</v>
    <v>104.26</v>
    <v>848385600</v>
    <v>UPS</v>
    <v>UNITED PARCEL SERVICE, INC. (XNYS:UPS)</v>
    <v>2219886</v>
    <v>5592004</v>
    <v>1999</v>
  </rv>
  <rv s="2">
    <v>269</v>
  </rv>
  <rv s="0">
    <v>https://www.bing.com/financeapi/forcetrigger?t=a256cw&amp;q=XNYS%3aV&amp;form=skydnc</v>
    <v>Learn more on Bing</v>
  </rv>
  <rv s="1">
    <v>0</v>
    <v>VISA INC. (XNYS:V)</v>
    <v>2</v>
    <v>3</v>
    <v>Finance</v>
    <v>4</v>
    <v>en-US</v>
    <v>a256cw</v>
    <v>268435456</v>
    <v>1</v>
    <v>Powered by Refinitiv</v>
    <v>375.51</v>
    <v>299</v>
    <v>0.79259999999999997</v>
    <v>3.52</v>
    <v>9.9489999999999995E-3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357.46499999999997</v>
    <v>Professional &amp; Commercial Services</v>
    <v>Stock</v>
    <v>46028.731748633596</v>
    <v>271</v>
    <v>352</v>
    <v>683280882160</v>
    <v>VISA INC.</v>
    <v>VISA INC.</v>
    <v>352</v>
    <v>35.007300000000001</v>
    <v>353.8</v>
    <v>357.32</v>
    <v>1912238000</v>
    <v>V</v>
    <v>VISA INC. (XNYS:V)</v>
    <v>2442384</v>
    <v>6282753</v>
    <v>2007</v>
  </rv>
  <rv s="2">
    <v>272</v>
  </rv>
  <rv s="0">
    <v>https://www.bing.com/financeapi/forcetrigger?t=a25obh&amp;q=XNYS%3aVZ&amp;form=skydnc</v>
    <v>Learn more on Bing</v>
  </rv>
  <rv s="1">
    <v>0</v>
    <v>VERIZON COMMUNICATIONS INC. (XNYS:VZ)</v>
    <v>2</v>
    <v>3</v>
    <v>Finance</v>
    <v>4</v>
    <v>en-US</v>
    <v>a25obh</v>
    <v>268435456</v>
    <v>1</v>
    <v>Powered by Refinitiv</v>
    <v>47.354999999999997</v>
    <v>37.585000000000001</v>
    <v>0.31609999999999999</v>
    <v>-0.17499999999999999</v>
    <v>-4.3499999999999997E-3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40.46</v>
    <v>Telecommunications Services</v>
    <v>Stock</v>
    <v>46028.731755937501</v>
    <v>274</v>
    <v>39.99</v>
    <v>168888903375</v>
    <v>VERIZON COMMUNICATIONS INC.</v>
    <v>VERIZON COMMUNICATIONS INC.</v>
    <v>40.33</v>
    <v>8.5391999999999992</v>
    <v>40.229999999999997</v>
    <v>40.055</v>
    <v>4216425000</v>
    <v>VZ</v>
    <v>VERIZON COMMUNICATIONS INC. (XNYS:VZ)</v>
    <v>12804008</v>
    <v>24102876</v>
    <v>1983</v>
  </rv>
  <rv s="2">
    <v>275</v>
  </rv>
  <rv s="0">
    <v>https://www.bing.com/financeapi/forcetrigger?t=a25ya2&amp;q=XNYS%3aWMT&amp;form=skydnc</v>
    <v>Learn more on Bing</v>
  </rv>
  <rv s="1">
    <v>0</v>
    <v>WALMART INC. (XNAS:WMT)</v>
    <v>2</v>
    <v>3</v>
    <v>Finance</v>
    <v>4</v>
    <v>en-US</v>
    <v>a25ya2</v>
    <v>268435456</v>
    <v>1</v>
    <v>Powered by Refinitiv</v>
    <v>117.45</v>
    <v>79.81</v>
    <v>0.65620000000000001</v>
    <v>0.65500000000000003</v>
    <v>5.8109999999999993E-3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113.37</v>
    <v>Food &amp; Drug Retailing</v>
    <v>Stock</v>
    <v>46028.731748020313</v>
    <v>277</v>
    <v>111.99</v>
    <v>903537981955</v>
    <v>WALMART INC.</v>
    <v>WALMART INC.</v>
    <v>112.71</v>
    <v>39.761800000000001</v>
    <v>112.71</v>
    <v>113.36499999999999</v>
    <v>7970167000</v>
    <v>WMT</v>
    <v>WALMART INC. (XNAS:WMT)</v>
    <v>6453963</v>
    <v>19464970</v>
    <v>1969</v>
  </rv>
  <rv s="2">
    <v>278</v>
  </rv>
  <rv s="0">
    <v>https://www.bing.com/financeapi/forcetrigger?t=a269ec&amp;q=XNYS%3aXOM&amp;form=skydnc</v>
    <v>Learn more on Bing</v>
  </rv>
  <rv s="1">
    <v>0</v>
    <v>EXXON MOBIL CORPORATION (XNYS:XOM)</v>
    <v>2</v>
    <v>3</v>
    <v>Finance</v>
    <v>4</v>
    <v>en-US</v>
    <v>a269ec</v>
    <v>268435456</v>
    <v>1</v>
    <v>Powered by Refinitiv</v>
    <v>125.93</v>
    <v>97.8</v>
    <v>0.37990000000000002</v>
    <v>-2.2244000000000002</v>
    <v>-1.7743999999999999E-2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125.8</v>
    <v>Oil &amp; Gas</v>
    <v>Stock</v>
    <v>46028.731783344534</v>
    <v>280</v>
    <v>123.13500000000001</v>
    <v>519283265709</v>
    <v>EXXON MOBIL CORPORATION</v>
    <v>EXXON MOBIL CORPORATION</v>
    <v>125.41</v>
    <v>17.8992</v>
    <v>125.36</v>
    <v>123.1356</v>
    <v>4217166000</v>
    <v>XOM</v>
    <v>EXXON MOBIL CORPORATION (XNYS:XOM)</v>
    <v>7946642</v>
    <v>15849954</v>
    <v>1882</v>
  </rv>
  <rv s="2">
    <v>281</v>
  </rv>
  <rv s="0">
    <v>https://www.bing.com/financeapi/forcetrigger?t=a26hyc&amp;q=XNYS%3aZTS&amp;form=skydnc</v>
    <v>Learn more on Bing</v>
  </rv>
  <rv s="1">
    <v>0</v>
    <v>ZOETIS INC. (XNYS:ZTS)</v>
    <v>2</v>
    <v>3</v>
    <v>Finance</v>
    <v>4</v>
    <v>en-US</v>
    <v>a26hyc</v>
    <v>268435456</v>
    <v>1</v>
    <v>Powered by Refinitiv</v>
    <v>177.4</v>
    <v>115.25</v>
    <v>0.95960000000000001</v>
    <v>0.33500000000000002</v>
    <v>2.5890000000000002E-3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13800</v>
    <v>New York Stock Exchange</v>
    <v>XNYS</v>
    <v>XNYS</v>
    <v>10 Sylvan Way, PARSIPPANY, NJ, 07054 US</v>
    <v>131.09</v>
    <v>Pharmaceuticals</v>
    <v>Stock</v>
    <v>46028.731733182809</v>
    <v>283</v>
    <v>129.34</v>
    <v>57160111506</v>
    <v>ZOETIS INC.</v>
    <v>ZOETIS INC.</v>
    <v>129.94999999999999</v>
    <v>21.854299999999999</v>
    <v>129.37</v>
    <v>129.70500000000001</v>
    <v>440693200</v>
    <v>ZTS</v>
    <v>ZOETIS INC. (XNYS:ZTS)</v>
    <v>1558384</v>
    <v>5691416</v>
    <v>2012</v>
  </rv>
  <rv s="2">
    <v>284</v>
  </rv>
  <rv s="0">
    <v>https://www.bing.com/financeapi/forcetrigger?t=a1r5fr&amp;q=XNYS%3aDLR&amp;form=skydnc</v>
    <v>Learn more on Bing</v>
  </rv>
  <rv s="1">
    <v>0</v>
    <v>DIGITAL REALTY TRUST, INC. (XNYS:DLR)</v>
    <v>2</v>
    <v>3</v>
    <v>Finance</v>
    <v>4</v>
    <v>en-US</v>
    <v>a1r5fr</v>
    <v>268435456</v>
    <v>1</v>
    <v>Powered by Refinitiv</v>
    <v>187.74</v>
    <v>129.94999999999999</v>
    <v>1.135</v>
    <v>1.73</v>
    <v>1.1106E-2</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Its portfolio consists of over 308 data centers, of which 121 are located in the United States, 112 are located in Europe, 36 are located in Latin America, 16 are located in Africa, 16 are located in Asia, six are located in Australia and three are located in Canada. Its PlatformDIGITAL is a global data center platform for scaling digital business which enables customers to deploy their critical infrastructure with a global data center provider.</v>
    <v>3936</v>
    <v>New York Stock Exchange</v>
    <v>XNYS</v>
    <v>XNYS</v>
    <v>2323 Bryan Street, Suite 1800, DALLAS, TX, 75201 US</v>
    <v>158.91</v>
    <v>Residential &amp; Commercial REIT</v>
    <v>Stock</v>
    <v>46028.73171157344</v>
    <v>286</v>
    <v>156.02000000000001</v>
    <v>54101502000</v>
    <v>DIGITAL REALTY TRUST, INC.</v>
    <v>DIGITAL REALTY TRUST, INC.</v>
    <v>156.69999999999999</v>
    <v>40.803100000000001</v>
    <v>155.77000000000001</v>
    <v>157.5</v>
    <v>343501600</v>
    <v>DLR</v>
    <v>DIGITAL REALTY TRUST, INC. (XNYS:DLR)</v>
    <v>550851</v>
    <v>1980462</v>
    <v>2004</v>
  </rv>
  <rv s="2">
    <v>287</v>
  </rv>
  <rv s="0">
    <v>https://www.bing.com/financeapi/forcetrigger?t=a1s4mw&amp;q=XNAS%3aEQIX&amp;form=skydnc</v>
    <v>Learn more on Bing</v>
  </rv>
  <rv s="1">
    <v>0</v>
    <v>EQUINIX, INC. (XNAS:EQIX)</v>
    <v>2</v>
    <v>3</v>
    <v>Finance</v>
    <v>4</v>
    <v>en-US</v>
    <v>a1s4mw</v>
    <v>268435456</v>
    <v>1</v>
    <v>Powered by Refinitiv</v>
    <v>964.73</v>
    <v>701.41</v>
    <v>1.0468</v>
    <v>17.004999999999999</v>
    <v>2.2027000000000001E-2</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13606</v>
    <v>Nasdaq Stock Market</v>
    <v>XNAS</v>
    <v>XNAS</v>
    <v>One Lagoon Drive, REDWOOD CITY, CA, 94065 US</v>
    <v>789.54</v>
    <v>Residential &amp; Commercial REIT</v>
    <v>Stock</v>
    <v>46028.73172668906</v>
    <v>289</v>
    <v>769.74</v>
    <v>77471271772</v>
    <v>EQUINIX, INC.</v>
    <v>EQUINIX, INC.</v>
    <v>772</v>
    <v>72.240499999999997</v>
    <v>772.02</v>
    <v>789.02499999999998</v>
    <v>98186080</v>
    <v>EQIX</v>
    <v>EQUINIX, INC. (XNAS:EQIX)</v>
    <v>151400</v>
    <v>570604</v>
    <v>1998</v>
  </rv>
  <rv s="2">
    <v>290</v>
  </rv>
  <rv s="0">
    <v>https://www.bing.com/financeapi/forcetrigger?t=a1vrec&amp;q=XNYS%3aIRM&amp;form=skydnc</v>
    <v>Learn more on Bing</v>
  </rv>
  <rv s="1">
    <v>0</v>
    <v>IRON MOUNTAIN INCORPORATED (XNYS:IRM)</v>
    <v>2</v>
    <v>3</v>
    <v>Finance</v>
    <v>4</v>
    <v>en-US</v>
    <v>a1vrec</v>
    <v>268435456</v>
    <v>1</v>
    <v>Powered by Refinitiv</v>
    <v>112.18</v>
    <v>72.33</v>
    <v>1.1777</v>
    <v>1.59</v>
    <v>1.9003000000000003E-2</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28850</v>
    <v>New York Stock Exchange</v>
    <v>XNYS</v>
    <v>XNYS</v>
    <v>85 New Hampshire Avenue, Suite 150, Pease International Tradeport, PORTSMOUTH, NH, 03801 US</v>
    <v>86.72</v>
    <v>Residential &amp; Commercial REIT</v>
    <v>Stock</v>
    <v>46028.731717152346</v>
    <v>292</v>
    <v>83.44</v>
    <v>25201960770</v>
    <v>IRON MOUNTAIN INCORPORATED</v>
    <v>IRON MOUNTAIN INCORPORATED</v>
    <v>83.63</v>
    <v>159.63300000000001</v>
    <v>83.67</v>
    <v>85.26</v>
    <v>295589500</v>
    <v>IRM</v>
    <v>IRON MOUNTAIN INCORPORATED (XNYS:IRM)</v>
    <v>523794</v>
    <v>1991412</v>
    <v>2014</v>
  </rv>
  <rv s="2">
    <v>293</v>
  </rv>
</rvData>
</file>

<file path=xl/richData/rdrichvaluestructure.xml><?xml version="1.0" encoding="utf-8"?>
<rvStructures xmlns="http://schemas.microsoft.com/office/spreadsheetml/2017/richdata" count="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v>
      <v>2</v>
      <v>2</v>
      <v>1</v>
      <v>3</v>
      <v>1</v>
      <v>1</v>
      <v>1</v>
      <v>4</v>
      <v>4</v>
      <v>5</v>
      <v>10</v>
      <v>1</v>
      <v>1</v>
      <v>1</v>
      <v>4</v>
      <v>7</v>
      <v>8</v>
      <v>9</v>
      <v>4</v>
    </spb>
    <spb s="0">
      <v>1</v>
      <v>Name</v>
      <v>LearnMoreOnLink</v>
    </spb>
    <spb s="5">
      <v>0</v>
      <v>0</v>
    </spb>
    <spb s="6">
      <v>7</v>
      <v>1</v>
      <v>1</v>
      <v>1</v>
      <v>1</v>
    </spb>
    <spb s="7">
      <v>1</v>
      <v>2</v>
      <v>2</v>
      <v>1</v>
      <v>3</v>
      <v>1</v>
      <v>11</v>
      <v>1</v>
      <v>1</v>
      <v>4</v>
      <v>4</v>
      <v>5</v>
      <v>6</v>
      <v>1</v>
      <v>1</v>
      <v>1</v>
      <v>4</v>
      <v>7</v>
      <v>8</v>
      <v>9</v>
      <v>4</v>
    </spb>
    <spb s="8">
      <v>Powered by Refinitiv</v>
    </spb>
    <spb s="3">
      <v>12</v>
      <v>2</v>
      <v>2</v>
      <v>12</v>
      <v>3</v>
      <v>12</v>
      <v>12</v>
      <v>12</v>
      <v>4</v>
      <v>4</v>
      <v>5</v>
      <v>6</v>
      <v>12</v>
      <v>12</v>
      <v>12</v>
      <v>4</v>
      <v>7</v>
      <v>8</v>
      <v>9</v>
      <v>4</v>
    </spb>
    <spb s="9">
      <v>Delayed 15 minutes</v>
      <v>from previous close</v>
      <v>from previous close</v>
      <v>GMT</v>
    </spb>
  </spbData>
</supportingPropertyBags>
</file>

<file path=xl/richData/rdsupportingpropertybagstructure.xml><?xml version="1.0" encoding="utf-8"?>
<spbStructures xmlns="http://schemas.microsoft.com/office/spreadsheetml/2017/richdata2" count="1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#,##0_);_([$$-en-CA]* (#,##0);_([$$-en-CA]* "-"_);_(@_)</rpv>
    </rSty>
    <rSty>
      <rpv i="2">1</rpv>
    </rSty>
    <rSty dxfid="1">
      <rpv i="0">_([$€-x-euro2] * #,##0.00_);_([$€-x-euro2] * (#,##0.00);_([$€-x-euro2] *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N94" totalsRowShown="0" headerRowDxfId="9">
  <autoFilter ref="A1:N94" xr:uid="{E0CA35FE-2F53-A347-8AD6-B5C0C701EF5E}"/>
  <sortState xmlns:xlrd2="http://schemas.microsoft.com/office/spreadsheetml/2017/richdata2" ref="A2:N91">
    <sortCondition ref="B1:B91"/>
  </sortState>
  <tableColumns count="14">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N94"/>
  <sheetViews>
    <sheetView tabSelected="1" workbookViewId="0">
      <pane ySplit="1" topLeftCell="A39" activePane="bottomLeft" state="frozen"/>
      <selection pane="bottomLeft" activeCell="H67" sqref="H67"/>
    </sheetView>
  </sheetViews>
  <sheetFormatPr baseColWidth="10" defaultRowHeight="16" x14ac:dyDescent="0.2"/>
  <cols>
    <col min="1" max="1" width="51.83203125" bestFit="1" customWidth="1"/>
    <col min="2" max="2" width="8.6640625" bestFit="1" customWidth="1"/>
    <col min="3" max="3" width="9.33203125" bestFit="1" customWidth="1"/>
    <col min="4" max="4" width="21.6640625" bestFit="1" customWidth="1"/>
    <col min="5" max="5" width="7" bestFit="1" customWidth="1"/>
    <col min="6" max="6" width="8.5" bestFit="1" customWidth="1"/>
    <col min="7" max="7" width="11.1640625" bestFit="1" customWidth="1"/>
    <col min="11" max="11" width="9" bestFit="1" customWidth="1"/>
    <col min="12" max="12" width="10.5" bestFit="1" customWidth="1"/>
    <col min="13" max="13" width="7.83203125" style="4" bestFit="1" customWidth="1"/>
    <col min="14" max="14" width="18.6640625" bestFit="1" customWidth="1"/>
  </cols>
  <sheetData>
    <row r="1" spans="1:14" x14ac:dyDescent="0.2">
      <c r="A1" s="1" t="s">
        <v>3</v>
      </c>
      <c r="B1" s="1" t="s">
        <v>0</v>
      </c>
      <c r="C1" s="1" t="s">
        <v>4</v>
      </c>
      <c r="D1" s="1" t="s">
        <v>1</v>
      </c>
      <c r="E1" s="1" t="s">
        <v>16</v>
      </c>
      <c r="F1" s="1" t="s">
        <v>15</v>
      </c>
      <c r="G1" s="1" t="s">
        <v>2</v>
      </c>
      <c r="H1" s="1" t="s">
        <v>17</v>
      </c>
      <c r="I1" s="1" t="s">
        <v>20</v>
      </c>
      <c r="J1" s="1" t="s">
        <v>19</v>
      </c>
      <c r="K1" s="3" t="s">
        <v>18</v>
      </c>
      <c r="L1" s="1" t="s">
        <v>21</v>
      </c>
      <c r="M1" s="1" t="s">
        <v>22</v>
      </c>
      <c r="N1" s="5" t="s">
        <v>23</v>
      </c>
    </row>
    <row r="2" spans="1:14" x14ac:dyDescent="0.2">
      <c r="A2" t="e" vm="1">
        <v>#VALUE!</v>
      </c>
      <c r="B2" t="str" cm="1">
        <f t="array" aca="1" ref="B2" ca="1">_FV(table1[[#This Row],[DataField]],"Ticker symbol",TRUE)</f>
        <v>AAPL</v>
      </c>
      <c r="C2" t="b">
        <v>1</v>
      </c>
      <c r="D2" t="s">
        <v>6</v>
      </c>
      <c r="E2" t="b">
        <v>1</v>
      </c>
      <c r="G2" t="s">
        <v>24</v>
      </c>
      <c r="H2" s="2" cm="1">
        <f t="array" aca="1" ref="H2" ca="1">_FV(table1[[#This Row],[DataField]],"Price")</f>
        <v>262.93009999999998</v>
      </c>
      <c r="I2" s="2" cm="1">
        <f t="array" aca="1" ref="I2" ca="1">_FV(table1[[#This Row],[DataField]],"52 week low",TRUE)</f>
        <v>169.21010000000001</v>
      </c>
      <c r="J2" s="2" cm="1">
        <f t="array" aca="1" ref="J2" ca="1">_FV(table1[[#This Row],[DataField]],"52 week high",TRUE)</f>
        <v>288.62</v>
      </c>
      <c r="K2" s="4" cm="1">
        <f t="array" aca="1" ref="K2" ca="1">_FV(table1[[#This Row],[DataField]],"P/E",TRUE)</f>
        <v>35.403799999999997</v>
      </c>
      <c r="L2" s="2" t="str">
        <f ca="1">IF(table1[[#This Row],[Price]] &lt; (table1[[#This Row],[52Low]] * 0.25) + table1[[#This Row],[52Low]],  "TRUE", "FALSE")</f>
        <v>FALSE</v>
      </c>
      <c r="M2" s="2" t="str">
        <f ca="1">IF(table1[[#This Row],[Price]] &lt; (table1[[#This Row],[52Low]] * 0.1) + table1[[#This Row],[52Low]],  "TRUE", "FALSE")</f>
        <v>FALSE</v>
      </c>
      <c r="N2" s="6" cm="1">
        <f t="array" aca="1" ref="N2" ca="1">_FV(table1[[#This Row],[DataField]],"Market cap",TRUE)</f>
        <v>3885147183134</v>
      </c>
    </row>
    <row r="3" spans="1:14" x14ac:dyDescent="0.2">
      <c r="A3" t="e" vm="2">
        <v>#VALUE!</v>
      </c>
      <c r="B3" t="str" cm="1">
        <f t="array" aca="1" ref="B3" ca="1">_FV(table1[[#This Row],[DataField]],"Ticker symbol",TRUE)</f>
        <v>ABBV</v>
      </c>
      <c r="H3" s="2" cm="1">
        <f t="array" aca="1" ref="H3" ca="1">_FV(table1[[#This Row],[DataField]],"Price")</f>
        <v>221.75</v>
      </c>
      <c r="I3" s="2" cm="1">
        <f t="array" aca="1" ref="I3" ca="1">_FV(table1[[#This Row],[DataField]],"52 week low",TRUE)</f>
        <v>164.39</v>
      </c>
      <c r="J3" s="2" cm="1">
        <f t="array" aca="1" ref="J3" ca="1">_FV(table1[[#This Row],[DataField]],"52 week high",TRUE)</f>
        <v>244.81</v>
      </c>
      <c r="K3" s="4" cm="1">
        <f t="array" aca="1" ref="K3" ca="1">_FV(table1[[#This Row],[DataField]],"P/E",TRUE)</f>
        <v>167.32060000000001</v>
      </c>
      <c r="L3" s="2" t="str">
        <f ca="1">IF(table1[[#This Row],[Price]] &lt; (table1[[#This Row],[52Low]] * 0.25) + table1[[#This Row],[52Low]],  "TRUE", "FALSE")</f>
        <v>FALSE</v>
      </c>
      <c r="M3" s="2" t="str">
        <f ca="1">IF(table1[[#This Row],[Price]] &lt; (table1[[#This Row],[52Low]] * 0.1) + table1[[#This Row],[52Low]],  "TRUE", "FALSE")</f>
        <v>FALSE</v>
      </c>
      <c r="N3" s="6" cm="1">
        <f t="array" aca="1" ref="N3" ca="1">_FV(table1[[#This Row],[DataField]],"Market cap",TRUE)</f>
        <v>391917623750</v>
      </c>
    </row>
    <row r="4" spans="1:14" x14ac:dyDescent="0.2">
      <c r="A4" t="e" vm="3">
        <v>#VALUE!</v>
      </c>
      <c r="B4" t="str" cm="1">
        <f t="array" aca="1" ref="B4" ca="1">_FV(table1[[#This Row],[DataField]],"Ticker symbol",TRUE)</f>
        <v>ADM</v>
      </c>
      <c r="C4" t="b">
        <v>1</v>
      </c>
      <c r="D4" t="s">
        <v>5</v>
      </c>
      <c r="E4" t="b">
        <v>1</v>
      </c>
      <c r="H4" s="2" cm="1">
        <f t="array" aca="1" ref="H4" ca="1">_FV(table1[[#This Row],[DataField]],"Price")</f>
        <v>60.945</v>
      </c>
      <c r="I4" s="2" cm="1">
        <f t="array" aca="1" ref="I4" ca="1">_FV(table1[[#This Row],[DataField]],"52 week low",TRUE)</f>
        <v>40.98</v>
      </c>
      <c r="J4" s="2" cm="1">
        <f t="array" aca="1" ref="J4" ca="1">_FV(table1[[#This Row],[DataField]],"52 week high",TRUE)</f>
        <v>65</v>
      </c>
      <c r="K4" s="4" cm="1">
        <f t="array" aca="1" ref="K4" ca="1">_FV(table1[[#This Row],[DataField]],"P/E",TRUE)</f>
        <v>24.722100000000001</v>
      </c>
      <c r="L4" s="2" t="str">
        <f ca="1">IF(table1[[#This Row],[Price]] &lt; (table1[[#This Row],[52Low]] * 0.25) + table1[[#This Row],[52Low]],  "TRUE", "FALSE")</f>
        <v>FALSE</v>
      </c>
      <c r="M4" s="2" t="str">
        <f ca="1">IF(table1[[#This Row],[Price]] &lt; (table1[[#This Row],[52Low]] * 0.1) + table1[[#This Row],[52Low]],  "TRUE", "FALSE")</f>
        <v>FALSE</v>
      </c>
      <c r="N4" s="6" cm="1">
        <f t="array" aca="1" ref="N4" ca="1">_FV(table1[[#This Row],[DataField]],"Market cap",TRUE)</f>
        <v>29288320366</v>
      </c>
    </row>
    <row r="5" spans="1:14" x14ac:dyDescent="0.2">
      <c r="A5" t="e" vm="4">
        <v>#VALUE!</v>
      </c>
      <c r="B5" t="str" cm="1">
        <f t="array" aca="1" ref="B5" ca="1">_FV(table1[[#This Row],[DataField]],"Ticker symbol",TRUE)</f>
        <v>ADP</v>
      </c>
      <c r="H5" s="2" cm="1">
        <f t="array" aca="1" ref="H5" ca="1">_FV(table1[[#This Row],[DataField]],"Price")</f>
        <v>259.59500000000003</v>
      </c>
      <c r="I5" s="2" cm="1">
        <f t="array" aca="1" ref="I5" ca="1">_FV(table1[[#This Row],[DataField]],"52 week low",TRUE)</f>
        <v>247.18350000000001</v>
      </c>
      <c r="J5" s="2" cm="1">
        <f t="array" aca="1" ref="J5" ca="1">_FV(table1[[#This Row],[DataField]],"52 week high",TRUE)</f>
        <v>329.92950000000002</v>
      </c>
      <c r="K5" s="4" cm="1">
        <f t="array" aca="1" ref="K5" ca="1">_FV(table1[[#This Row],[DataField]],"P/E",TRUE)</f>
        <v>25.599599999999999</v>
      </c>
      <c r="L5" s="2" t="str">
        <f ca="1">IF(table1[[#This Row],[Price]] &lt; (table1[[#This Row],[52Low]] * 0.25) + table1[[#This Row],[52Low]],  "TRUE", "FALSE")</f>
        <v>TRUE</v>
      </c>
      <c r="M5" s="2" t="str">
        <f ca="1">IF(table1[[#This Row],[Price]] &lt; (table1[[#This Row],[52Low]] * 0.1) + table1[[#This Row],[52Low]],  "TRUE", "FALSE")</f>
        <v>TRUE</v>
      </c>
      <c r="N5" s="6" cm="1">
        <f t="array" aca="1" ref="N5" ca="1">_FV(table1[[#This Row],[DataField]],"Market cap",TRUE)</f>
        <v>104072800000</v>
      </c>
    </row>
    <row r="6" spans="1:14" x14ac:dyDescent="0.2">
      <c r="A6" t="e" vm="5">
        <v>#VALUE!</v>
      </c>
      <c r="B6" t="str" cm="1">
        <f t="array" aca="1" ref="B6" ca="1">_FV(table1[[#This Row],[DataField]],"Ticker symbol",TRUE)</f>
        <v>AMD</v>
      </c>
      <c r="G6" t="s">
        <v>25</v>
      </c>
      <c r="H6" s="2" cm="1">
        <f t="array" aca="1" ref="H6" ca="1">_FV(table1[[#This Row],[DataField]],"Price")</f>
        <v>211.93</v>
      </c>
      <c r="I6" s="2" cm="1">
        <f t="array" aca="1" ref="I6" ca="1">_FV(table1[[#This Row],[DataField]],"52 week low",TRUE)</f>
        <v>76.48</v>
      </c>
      <c r="J6" s="2" cm="1">
        <f t="array" aca="1" ref="J6" ca="1">_FV(table1[[#This Row],[DataField]],"52 week high",TRUE)</f>
        <v>267.07990000000001</v>
      </c>
      <c r="K6" s="4" cm="1">
        <f t="array" aca="1" ref="K6" ca="1">_FV(table1[[#This Row],[DataField]],"P/E",TRUE)</f>
        <v>110.58759999999999</v>
      </c>
      <c r="L6" s="2" t="str">
        <f ca="1">IF(table1[[#This Row],[Price]] &lt; (table1[[#This Row],[52Low]] * 0.25) + table1[[#This Row],[52Low]],  "TRUE", "FALSE")</f>
        <v>FALSE</v>
      </c>
      <c r="M6" s="2" t="str">
        <f ca="1">IF(table1[[#This Row],[Price]] &lt; (table1[[#This Row],[52Low]] * 0.1) + table1[[#This Row],[52Low]],  "TRUE", "FALSE")</f>
        <v>FALSE</v>
      </c>
      <c r="N6" s="6" cm="1">
        <f t="array" aca="1" ref="N6" ca="1">_FV(table1[[#This Row],[DataField]],"Market cap",TRUE)</f>
        <v>345030941060</v>
      </c>
    </row>
    <row r="7" spans="1:14" x14ac:dyDescent="0.2">
      <c r="A7" t="e" vm="6">
        <v>#VALUE!</v>
      </c>
      <c r="B7" t="str" cm="1">
        <f t="array" aca="1" ref="B7" ca="1">_FV(table1[[#This Row],[DataField]],"Ticker symbol",TRUE)</f>
        <v>AMT</v>
      </c>
      <c r="H7" s="2" cm="1">
        <f t="array" aca="1" ref="H7" ca="1">_FV(table1[[#This Row],[DataField]],"Price")</f>
        <v>175.73500000000001</v>
      </c>
      <c r="I7" s="2" cm="1">
        <f t="array" aca="1" ref="I7" ca="1">_FV(table1[[#This Row],[DataField]],"52 week low",TRUE)</f>
        <v>170.77</v>
      </c>
      <c r="J7" s="2" cm="1">
        <f t="array" aca="1" ref="J7" ca="1">_FV(table1[[#This Row],[DataField]],"52 week high",TRUE)</f>
        <v>234.33</v>
      </c>
      <c r="K7" s="4" cm="1">
        <f t="array" aca="1" ref="K7" ca="1">_FV(table1[[#This Row],[DataField]],"P/E",TRUE)</f>
        <v>28.0306</v>
      </c>
      <c r="L7" s="2" t="str">
        <f ca="1">IF(table1[[#This Row],[Price]] &lt; (table1[[#This Row],[52Low]] * 0.25) + table1[[#This Row],[52Low]],  "TRUE", "FALSE")</f>
        <v>TRUE</v>
      </c>
      <c r="M7" s="2" t="str">
        <f ca="1">IF(table1[[#This Row],[Price]] &lt; (table1[[#This Row],[52Low]] * 0.1) + table1[[#This Row],[52Low]],  "TRUE", "FALSE")</f>
        <v>TRUE</v>
      </c>
      <c r="N7" s="6" cm="1">
        <f t="array" aca="1" ref="N7" ca="1">_FV(table1[[#This Row],[DataField]],"Market cap",TRUE)</f>
        <v>82269742751</v>
      </c>
    </row>
    <row r="8" spans="1:14" x14ac:dyDescent="0.2">
      <c r="A8" t="e" vm="7">
        <v>#VALUE!</v>
      </c>
      <c r="B8" t="str" cm="1">
        <f t="array" aca="1" ref="B8" ca="1">_FV(table1[[#This Row],[DataField]],"Ticker symbol",TRUE)</f>
        <v>AMZN</v>
      </c>
      <c r="C8" t="b">
        <v>1</v>
      </c>
      <c r="D8" t="s">
        <v>7</v>
      </c>
      <c r="E8" t="b">
        <v>1</v>
      </c>
      <c r="H8" s="2" cm="1">
        <f t="array" aca="1" ref="H8" ca="1">_FV(table1[[#This Row],[DataField]],"Price")</f>
        <v>242.09</v>
      </c>
      <c r="I8" s="2" cm="1">
        <f t="array" aca="1" ref="I8" ca="1">_FV(table1[[#This Row],[DataField]],"52 week low",TRUE)</f>
        <v>161.38</v>
      </c>
      <c r="J8" s="2" cm="1">
        <f t="array" aca="1" ref="J8" ca="1">_FV(table1[[#This Row],[DataField]],"52 week high",TRUE)</f>
        <v>258.60000000000002</v>
      </c>
      <c r="K8" s="4" cm="1">
        <f t="array" aca="1" ref="K8" ca="1">_FV(table1[[#This Row],[DataField]],"P/E",TRUE)</f>
        <v>34.198300000000003</v>
      </c>
      <c r="L8" s="2" t="str">
        <f ca="1">IF(table1[[#This Row],[Price]] &lt; (table1[[#This Row],[52Low]] * 0.25) + table1[[#This Row],[52Low]],  "TRUE", "FALSE")</f>
        <v>FALSE</v>
      </c>
      <c r="M8" s="2" t="str">
        <f ca="1">IF(table1[[#This Row],[Price]] &lt; (table1[[#This Row],[52Low]] * 0.1) + table1[[#This Row],[52Low]],  "TRUE", "FALSE")</f>
        <v>FALSE</v>
      </c>
      <c r="N8" s="6" cm="1">
        <f t="array" aca="1" ref="N8" ca="1">_FV(table1[[#This Row],[DataField]],"Market cap",TRUE)</f>
        <v>2587995359800</v>
      </c>
    </row>
    <row r="9" spans="1:14" x14ac:dyDescent="0.2">
      <c r="A9" t="e" vm="8">
        <v>#VALUE!</v>
      </c>
      <c r="B9" t="str" cm="1">
        <f t="array" aca="1" ref="B9" ca="1">_FV(table1[[#This Row],[DataField]],"Ticker symbol",TRUE)</f>
        <v>AOS</v>
      </c>
      <c r="H9" s="2" cm="1">
        <f t="array" aca="1" ref="H9" ca="1">_FV(table1[[#This Row],[DataField]],"Price")</f>
        <v>68.63</v>
      </c>
      <c r="I9" s="2" cm="1">
        <f t="array" aca="1" ref="I9" ca="1">_FV(table1[[#This Row],[DataField]],"52 week low",TRUE)</f>
        <v>58.83</v>
      </c>
      <c r="J9" s="2" cm="1">
        <f t="array" aca="1" ref="J9" ca="1">_FV(table1[[#This Row],[DataField]],"52 week high",TRUE)</f>
        <v>77.31</v>
      </c>
      <c r="K9" s="4" cm="1">
        <f t="array" aca="1" ref="K9" ca="1">_FV(table1[[#This Row],[DataField]],"P/E",TRUE)</f>
        <v>18.530100000000001</v>
      </c>
      <c r="L9" s="2" t="str">
        <f ca="1">IF(table1[[#This Row],[Price]] &lt; (table1[[#This Row],[52Low]] * 0.25) + table1[[#This Row],[52Low]],  "TRUE", "FALSE")</f>
        <v>TRUE</v>
      </c>
      <c r="M9" s="2" t="str">
        <f ca="1">IF(table1[[#This Row],[Price]] &lt; (table1[[#This Row],[52Low]] * 0.1) + table1[[#This Row],[52Low]],  "TRUE", "FALSE")</f>
        <v>FALSE</v>
      </c>
      <c r="N9" s="6" cm="1">
        <f t="array" aca="1" ref="N9" ca="1">_FV(table1[[#This Row],[DataField]],"Market cap",TRUE)</f>
        <v>9555890214</v>
      </c>
    </row>
    <row r="10" spans="1:14" x14ac:dyDescent="0.2">
      <c r="A10" t="e" vm="9">
        <v>#VALUE!</v>
      </c>
      <c r="B10" t="str" cm="1">
        <f t="array" aca="1" ref="B10" ca="1">_FV(table1[[#This Row],[DataField]],"Ticker symbol",TRUE)</f>
        <v>ASML</v>
      </c>
      <c r="G10" t="s">
        <v>25</v>
      </c>
      <c r="H10" s="2" cm="1">
        <f t="array" aca="1" ref="H10" ca="1">_FV(table1[[#This Row],[DataField]],"Price")</f>
        <v>1234.4854</v>
      </c>
      <c r="I10" s="2" cm="1">
        <f t="array" aca="1" ref="I10" ca="1">_FV(table1[[#This Row],[DataField]],"52 week low",TRUE)</f>
        <v>578.51</v>
      </c>
      <c r="J10" s="2" cm="1">
        <f t="array" aca="1" ref="J10" ca="1">_FV(table1[[#This Row],[DataField]],"52 week high",TRUE)</f>
        <v>1246.3800000000001</v>
      </c>
      <c r="K10" s="4" cm="1">
        <f t="array" aca="1" ref="K10" ca="1">_FV(table1[[#This Row],[DataField]],"P/E",TRUE)</f>
        <v>43.558399999999999</v>
      </c>
      <c r="L10" s="2" t="str">
        <f ca="1">IF(table1[[#This Row],[Price]] &lt; (table1[[#This Row],[52Low]] * 0.25) + table1[[#This Row],[52Low]],  "TRUE", "FALSE")</f>
        <v>FALSE</v>
      </c>
      <c r="M10" s="2" t="str">
        <f ca="1">IF(table1[[#This Row],[Price]] &lt; (table1[[#This Row],[52Low]] * 0.1) + table1[[#This Row],[52Low]],  "TRUE", "FALSE")</f>
        <v>FALSE</v>
      </c>
      <c r="N10" s="6" cm="1">
        <f t="array" aca="1" ref="N10" ca="1">_FV(table1[[#This Row],[DataField]],"Market cap",TRUE)</f>
        <v>479066600000</v>
      </c>
    </row>
    <row r="11" spans="1:14" x14ac:dyDescent="0.2">
      <c r="A11" t="e" vm="10">
        <v>#VALUE!</v>
      </c>
      <c r="B11" t="str" cm="1">
        <f t="array" aca="1" ref="B11" ca="1">_FV(table1[[#This Row],[DataField]],"Ticker symbol",TRUE)</f>
        <v>AVGO</v>
      </c>
      <c r="H11" s="2" cm="1">
        <f t="array" aca="1" ref="H11" ca="1">_FV(table1[[#This Row],[DataField]],"Price")</f>
        <v>346.71609999999998</v>
      </c>
      <c r="I11" s="2" cm="1">
        <f t="array" aca="1" ref="I11" ca="1">_FV(table1[[#This Row],[DataField]],"52 week low",TRUE)</f>
        <v>138.1</v>
      </c>
      <c r="J11" s="2" cm="1">
        <f t="array" aca="1" ref="J11" ca="1">_FV(table1[[#This Row],[DataField]],"52 week high",TRUE)</f>
        <v>414.61</v>
      </c>
      <c r="K11" s="4" cm="1">
        <f t="array" aca="1" ref="K11" ca="1">_FV(table1[[#This Row],[DataField]],"P/E",TRUE)</f>
        <v>72.686800000000005</v>
      </c>
      <c r="L11" s="2" t="str">
        <f ca="1">IF(table1[[#This Row],[Price]] &lt; (table1[[#This Row],[52Low]] * 0.25) + table1[[#This Row],[52Low]],  "TRUE", "FALSE")</f>
        <v>FALSE</v>
      </c>
      <c r="M11" s="2" t="str">
        <f ca="1">IF(table1[[#This Row],[Price]] &lt; (table1[[#This Row],[52Low]] * 0.1) + table1[[#This Row],[52Low]],  "TRUE", "FALSE")</f>
        <v>FALSE</v>
      </c>
      <c r="N11" s="6" cm="1">
        <f t="array" aca="1" ref="N11" ca="1">_FV(table1[[#This Row],[DataField]],"Market cap",TRUE)</f>
        <v>1643876030311</v>
      </c>
    </row>
    <row r="12" spans="1:14" x14ac:dyDescent="0.2">
      <c r="A12" t="e" vm="11">
        <v>#VALUE!</v>
      </c>
      <c r="B12" t="str" cm="1">
        <f t="array" aca="1" ref="B12" ca="1">_FV(table1[[#This Row],[DataField]],"Ticker symbol",TRUE)</f>
        <v>AWK</v>
      </c>
      <c r="H12" s="2" cm="1">
        <f t="array" aca="1" ref="H12" ca="1">_FV(table1[[#This Row],[DataField]],"Price")</f>
        <v>128.03</v>
      </c>
      <c r="I12" s="2" cm="1">
        <f t="array" aca="1" ref="I12" ca="1">_FV(table1[[#This Row],[DataField]],"52 week low",TRUE)</f>
        <v>118.74</v>
      </c>
      <c r="J12" s="2" cm="1">
        <f t="array" aca="1" ref="J12" ca="1">_FV(table1[[#This Row],[DataField]],"52 week high",TRUE)</f>
        <v>155.5</v>
      </c>
      <c r="K12" s="4" cm="1">
        <f t="array" aca="1" ref="K12" ca="1">_FV(table1[[#This Row],[DataField]],"P/E",TRUE)</f>
        <v>22.4512</v>
      </c>
      <c r="L12" s="2" t="str">
        <f ca="1">IF(table1[[#This Row],[Price]] &lt; (table1[[#This Row],[52Low]] * 0.25) + table1[[#This Row],[52Low]],  "TRUE", "FALSE")</f>
        <v>TRUE</v>
      </c>
      <c r="M12" s="2" t="str">
        <f ca="1">IF(table1[[#This Row],[Price]] &lt; (table1[[#This Row],[52Low]] * 0.1) + table1[[#This Row],[52Low]],  "TRUE", "FALSE")</f>
        <v>TRUE</v>
      </c>
      <c r="N12" s="6" cm="1">
        <f t="array" aca="1" ref="N12" ca="1">_FV(table1[[#This Row],[DataField]],"Market cap",TRUE)</f>
        <v>24988536916</v>
      </c>
    </row>
    <row r="13" spans="1:14" ht="17" customHeight="1" x14ac:dyDescent="0.2">
      <c r="A13" t="e" vm="12">
        <v>#VALUE!</v>
      </c>
      <c r="B13" t="str" cm="1">
        <f t="array" aca="1" ref="B13" ca="1">_FV(table1[[#This Row],[DataField]],"Ticker symbol",TRUE)</f>
        <v>BBY</v>
      </c>
      <c r="H13" s="2" cm="1">
        <f t="array" aca="1" ref="H13" ca="1">_FV(table1[[#This Row],[DataField]],"Price")</f>
        <v>71.510099999999994</v>
      </c>
      <c r="I13" s="2" cm="1">
        <f t="array" aca="1" ref="I13" ca="1">_FV(table1[[#This Row],[DataField]],"52 week low",TRUE)</f>
        <v>54.99</v>
      </c>
      <c r="J13" s="2" cm="1">
        <f t="array" aca="1" ref="J13" ca="1">_FV(table1[[#This Row],[DataField]],"52 week high",TRUE)</f>
        <v>91.68</v>
      </c>
      <c r="K13" s="4" cm="1">
        <f t="array" aca="1" ref="K13" ca="1">_FV(table1[[#This Row],[DataField]],"P/E",TRUE)</f>
        <v>23.596800000000002</v>
      </c>
      <c r="L13" s="2" t="str">
        <f ca="1">IF(table1[[#This Row],[Price]] &lt; (table1[[#This Row],[52Low]] * 0.25) + table1[[#This Row],[52Low]],  "TRUE", "FALSE")</f>
        <v>FALSE</v>
      </c>
      <c r="M13" s="2" t="str">
        <f ca="1">IF(table1[[#This Row],[Price]] &lt; (table1[[#This Row],[52Low]] * 0.1) + table1[[#This Row],[52Low]],  "TRUE", "FALSE")</f>
        <v>FALSE</v>
      </c>
      <c r="N13" s="6" cm="1">
        <f t="array" aca="1" ref="N13" ca="1">_FV(table1[[#This Row],[DataField]],"Market cap",TRUE)</f>
        <v>14983875954</v>
      </c>
    </row>
    <row r="14" spans="1:14" x14ac:dyDescent="0.2">
      <c r="A14" t="e" vm="13">
        <v>#VALUE!</v>
      </c>
      <c r="B14" t="str" cm="1">
        <f t="array" aca="1" ref="B14" ca="1">_FV(table1[[#This Row],[DataField]],"Ticker symbol",TRUE)</f>
        <v>BF.A</v>
      </c>
      <c r="H14" s="2" cm="1">
        <f t="array" aca="1" ref="H14" ca="1">_FV(table1[[#This Row],[DataField]],"Price")</f>
        <v>26.145</v>
      </c>
      <c r="I14" s="2" cm="1">
        <f t="array" aca="1" ref="I14" ca="1">_FV(table1[[#This Row],[DataField]],"52 week low",TRUE)</f>
        <v>25.81</v>
      </c>
      <c r="J14" s="2" cm="1">
        <f t="array" aca="1" ref="J14" ca="1">_FV(table1[[#This Row],[DataField]],"52 week high",TRUE)</f>
        <v>38.21</v>
      </c>
      <c r="K14" s="4" cm="1">
        <f t="array" aca="1" ref="K14" ca="1">_FV(table1[[#This Row],[DataField]],"P/E",TRUE)</f>
        <v>0</v>
      </c>
      <c r="L14" s="2" t="str">
        <f ca="1">IF(table1[[#This Row],[Price]] &lt; (table1[[#This Row],[52Low]] * 0.25) + table1[[#This Row],[52Low]],  "TRUE", "FALSE")</f>
        <v>TRUE</v>
      </c>
      <c r="M14" s="2" t="str">
        <f ca="1">IF(table1[[#This Row],[Price]] &lt; (table1[[#This Row],[52Low]] * 0.1) + table1[[#This Row],[52Low]],  "TRUE", "FALSE")</f>
        <v>TRUE</v>
      </c>
      <c r="N14" s="6" cm="1">
        <f t="array" aca="1" ref="N14" ca="1">_FV(table1[[#This Row],[DataField]],"Market cap",TRUE)</f>
        <v>11987470000</v>
      </c>
    </row>
    <row r="15" spans="1:14" x14ac:dyDescent="0.2">
      <c r="A15" t="e" vm="14">
        <v>#VALUE!</v>
      </c>
      <c r="B15" t="str" cm="1">
        <f t="array" aca="1" ref="B15" ca="1">_FV(table1[[#This Row],[DataField]],"Ticker symbol",TRUE)</f>
        <v>BLK</v>
      </c>
      <c r="C15" t="b">
        <v>1</v>
      </c>
      <c r="D15" t="s">
        <v>8</v>
      </c>
      <c r="E15" t="b">
        <v>1</v>
      </c>
      <c r="H15" s="2" cm="1">
        <f t="array" aca="1" ref="H15" ca="1">_FV(table1[[#This Row],[DataField]],"Price")</f>
        <v>1118.3699999999999</v>
      </c>
      <c r="I15" s="2" cm="1">
        <f t="array" aca="1" ref="I15" ca="1">_FV(table1[[#This Row],[DataField]],"52 week low",TRUE)</f>
        <v>773.74009999999998</v>
      </c>
      <c r="J15" s="2" cm="1">
        <f t="array" aca="1" ref="J15" ca="1">_FV(table1[[#This Row],[DataField]],"52 week high",TRUE)</f>
        <v>1219.9399000000001</v>
      </c>
      <c r="K15" s="4" cm="1">
        <f t="array" aca="1" ref="K15" ca="1">_FV(table1[[#This Row],[DataField]],"P/E",TRUE)</f>
        <v>29.063800000000001</v>
      </c>
      <c r="L15" s="2" t="str">
        <f ca="1">IF(table1[[#This Row],[Price]] &lt; (table1[[#This Row],[52Low]] * 0.25) + table1[[#This Row],[52Low]],  "TRUE", "FALSE")</f>
        <v>FALSE</v>
      </c>
      <c r="M15" s="2" t="str">
        <f ca="1">IF(table1[[#This Row],[Price]] &lt; (table1[[#This Row],[52Low]] * 0.1) + table1[[#This Row],[52Low]],  "TRUE", "FALSE")</f>
        <v>FALSE</v>
      </c>
      <c r="N15" s="6" cm="1">
        <f t="array" aca="1" ref="N15" ca="1">_FV(table1[[#This Row],[DataField]],"Market cap",TRUE)</f>
        <v>173516112032</v>
      </c>
    </row>
    <row r="16" spans="1:14" x14ac:dyDescent="0.2">
      <c r="A16" t="e" vm="15">
        <v>#VALUE!</v>
      </c>
      <c r="B16" t="str" cm="1">
        <f t="array" aca="1" ref="B16" ca="1">_FV(table1[[#This Row],[DataField]],"Ticker symbol",TRUE)</f>
        <v>BMY</v>
      </c>
      <c r="C16" t="b">
        <v>1</v>
      </c>
      <c r="D16" t="s">
        <v>9</v>
      </c>
      <c r="E16" t="b">
        <v>1</v>
      </c>
      <c r="H16" s="2" cm="1">
        <f t="array" aca="1" ref="H16" ca="1">_FV(table1[[#This Row],[DataField]],"Price")</f>
        <v>54.445</v>
      </c>
      <c r="I16" s="2" cm="1">
        <f t="array" aca="1" ref="I16" ca="1">_FV(table1[[#This Row],[DataField]],"52 week low",TRUE)</f>
        <v>42.52</v>
      </c>
      <c r="J16" s="2" cm="1">
        <f t="array" aca="1" ref="J16" ca="1">_FV(table1[[#This Row],[DataField]],"52 week high",TRUE)</f>
        <v>63.33</v>
      </c>
      <c r="K16" s="4" cm="1">
        <f t="array" aca="1" ref="K16" ca="1">_FV(table1[[#This Row],[DataField]],"P/E",TRUE)</f>
        <v>18.421600000000002</v>
      </c>
      <c r="L16" s="2" t="str">
        <f ca="1">IF(table1[[#This Row],[Price]] &lt; (table1[[#This Row],[52Low]] * 0.25) + table1[[#This Row],[52Low]],  "TRUE", "FALSE")</f>
        <v>FALSE</v>
      </c>
      <c r="M16" s="2" t="str">
        <f ca="1">IF(table1[[#This Row],[Price]] &lt; (table1[[#This Row],[52Low]] * 0.1) + table1[[#This Row],[52Low]],  "TRUE", "FALSE")</f>
        <v>FALSE</v>
      </c>
      <c r="N16" s="6" cm="1">
        <f t="array" aca="1" ref="N16" ca="1">_FV(table1[[#This Row],[DataField]],"Market cap",TRUE)</f>
        <v>108017100000</v>
      </c>
    </row>
    <row r="17" spans="1:14" x14ac:dyDescent="0.2">
      <c r="A17" t="e" vm="16">
        <v>#VALUE!</v>
      </c>
      <c r="B17" t="str" cm="1">
        <f t="array" aca="1" ref="B17" ca="1">_FV(table1[[#This Row],[DataField]],"Ticker symbol",TRUE)</f>
        <v>CAT</v>
      </c>
      <c r="H17" s="2" cm="1">
        <f t="array" aca="1" ref="H17" ca="1">_FV(table1[[#This Row],[DataField]],"Price")</f>
        <v>623.15499999999997</v>
      </c>
      <c r="I17" s="2" cm="1">
        <f t="array" aca="1" ref="I17" ca="1">_FV(table1[[#This Row],[DataField]],"52 week low",TRUE)</f>
        <v>267.3</v>
      </c>
      <c r="J17" s="2" cm="1">
        <f t="array" aca="1" ref="J17" ca="1">_FV(table1[[#This Row],[DataField]],"52 week high",TRUE)</f>
        <v>627.5</v>
      </c>
      <c r="K17" s="4" cm="1">
        <f t="array" aca="1" ref="K17" ca="1">_FV(table1[[#This Row],[DataField]],"P/E",TRUE)</f>
        <v>31.9739</v>
      </c>
      <c r="L17" s="2" t="str">
        <f ca="1">IF(table1[[#This Row],[Price]] &lt; (table1[[#This Row],[52Low]] * 0.25) + table1[[#This Row],[52Low]],  "TRUE", "FALSE")</f>
        <v>FALSE</v>
      </c>
      <c r="M17" s="2" t="str">
        <f ca="1">IF(table1[[#This Row],[Price]] &lt; (table1[[#This Row],[52Low]] * 0.1) + table1[[#This Row],[52Low]],  "TRUE", "FALSE")</f>
        <v>FALSE</v>
      </c>
      <c r="N17" s="6" cm="1">
        <f t="array" aca="1" ref="N17" ca="1">_FV(table1[[#This Row],[DataField]],"Market cap",TRUE)</f>
        <v>291623827638</v>
      </c>
    </row>
    <row r="18" spans="1:14" x14ac:dyDescent="0.2">
      <c r="A18" t="e" vm="17">
        <v>#VALUE!</v>
      </c>
      <c r="B18" t="str" cm="1">
        <f t="array" aca="1" ref="B18" ca="1">_FV(table1[[#This Row],[DataField]],"Ticker symbol",TRUE)</f>
        <v>CCI</v>
      </c>
      <c r="H18" s="2" cm="1">
        <f t="array" aca="1" ref="H18" ca="1">_FV(table1[[#This Row],[DataField]],"Price")</f>
        <v>87.74</v>
      </c>
      <c r="I18" s="2" cm="1">
        <f t="array" aca="1" ref="I18" ca="1">_FV(table1[[#This Row],[DataField]],"52 week low",TRUE)</f>
        <v>84.2</v>
      </c>
      <c r="J18" s="2" cm="1">
        <f t="array" aca="1" ref="J18" ca="1">_FV(table1[[#This Row],[DataField]],"52 week high",TRUE)</f>
        <v>115.76</v>
      </c>
      <c r="K18" s="4" cm="1">
        <f t="array" aca="1" ref="K18" ca="1">_FV(table1[[#This Row],[DataField]],"P/E",TRUE)</f>
        <v>0</v>
      </c>
      <c r="L18" s="2" t="str">
        <f ca="1">IF(table1[[#This Row],[Price]] &lt; (table1[[#This Row],[52Low]] * 0.25) + table1[[#This Row],[52Low]],  "TRUE", "FALSE")</f>
        <v>TRUE</v>
      </c>
      <c r="M18" s="2" t="str">
        <f ca="1">IF(table1[[#This Row],[Price]] &lt; (table1[[#This Row],[52Low]] * 0.1) + table1[[#This Row],[52Low]],  "TRUE", "FALSE")</f>
        <v>TRUE</v>
      </c>
      <c r="N18" s="6" cm="1">
        <f t="array" aca="1" ref="N18" ca="1">_FV(table1[[#This Row],[DataField]],"Market cap",TRUE)</f>
        <v>38208927460</v>
      </c>
    </row>
    <row r="19" spans="1:14" x14ac:dyDescent="0.2">
      <c r="A19" t="e" vm="18">
        <v>#VALUE!</v>
      </c>
      <c r="B19" t="str" cm="1">
        <f t="array" aca="1" ref="B19" ca="1">_FV(table1[[#This Row],[DataField]],"Ticker symbol",TRUE)</f>
        <v>CL</v>
      </c>
      <c r="H19" s="2" cm="1">
        <f t="array" aca="1" ref="H19" ca="1">_FV(table1[[#This Row],[DataField]],"Price")</f>
        <v>77.099999999999994</v>
      </c>
      <c r="I19" s="2" cm="1">
        <f t="array" aca="1" ref="I19" ca="1">_FV(table1[[#This Row],[DataField]],"52 week low",TRUE)</f>
        <v>74.545000000000002</v>
      </c>
      <c r="J19" s="2" cm="1">
        <f t="array" aca="1" ref="J19" ca="1">_FV(table1[[#This Row],[DataField]],"52 week high",TRUE)</f>
        <v>100.18</v>
      </c>
      <c r="K19" s="4" cm="1">
        <f t="array" aca="1" ref="K19" ca="1">_FV(table1[[#This Row],[DataField]],"P/E",TRUE)</f>
        <v>21.606300000000001</v>
      </c>
      <c r="L19" s="2" t="str">
        <f ca="1">IF(table1[[#This Row],[Price]] &lt; (table1[[#This Row],[52Low]] * 0.25) + table1[[#This Row],[52Low]],  "TRUE", "FALSE")</f>
        <v>TRUE</v>
      </c>
      <c r="M19" s="2" t="str">
        <f ca="1">IF(table1[[#This Row],[Price]] &lt; (table1[[#This Row],[52Low]] * 0.1) + table1[[#This Row],[52Low]],  "TRUE", "FALSE")</f>
        <v>TRUE</v>
      </c>
      <c r="N19" s="6" cm="1">
        <f t="array" aca="1" ref="N19" ca="1">_FV(table1[[#This Row],[DataField]],"Market cap",TRUE)</f>
        <v>62147603789</v>
      </c>
    </row>
    <row r="20" spans="1:14" x14ac:dyDescent="0.2">
      <c r="A20" t="e" vm="19">
        <v>#VALUE!</v>
      </c>
      <c r="B20" t="str" cm="1">
        <f t="array" aca="1" ref="B20" ca="1">_FV(table1[[#This Row],[DataField]],"Ticker symbol",TRUE)</f>
        <v>CLX</v>
      </c>
      <c r="C20" t="b">
        <v>1</v>
      </c>
      <c r="D20" t="s">
        <v>5</v>
      </c>
      <c r="E20" t="b">
        <v>1</v>
      </c>
      <c r="H20" s="2" cm="1">
        <f t="array" aca="1" ref="H20" ca="1">_FV(table1[[#This Row],[DataField]],"Price")</f>
        <v>99.71</v>
      </c>
      <c r="I20" s="2" cm="1">
        <f t="array" aca="1" ref="I20" ca="1">_FV(table1[[#This Row],[DataField]],"52 week low",TRUE)</f>
        <v>96.6601</v>
      </c>
      <c r="J20" s="2" cm="1">
        <f t="array" aca="1" ref="J20" ca="1">_FV(table1[[#This Row],[DataField]],"52 week high",TRUE)</f>
        <v>164.2184</v>
      </c>
      <c r="K20" s="4" cm="1">
        <f t="array" aca="1" ref="K20" ca="1">_FV(table1[[#This Row],[DataField]],"P/E",TRUE)</f>
        <v>15.626799999999999</v>
      </c>
      <c r="L20" s="2" t="str">
        <f ca="1">IF(table1[[#This Row],[Price]] &lt; (table1[[#This Row],[52Low]] * 0.25) + table1[[#This Row],[52Low]],  "TRUE", "FALSE")</f>
        <v>TRUE</v>
      </c>
      <c r="M20" s="2" t="str">
        <f ca="1">IF(table1[[#This Row],[Price]] &lt; (table1[[#This Row],[52Low]] * 0.1) + table1[[#This Row],[52Low]],  "TRUE", "FALSE")</f>
        <v>TRUE</v>
      </c>
      <c r="N20" s="6" cm="1">
        <f t="array" aca="1" ref="N20" ca="1">_FV(table1[[#This Row],[DataField]],"Market cap",TRUE)</f>
        <v>12354170000</v>
      </c>
    </row>
    <row r="21" spans="1:14" x14ac:dyDescent="0.2">
      <c r="A21" t="e" vm="20">
        <v>#VALUE!</v>
      </c>
      <c r="B21" t="str" cm="1">
        <f t="array" aca="1" ref="B21" ca="1">_FV(table1[[#This Row],[DataField]],"Ticker symbol",TRUE)</f>
        <v>CMCSA</v>
      </c>
      <c r="C21" t="b">
        <v>1</v>
      </c>
      <c r="D21" t="s">
        <v>10</v>
      </c>
      <c r="E21" t="b">
        <v>1</v>
      </c>
      <c r="H21" s="2" cm="1">
        <f t="array" aca="1" ref="H21" ca="1">_FV(table1[[#This Row],[DataField]],"Price")</f>
        <v>27.43</v>
      </c>
      <c r="I21" s="2" cm="1">
        <f t="array" aca="1" ref="I21" ca="1">_FV(table1[[#This Row],[DataField]],"52 week low",TRUE)</f>
        <v>24.1234</v>
      </c>
      <c r="J21" s="2" cm="1">
        <f t="array" aca="1" ref="J21" ca="1">_FV(table1[[#This Row],[DataField]],"52 week high",TRUE)</f>
        <v>35.974299999999999</v>
      </c>
      <c r="K21" s="4" cm="1">
        <f t="array" aca="1" ref="K21" ca="1">_FV(table1[[#This Row],[DataField]],"P/E",TRUE)</f>
        <v>4.5542999999999996</v>
      </c>
      <c r="L21" s="2" t="str">
        <f ca="1">IF(table1[[#This Row],[Price]] &lt; (table1[[#This Row],[52Low]] * 0.25) + table1[[#This Row],[52Low]],  "TRUE", "FALSE")</f>
        <v>TRUE</v>
      </c>
      <c r="M21" s="2" t="str">
        <f ca="1">IF(table1[[#This Row],[Price]] &lt; (table1[[#This Row],[52Low]] * 0.1) + table1[[#This Row],[52Low]],  "TRUE", "FALSE")</f>
        <v>FALSE</v>
      </c>
      <c r="N21" s="6" cm="1">
        <f t="array" aca="1" ref="N21" ca="1">_FV(table1[[#This Row],[DataField]],"Market cap",TRUE)</f>
        <v>99952039850</v>
      </c>
    </row>
    <row r="22" spans="1:14" x14ac:dyDescent="0.2">
      <c r="A22" t="e" vm="21">
        <v>#VALUE!</v>
      </c>
      <c r="B22" t="str" cm="1">
        <f t="array" aca="1" ref="B22" ca="1">_FV(table1[[#This Row],[DataField]],"Ticker symbol",TRUE)</f>
        <v>CNI</v>
      </c>
      <c r="H22" s="2" cm="1">
        <f t="array" aca="1" ref="H22" ca="1">_FV(table1[[#This Row],[DataField]],"Price")</f>
        <v>99.82</v>
      </c>
      <c r="I22" s="2" cm="1">
        <f t="array" aca="1" ref="I22" ca="1">_FV(table1[[#This Row],[DataField]],"52 week low",TRUE)</f>
        <v>90.74</v>
      </c>
      <c r="J22" s="2" cm="1">
        <f t="array" aca="1" ref="J22" ca="1">_FV(table1[[#This Row],[DataField]],"52 week high",TRUE)</f>
        <v>108.745</v>
      </c>
      <c r="K22" s="4" cm="1">
        <f t="array" aca="1" ref="K22" ca="1">_FV(table1[[#This Row],[DataField]],"P/E",TRUE)</f>
        <v>18.868500000000001</v>
      </c>
      <c r="L22" s="2" t="str">
        <f ca="1">IF(table1[[#This Row],[Price]] &lt; (table1[[#This Row],[52Low]] * 0.25) + table1[[#This Row],[52Low]],  "TRUE", "FALSE")</f>
        <v>TRUE</v>
      </c>
      <c r="M22" s="2" t="str">
        <f ca="1">IF(table1[[#This Row],[Price]] &lt; (table1[[#This Row],[52Low]] * 0.1) + table1[[#This Row],[52Low]],  "TRUE", "FALSE")</f>
        <v>FALSE</v>
      </c>
      <c r="N22" s="6" cm="1">
        <f t="array" aca="1" ref="N22" ca="1">_FV(table1[[#This Row],[DataField]],"Market cap",TRUE)</f>
        <v>84312200000</v>
      </c>
    </row>
    <row r="23" spans="1:14" x14ac:dyDescent="0.2">
      <c r="A23" t="e" vm="22">
        <v>#VALUE!</v>
      </c>
      <c r="B23" t="str" cm="1">
        <f t="array" aca="1" ref="B23" ca="1">_FV(table1[[#This Row],[DataField]],"Ticker symbol",TRUE)</f>
        <v>COST</v>
      </c>
      <c r="H23" s="2" cm="1">
        <f t="array" aca="1" ref="H23" ca="1">_FV(table1[[#This Row],[DataField]],"Price")</f>
        <v>888.61599999999999</v>
      </c>
      <c r="I23" s="2" cm="1">
        <f t="array" aca="1" ref="I23" ca="1">_FV(table1[[#This Row],[DataField]],"52 week low",TRUE)</f>
        <v>844.06</v>
      </c>
      <c r="J23" s="2" cm="1">
        <f t="array" aca="1" ref="J23" ca="1">_FV(table1[[#This Row],[DataField]],"52 week high",TRUE)</f>
        <v>1078.2349999999999</v>
      </c>
      <c r="K23" s="4" cm="1">
        <f t="array" aca="1" ref="K23" ca="1">_FV(table1[[#This Row],[DataField]],"P/E",TRUE)</f>
        <v>47.600499999999997</v>
      </c>
      <c r="L23" s="2" t="str">
        <f ca="1">IF(table1[[#This Row],[Price]] &lt; (table1[[#This Row],[52Low]] * 0.25) + table1[[#This Row],[52Low]],  "TRUE", "FALSE")</f>
        <v>TRUE</v>
      </c>
      <c r="M23" s="2" t="str">
        <f ca="1">IF(table1[[#This Row],[Price]] &lt; (table1[[#This Row],[52Low]] * 0.1) + table1[[#This Row],[52Low]],  "TRUE", "FALSE")</f>
        <v>TRUE</v>
      </c>
      <c r="N23" s="6" cm="1">
        <f t="array" aca="1" ref="N23" ca="1">_FV(table1[[#This Row],[DataField]],"Market cap",TRUE)</f>
        <v>394429450750</v>
      </c>
    </row>
    <row r="24" spans="1:14" x14ac:dyDescent="0.2">
      <c r="A24" t="e" vm="23">
        <v>#VALUE!</v>
      </c>
      <c r="B24" t="str" cm="1">
        <f t="array" aca="1" ref="B24" ca="1">_FV(table1[[#This Row],[DataField]],"Ticker symbol",TRUE)</f>
        <v>CPB</v>
      </c>
      <c r="H24" s="2" cm="1">
        <f t="array" aca="1" ref="H24" ca="1">_FV(table1[[#This Row],[DataField]],"Price")</f>
        <v>26.675000000000001</v>
      </c>
      <c r="I24" s="2" cm="1">
        <f t="array" aca="1" ref="I24" ca="1">_FV(table1[[#This Row],[DataField]],"52 week low",TRUE)</f>
        <v>26.58</v>
      </c>
      <c r="J24" s="2" cm="1">
        <f t="array" aca="1" ref="J24" ca="1">_FV(table1[[#This Row],[DataField]],"52 week high",TRUE)</f>
        <v>43.85</v>
      </c>
      <c r="K24" s="4" cm="1">
        <f t="array" aca="1" ref="K24" ca="1">_FV(table1[[#This Row],[DataField]],"P/E",TRUE)</f>
        <v>13.8119</v>
      </c>
      <c r="L24" s="2" t="str">
        <f ca="1">IF(table1[[#This Row],[Price]] &lt; (table1[[#This Row],[52Low]] * 0.25) + table1[[#This Row],[52Low]],  "TRUE", "FALSE")</f>
        <v>TRUE</v>
      </c>
      <c r="M24" s="2" t="str">
        <f ca="1">IF(table1[[#This Row],[Price]] &lt; (table1[[#This Row],[52Low]] * 0.1) + table1[[#This Row],[52Low]],  "TRUE", "FALSE")</f>
        <v>TRUE</v>
      </c>
      <c r="N24" s="6" cm="1">
        <f t="array" aca="1" ref="N24" ca="1">_FV(table1[[#This Row],[DataField]],"Market cap",TRUE)</f>
        <v>7952729785</v>
      </c>
    </row>
    <row r="25" spans="1:14" x14ac:dyDescent="0.2">
      <c r="A25" t="e" vm="24">
        <v>#VALUE!</v>
      </c>
      <c r="B25" t="str" cm="1">
        <f t="array" aca="1" ref="B25" ca="1">_FV(table1[[#This Row],[DataField]],"Ticker symbol",TRUE)</f>
        <v>CVS</v>
      </c>
      <c r="C25" t="b">
        <v>1</v>
      </c>
      <c r="D25" t="s">
        <v>9</v>
      </c>
      <c r="E25" t="b">
        <v>1</v>
      </c>
      <c r="H25" s="2" cm="1">
        <f t="array" aca="1" ref="H25" ca="1">_FV(table1[[#This Row],[DataField]],"Price")</f>
        <v>81.430000000000007</v>
      </c>
      <c r="I25" s="2" cm="1">
        <f t="array" aca="1" ref="I25" ca="1">_FV(table1[[#This Row],[DataField]],"52 week low",TRUE)</f>
        <v>44.92</v>
      </c>
      <c r="J25" s="2" cm="1">
        <f t="array" aca="1" ref="J25" ca="1">_FV(table1[[#This Row],[DataField]],"52 week high",TRUE)</f>
        <v>85.15</v>
      </c>
      <c r="K25" s="4" cm="1">
        <f t="array" aca="1" ref="K25" ca="1">_FV(table1[[#This Row],[DataField]],"P/E",TRUE)</f>
        <v>213.33510000000001</v>
      </c>
      <c r="L25" s="2" t="str">
        <f ca="1">IF(table1[[#This Row],[Price]] &lt; (table1[[#This Row],[52Low]] * 0.25) + table1[[#This Row],[52Low]],  "TRUE", "FALSE")</f>
        <v>FALSE</v>
      </c>
      <c r="M25" s="2" t="str">
        <f ca="1">IF(table1[[#This Row],[Price]] &lt; (table1[[#This Row],[52Low]] * 0.1) + table1[[#This Row],[52Low]],  "TRUE", "FALSE")</f>
        <v>FALSE</v>
      </c>
      <c r="N25" s="6" cm="1">
        <f t="array" aca="1" ref="N25" ca="1">_FV(table1[[#This Row],[DataField]],"Market cap",TRUE)</f>
        <v>102087800000</v>
      </c>
    </row>
    <row r="26" spans="1:14" x14ac:dyDescent="0.2">
      <c r="A26" t="e" vm="25">
        <v>#VALUE!</v>
      </c>
      <c r="B26" t="str" cm="1">
        <f t="array" aca="1" ref="B26" ca="1">_FV(table1[[#This Row],[DataField]],"Ticker symbol",TRUE)</f>
        <v>CVX</v>
      </c>
      <c r="C26" t="b">
        <v>1</v>
      </c>
      <c r="D26" t="s">
        <v>11</v>
      </c>
      <c r="E26" t="b">
        <v>1</v>
      </c>
      <c r="H26" s="2" cm="1">
        <f t="array" aca="1" ref="H26" ca="1">_FV(table1[[#This Row],[DataField]],"Price")</f>
        <v>158.00200000000001</v>
      </c>
      <c r="I26" s="2" cm="1">
        <f t="array" aca="1" ref="I26" ca="1">_FV(table1[[#This Row],[DataField]],"52 week low",TRUE)</f>
        <v>132.04</v>
      </c>
      <c r="J26" s="2" cm="1">
        <f t="array" aca="1" ref="J26" ca="1">_FV(table1[[#This Row],[DataField]],"52 week high",TRUE)</f>
        <v>168.96</v>
      </c>
      <c r="K26" s="4" cm="1">
        <f t="array" aca="1" ref="K26" ca="1">_FV(table1[[#This Row],[DataField]],"P/E",TRUE)</f>
        <v>22.310700000000001</v>
      </c>
      <c r="L26" s="2" t="str">
        <f ca="1">IF(table1[[#This Row],[Price]] &lt; (table1[[#This Row],[52Low]] * 0.25) + table1[[#This Row],[52Low]],  "TRUE", "FALSE")</f>
        <v>TRUE</v>
      </c>
      <c r="M26" s="2" t="str">
        <f ca="1">IF(table1[[#This Row],[Price]] &lt; (table1[[#This Row],[52Low]] * 0.1) + table1[[#This Row],[52Low]],  "TRUE", "FALSE")</f>
        <v>FALSE</v>
      </c>
      <c r="N26" s="6" cm="1">
        <f t="array" aca="1" ref="N26" ca="1">_FV(table1[[#This Row],[DataField]],"Market cap",TRUE)</f>
        <v>318140503044</v>
      </c>
    </row>
    <row r="27" spans="1:14" x14ac:dyDescent="0.2">
      <c r="A27" t="e" vm="26">
        <v>#VALUE!</v>
      </c>
      <c r="B27" t="str" cm="1">
        <f t="array" aca="1" ref="B27" ca="1">_FV(table1[[#This Row],[DataField]],"Ticker symbol",TRUE)</f>
        <v>D</v>
      </c>
      <c r="H27" s="2" cm="1">
        <f t="array" aca="1" ref="H27" ca="1">_FV(table1[[#This Row],[DataField]],"Price")</f>
        <v>58.71</v>
      </c>
      <c r="I27" s="2" cm="1">
        <f t="array" aca="1" ref="I27" ca="1">_FV(table1[[#This Row],[DataField]],"52 week low",TRUE)</f>
        <v>48.07</v>
      </c>
      <c r="J27" s="2" cm="1">
        <f t="array" aca="1" ref="J27" ca="1">_FV(table1[[#This Row],[DataField]],"52 week high",TRUE)</f>
        <v>62.87</v>
      </c>
      <c r="K27" s="4" cm="1">
        <f t="array" aca="1" ref="K27" ca="1">_FV(table1[[#This Row],[DataField]],"P/E",TRUE)</f>
        <v>22.0383</v>
      </c>
      <c r="L27" s="2" t="str">
        <f ca="1">IF(table1[[#This Row],[Price]] &lt; (table1[[#This Row],[52Low]] * 0.25) + table1[[#This Row],[52Low]],  "TRUE", "FALSE")</f>
        <v>TRUE</v>
      </c>
      <c r="M27" s="2" t="str">
        <f ca="1">IF(table1[[#This Row],[Price]] &lt; (table1[[#This Row],[52Low]] * 0.1) + table1[[#This Row],[52Low]],  "TRUE", "FALSE")</f>
        <v>FALSE</v>
      </c>
      <c r="N27" s="6" cm="1">
        <f t="array" aca="1" ref="N27" ca="1">_FV(table1[[#This Row],[DataField]],"Market cap",TRUE)</f>
        <v>50133249843</v>
      </c>
    </row>
    <row r="28" spans="1:14" x14ac:dyDescent="0.2">
      <c r="A28" t="e" vm="27">
        <v>#VALUE!</v>
      </c>
      <c r="B28" t="str" cm="1">
        <f t="array" aca="1" ref="B28" ca="1">_FV(table1[[#This Row],[DataField]],"Ticker symbol",TRUE)</f>
        <v>DE</v>
      </c>
      <c r="H28" s="2" cm="1">
        <f t="array" aca="1" ref="H28" ca="1">_FV(table1[[#This Row],[DataField]],"Price")</f>
        <v>484.35500000000002</v>
      </c>
      <c r="I28" s="2" cm="1">
        <f t="array" aca="1" ref="I28" ca="1">_FV(table1[[#This Row],[DataField]],"52 week low",TRUE)</f>
        <v>403.01</v>
      </c>
      <c r="J28" s="2" cm="1">
        <f t="array" aca="1" ref="J28" ca="1">_FV(table1[[#This Row],[DataField]],"52 week high",TRUE)</f>
        <v>533.78</v>
      </c>
      <c r="K28" s="4" cm="1">
        <f t="array" aca="1" ref="K28" ca="1">_FV(table1[[#This Row],[DataField]],"P/E",TRUE)</f>
        <v>26.1722</v>
      </c>
      <c r="L28" s="2" t="str">
        <f ca="1">IF(table1[[#This Row],[Price]] &lt; (table1[[#This Row],[52Low]] * 0.25) + table1[[#This Row],[52Low]],  "TRUE", "FALSE")</f>
        <v>TRUE</v>
      </c>
      <c r="M28" s="2" t="str">
        <f ca="1">IF(table1[[#This Row],[Price]] &lt; (table1[[#This Row],[52Low]] * 0.1) + table1[[#This Row],[52Low]],  "TRUE", "FALSE")</f>
        <v>FALSE</v>
      </c>
      <c r="N28" s="6" cm="1">
        <f t="array" aca="1" ref="N28" ca="1">_FV(table1[[#This Row],[DataField]],"Market cap",TRUE)</f>
        <v>130991581717</v>
      </c>
    </row>
    <row r="29" spans="1:14" x14ac:dyDescent="0.2">
      <c r="A29" t="e" vm="28">
        <v>#VALUE!</v>
      </c>
      <c r="B29" t="str" cm="1">
        <f t="array" aca="1" ref="B29" ca="1">_FV(table1[[#This Row],[DataField]],"Ticker symbol",TRUE)</f>
        <v>DEO</v>
      </c>
      <c r="H29" s="2" cm="1">
        <f t="array" aca="1" ref="H29" ca="1">_FV(table1[[#This Row],[DataField]],"Price")</f>
        <v>88.72</v>
      </c>
      <c r="I29" s="2" cm="1">
        <f t="array" aca="1" ref="I29" ca="1">_FV(table1[[#This Row],[DataField]],"52 week low",TRUE)</f>
        <v>85.114999999999995</v>
      </c>
      <c r="J29" s="2" cm="1">
        <f t="array" aca="1" ref="J29" ca="1">_FV(table1[[#This Row],[DataField]],"52 week high",TRUE)</f>
        <v>126.73</v>
      </c>
      <c r="K29" s="4" cm="1">
        <f t="array" aca="1" ref="K29" ca="1">_FV(table1[[#This Row],[DataField]],"P/E",TRUE)</f>
        <v>20.992899999999999</v>
      </c>
      <c r="L29" s="2" t="str">
        <f ca="1">IF(table1[[#This Row],[Price]] &lt; (table1[[#This Row],[52Low]] * 0.25) + table1[[#This Row],[52Low]],  "TRUE", "FALSE")</f>
        <v>TRUE</v>
      </c>
      <c r="M29" s="2" t="str">
        <f ca="1">IF(table1[[#This Row],[Price]] &lt; (table1[[#This Row],[52Low]] * 0.1) + table1[[#This Row],[52Low]],  "TRUE", "FALSE")</f>
        <v>TRUE</v>
      </c>
      <c r="N29" s="6" cm="1">
        <f t="array" aca="1" ref="N29" ca="1">_FV(table1[[#This Row],[DataField]],"Market cap",TRUE)</f>
        <v>48952860000</v>
      </c>
    </row>
    <row r="30" spans="1:14" x14ac:dyDescent="0.2">
      <c r="A30" t="e" vm="29">
        <v>#VALUE!</v>
      </c>
      <c r="B30" t="str" cm="1">
        <f t="array" aca="1" ref="B30" ca="1">_FV(table1[[#This Row],[DataField]],"Ticker symbol",TRUE)</f>
        <v>DOW</v>
      </c>
      <c r="H30" s="2" cm="1">
        <f t="array" aca="1" ref="H30" ca="1">_FV(table1[[#This Row],[DataField]],"Price")</f>
        <v>25.655000000000001</v>
      </c>
      <c r="I30" s="2" cm="1">
        <f t="array" aca="1" ref="I30" ca="1">_FV(table1[[#This Row],[DataField]],"52 week low",TRUE)</f>
        <v>20.401900000000001</v>
      </c>
      <c r="J30" s="2" cm="1">
        <f t="array" aca="1" ref="J30" ca="1">_FV(table1[[#This Row],[DataField]],"52 week high",TRUE)</f>
        <v>42.173999999999999</v>
      </c>
      <c r="K30" s="4" cm="1">
        <f t="array" aca="1" ref="K30" ca="1">_FV(table1[[#This Row],[DataField]],"P/E",TRUE)</f>
        <v>0</v>
      </c>
      <c r="L30" s="2" t="str">
        <f ca="1">IF(table1[[#This Row],[Price]] &lt; (table1[[#This Row],[52Low]] * 0.25) + table1[[#This Row],[52Low]],  "TRUE", "FALSE")</f>
        <v>FALSE</v>
      </c>
      <c r="M30" s="2" t="str">
        <f ca="1">IF(table1[[#This Row],[Price]] &lt; (table1[[#This Row],[52Low]] * 0.1) + table1[[#This Row],[52Low]],  "TRUE", "FALSE")</f>
        <v>FALSE</v>
      </c>
      <c r="N30" s="6" cm="1">
        <f t="array" aca="1" ref="N30" ca="1">_FV(table1[[#This Row],[DataField]],"Market cap",TRUE)</f>
        <v>18234737647</v>
      </c>
    </row>
    <row r="31" spans="1:14" x14ac:dyDescent="0.2">
      <c r="A31" t="e" vm="30">
        <v>#VALUE!</v>
      </c>
      <c r="B31" t="str" cm="1">
        <f t="array" aca="1" ref="B31" ca="1">_FV(table1[[#This Row],[DataField]],"Ticker symbol",TRUE)</f>
        <v>DUK</v>
      </c>
      <c r="H31" s="2" cm="1">
        <f t="array" aca="1" ref="H31" ca="1">_FV(table1[[#This Row],[DataField]],"Price")</f>
        <v>116.45</v>
      </c>
      <c r="I31" s="2" cm="1">
        <f t="array" aca="1" ref="I31" ca="1">_FV(table1[[#This Row],[DataField]],"52 week low",TRUE)</f>
        <v>105.2</v>
      </c>
      <c r="J31" s="2" cm="1">
        <f t="array" aca="1" ref="J31" ca="1">_FV(table1[[#This Row],[DataField]],"52 week high",TRUE)</f>
        <v>130.03</v>
      </c>
      <c r="K31" s="4" cm="1">
        <f t="array" aca="1" ref="K31" ca="1">_FV(table1[[#This Row],[DataField]],"P/E",TRUE)</f>
        <v>18.2959</v>
      </c>
      <c r="L31" s="2" t="str">
        <f ca="1">IF(table1[[#This Row],[Price]] &lt; (table1[[#This Row],[52Low]] * 0.25) + table1[[#This Row],[52Low]],  "TRUE", "FALSE")</f>
        <v>TRUE</v>
      </c>
      <c r="M31" s="2" t="str">
        <f ca="1">IF(table1[[#This Row],[Price]] &lt; (table1[[#This Row],[52Low]] * 0.1) + table1[[#This Row],[52Low]],  "TRUE", "FALSE")</f>
        <v>FALSE</v>
      </c>
      <c r="N31" s="6" cm="1">
        <f t="array" aca="1" ref="N31" ca="1">_FV(table1[[#This Row],[DataField]],"Market cap",TRUE)</f>
        <v>90558646740</v>
      </c>
    </row>
    <row r="32" spans="1:14" x14ac:dyDescent="0.2">
      <c r="A32" t="e" vm="31">
        <v>#VALUE!</v>
      </c>
      <c r="B32" t="str" cm="1">
        <f t="array" aca="1" ref="B32" ca="1">_FV(table1[[#This Row],[DataField]],"Ticker symbol",TRUE)</f>
        <v>ED</v>
      </c>
      <c r="H32" s="2" cm="1">
        <f t="array" aca="1" ref="H32" ca="1">_FV(table1[[#This Row],[DataField]],"Price")</f>
        <v>98.74</v>
      </c>
      <c r="I32" s="2" cm="1">
        <f t="array" aca="1" ref="I32" ca="1">_FV(table1[[#This Row],[DataField]],"52 week low",TRUE)</f>
        <v>87.28</v>
      </c>
      <c r="J32" s="2" cm="1">
        <f t="array" aca="1" ref="J32" ca="1">_FV(table1[[#This Row],[DataField]],"52 week high",TRUE)</f>
        <v>114.87</v>
      </c>
      <c r="K32" s="4" cm="1">
        <f t="array" aca="1" ref="K32" ca="1">_FV(table1[[#This Row],[DataField]],"P/E",TRUE)</f>
        <v>17.248100000000001</v>
      </c>
      <c r="L32" s="2" t="str">
        <f ca="1">IF(table1[[#This Row],[Price]] &lt; (table1[[#This Row],[52Low]] * 0.25) + table1[[#This Row],[52Low]],  "TRUE", "FALSE")</f>
        <v>TRUE</v>
      </c>
      <c r="M32" s="2" t="str">
        <f ca="1">IF(table1[[#This Row],[Price]] &lt; (table1[[#This Row],[52Low]] * 0.1) + table1[[#This Row],[52Low]],  "TRUE", "FALSE")</f>
        <v>FALSE</v>
      </c>
      <c r="N32" s="6" cm="1">
        <f t="array" aca="1" ref="N32" ca="1">_FV(table1[[#This Row],[DataField]],"Market cap",TRUE)</f>
        <v>35638781144</v>
      </c>
    </row>
    <row r="33" spans="1:14" x14ac:dyDescent="0.2">
      <c r="A33" t="e" vm="32">
        <v>#VALUE!</v>
      </c>
      <c r="B33" t="str" cm="1">
        <f t="array" aca="1" ref="B33" ca="1">_FV(table1[[#This Row],[DataField]],"Ticker symbol",TRUE)</f>
        <v>EMN</v>
      </c>
      <c r="C33" t="b">
        <v>1</v>
      </c>
      <c r="D33" t="s">
        <v>13</v>
      </c>
      <c r="E33" t="b">
        <v>0</v>
      </c>
      <c r="H33" s="2" cm="1">
        <f t="array" aca="1" ref="H33" ca="1">_FV(table1[[#This Row],[DataField]],"Price")</f>
        <v>68.09</v>
      </c>
      <c r="I33" s="2" cm="1">
        <f t="array" aca="1" ref="I33" ca="1">_FV(table1[[#This Row],[DataField]],"52 week low",TRUE)</f>
        <v>56.11</v>
      </c>
      <c r="J33" s="2" cm="1">
        <f t="array" aca="1" ref="J33" ca="1">_FV(table1[[#This Row],[DataField]],"52 week high",TRUE)</f>
        <v>103.82</v>
      </c>
      <c r="K33" s="4" cm="1">
        <f t="array" aca="1" ref="K33" ca="1">_FV(table1[[#This Row],[DataField]],"P/E",TRUE)</f>
        <v>11.3444</v>
      </c>
      <c r="L33" s="2" t="str">
        <f ca="1">IF(table1[[#This Row],[Price]] &lt; (table1[[#This Row],[52Low]] * 0.25) + table1[[#This Row],[52Low]],  "TRUE", "FALSE")</f>
        <v>TRUE</v>
      </c>
      <c r="M33" s="2" t="str">
        <f ca="1">IF(table1[[#This Row],[Price]] &lt; (table1[[#This Row],[52Low]] * 0.1) + table1[[#This Row],[52Low]],  "TRUE", "FALSE")</f>
        <v>FALSE</v>
      </c>
      <c r="N33" s="6" cm="1">
        <f t="array" aca="1" ref="N33" ca="1">_FV(table1[[#This Row],[DataField]],"Market cap",TRUE)</f>
        <v>7767012682</v>
      </c>
    </row>
    <row r="34" spans="1:14" x14ac:dyDescent="0.2">
      <c r="A34" t="e" vm="33">
        <v>#VALUE!</v>
      </c>
      <c r="B34" t="str" cm="1">
        <f t="array" aca="1" ref="B34" ca="1">_FV(table1[[#This Row],[DataField]],"Ticker symbol",TRUE)</f>
        <v>EOG</v>
      </c>
      <c r="H34" s="2" cm="1">
        <f t="array" aca="1" ref="H34" ca="1">_FV(table1[[#This Row],[DataField]],"Price")</f>
        <v>105.4662</v>
      </c>
      <c r="I34" s="2" cm="1">
        <f t="array" aca="1" ref="I34" ca="1">_FV(table1[[#This Row],[DataField]],"52 week low",TRUE)</f>
        <v>101.5936</v>
      </c>
      <c r="J34" s="2" cm="1">
        <f t="array" aca="1" ref="J34" ca="1">_FV(table1[[#This Row],[DataField]],"52 week high",TRUE)</f>
        <v>138.18</v>
      </c>
      <c r="K34" s="4" cm="1">
        <f t="array" aca="1" ref="K34" ca="1">_FV(table1[[#This Row],[DataField]],"P/E",TRUE)</f>
        <v>10.4849</v>
      </c>
      <c r="L34" s="2" t="str">
        <f ca="1">IF(table1[[#This Row],[Price]] &lt; (table1[[#This Row],[52Low]] * 0.25) + table1[[#This Row],[52Low]],  "TRUE", "FALSE")</f>
        <v>TRUE</v>
      </c>
      <c r="M34" s="2" t="str">
        <f ca="1">IF(table1[[#This Row],[Price]] &lt; (table1[[#This Row],[52Low]] * 0.1) + table1[[#This Row],[52Low]],  "TRUE", "FALSE")</f>
        <v>TRUE</v>
      </c>
      <c r="N34" s="6" cm="1">
        <f t="array" aca="1" ref="N34" ca="1">_FV(table1[[#This Row],[DataField]],"Market cap",TRUE)</f>
        <v>57225791374</v>
      </c>
    </row>
    <row r="35" spans="1:14" x14ac:dyDescent="0.2">
      <c r="A35" t="e" vm="34">
        <v>#VALUE!</v>
      </c>
      <c r="B35" t="str" cm="1">
        <f t="array" aca="1" ref="B35" ca="1">_FV(table1[[#This Row],[DataField]],"Ticker symbol",TRUE)</f>
        <v>FAST</v>
      </c>
      <c r="H35" s="2" cm="1">
        <f t="array" aca="1" ref="H35" ca="1">_FV(table1[[#This Row],[DataField]],"Price")</f>
        <v>41.215000000000003</v>
      </c>
      <c r="I35" s="2" cm="1">
        <f t="array" aca="1" ref="I35" ca="1">_FV(table1[[#This Row],[DataField]],"52 week low",TRUE)</f>
        <v>35.305</v>
      </c>
      <c r="J35" s="2" cm="1">
        <f t="array" aca="1" ref="J35" ca="1">_FV(table1[[#This Row],[DataField]],"52 week high",TRUE)</f>
        <v>50.63</v>
      </c>
      <c r="K35" s="4" cm="1">
        <f t="array" aca="1" ref="K35" ca="1">_FV(table1[[#This Row],[DataField]],"P/E",TRUE)</f>
        <v>38.645099999999999</v>
      </c>
      <c r="L35" s="2" t="str">
        <f ca="1">IF(table1[[#This Row],[Price]] &lt; (table1[[#This Row],[52Low]] * 0.25) + table1[[#This Row],[52Low]],  "TRUE", "FALSE")</f>
        <v>TRUE</v>
      </c>
      <c r="M35" s="2" t="str">
        <f ca="1">IF(table1[[#This Row],[Price]] &lt; (table1[[#This Row],[52Low]] * 0.1) + table1[[#This Row],[52Low]],  "TRUE", "FALSE")</f>
        <v>FALSE</v>
      </c>
      <c r="N35" s="6" cm="1">
        <f t="array" aca="1" ref="N35" ca="1">_FV(table1[[#This Row],[DataField]],"Market cap",TRUE)</f>
        <v>47316303740</v>
      </c>
    </row>
    <row r="36" spans="1:14" x14ac:dyDescent="0.2">
      <c r="A36" t="e" vm="35">
        <v>#VALUE!</v>
      </c>
      <c r="B36" t="str" cm="1">
        <f t="array" aca="1" ref="B36" ca="1">_FV(table1[[#This Row],[DataField]],"Ticker symbol",TRUE)</f>
        <v>FDX</v>
      </c>
      <c r="H36" s="2" cm="1">
        <f t="array" aca="1" ref="H36" ca="1">_FV(table1[[#This Row],[DataField]],"Price")</f>
        <v>303.01</v>
      </c>
      <c r="I36" s="2" cm="1">
        <f t="array" aca="1" ref="I36" ca="1">_FV(table1[[#This Row],[DataField]],"52 week low",TRUE)</f>
        <v>194.29499999999999</v>
      </c>
      <c r="J36" s="2" cm="1">
        <f t="array" aca="1" ref="J36" ca="1">_FV(table1[[#This Row],[DataField]],"52 week high",TRUE)</f>
        <v>303.75</v>
      </c>
      <c r="K36" s="4" cm="1">
        <f t="array" aca="1" ref="K36" ca="1">_FV(table1[[#This Row],[DataField]],"P/E",TRUE)</f>
        <v>16.727</v>
      </c>
      <c r="L36" s="2" t="str">
        <f ca="1">IF(table1[[#This Row],[Price]] &lt; (table1[[#This Row],[52Low]] * 0.25) + table1[[#This Row],[52Low]],  "TRUE", "FALSE")</f>
        <v>FALSE</v>
      </c>
      <c r="M36" s="2" t="str">
        <f ca="1">IF(table1[[#This Row],[Price]] &lt; (table1[[#This Row],[52Low]] * 0.1) + table1[[#This Row],[52Low]],  "TRUE", "FALSE")</f>
        <v>FALSE</v>
      </c>
      <c r="N36" s="6" cm="1">
        <f t="array" aca="1" ref="N36" ca="1">_FV(table1[[#This Row],[DataField]],"Market cap",TRUE)</f>
        <v>71244559628</v>
      </c>
    </row>
    <row r="37" spans="1:14" x14ac:dyDescent="0.2">
      <c r="A37" t="e" vm="36">
        <v>#VALUE!</v>
      </c>
      <c r="B37" t="str" cm="1">
        <f t="array" aca="1" ref="B37" ca="1">_FV(table1[[#This Row],[DataField]],"Ticker symbol",TRUE)</f>
        <v>FLO</v>
      </c>
      <c r="H37" s="2" cm="1">
        <f t="array" aca="1" ref="H37" ca="1">_FV(table1[[#This Row],[DataField]],"Price")</f>
        <v>10.494999999999999</v>
      </c>
      <c r="I37" s="2" cm="1">
        <f t="array" aca="1" ref="I37" ca="1">_FV(table1[[#This Row],[DataField]],"52 week low",TRUE)</f>
        <v>10.23</v>
      </c>
      <c r="J37" s="2" cm="1">
        <f t="array" aca="1" ref="J37" ca="1">_FV(table1[[#This Row],[DataField]],"52 week high",TRUE)</f>
        <v>20.86</v>
      </c>
      <c r="K37" s="4" cm="1">
        <f t="array" aca="1" ref="K37" ca="1">_FV(table1[[#This Row],[DataField]],"P/E",TRUE)</f>
        <v>11.4674</v>
      </c>
      <c r="L37" s="2" t="str">
        <f ca="1">IF(table1[[#This Row],[Price]] &lt; (table1[[#This Row],[52Low]] * 0.25) + table1[[#This Row],[52Low]],  "TRUE", "FALSE")</f>
        <v>TRUE</v>
      </c>
      <c r="M37" s="2" t="str">
        <f ca="1">IF(table1[[#This Row],[Price]] &lt; (table1[[#This Row],[52Low]] * 0.1) + table1[[#This Row],[52Low]],  "TRUE", "FALSE")</f>
        <v>TRUE</v>
      </c>
      <c r="N37" s="6" cm="1">
        <f t="array" aca="1" ref="N37" ca="1">_FV(table1[[#This Row],[DataField]],"Market cap",TRUE)</f>
        <v>2216315209</v>
      </c>
    </row>
    <row r="38" spans="1:14" x14ac:dyDescent="0.2">
      <c r="A38" t="e" vm="37">
        <v>#VALUE!</v>
      </c>
      <c r="B38" t="str" cm="1">
        <f t="array" aca="1" ref="B38" ca="1">_FV(table1[[#This Row],[DataField]],"Ticker symbol",TRUE)</f>
        <v>GD</v>
      </c>
      <c r="C38" t="b">
        <v>1</v>
      </c>
      <c r="D38" t="s">
        <v>12</v>
      </c>
      <c r="E38" t="b">
        <v>1</v>
      </c>
      <c r="H38" s="2" cm="1">
        <f t="array" aca="1" ref="H38" ca="1">_FV(table1[[#This Row],[DataField]],"Price")</f>
        <v>359.59</v>
      </c>
      <c r="I38" s="2" cm="1">
        <f t="array" aca="1" ref="I38" ca="1">_FV(table1[[#This Row],[DataField]],"52 week low",TRUE)</f>
        <v>239.2</v>
      </c>
      <c r="J38" s="2" cm="1">
        <f t="array" aca="1" ref="J38" ca="1">_FV(table1[[#This Row],[DataField]],"52 week high",TRUE)</f>
        <v>361.94</v>
      </c>
      <c r="K38" s="4" cm="1">
        <f t="array" aca="1" ref="K38" ca="1">_FV(table1[[#This Row],[DataField]],"P/E",TRUE)</f>
        <v>23.313199999999998</v>
      </c>
      <c r="L38" s="2" t="str">
        <f ca="1">IF(table1[[#This Row],[Price]] &lt; (table1[[#This Row],[52Low]] * 0.25) + table1[[#This Row],[52Low]],  "TRUE", "FALSE")</f>
        <v>FALSE</v>
      </c>
      <c r="M38" s="2" t="str">
        <f ca="1">IF(table1[[#This Row],[Price]] &lt; (table1[[#This Row],[52Low]] * 0.1) + table1[[#This Row],[52Low]],  "TRUE", "FALSE")</f>
        <v>FALSE</v>
      </c>
      <c r="N38" s="6" cm="1">
        <f t="array" aca="1" ref="N38" ca="1">_FV(table1[[#This Row],[DataField]],"Market cap",TRUE)</f>
        <v>97132630595</v>
      </c>
    </row>
    <row r="39" spans="1:14" x14ac:dyDescent="0.2">
      <c r="A39" t="e" vm="38">
        <v>#VALUE!</v>
      </c>
      <c r="B39" t="str" cm="1">
        <f t="array" aca="1" ref="B39" ca="1">_FV(table1[[#This Row],[DataField]],"Ticker symbol",TRUE)</f>
        <v>GIS</v>
      </c>
      <c r="H39" s="2" cm="1">
        <f t="array" aca="1" ref="H39" ca="1">_FV(table1[[#This Row],[DataField]],"Price")</f>
        <v>44.07</v>
      </c>
      <c r="I39" s="2" cm="1">
        <f t="array" aca="1" ref="I39" ca="1">_FV(table1[[#This Row],[DataField]],"52 week low",TRUE)</f>
        <v>43.87</v>
      </c>
      <c r="J39" s="2" cm="1">
        <f t="array" aca="1" ref="J39" ca="1">_FV(table1[[#This Row],[DataField]],"52 week high",TRUE)</f>
        <v>67.349999999999994</v>
      </c>
      <c r="K39" s="4" cm="1">
        <f t="array" aca="1" ref="K39" ca="1">_FV(table1[[#This Row],[DataField]],"P/E",TRUE)</f>
        <v>9.4548000000000005</v>
      </c>
      <c r="L39" s="2" t="str">
        <f ca="1">IF(table1[[#This Row],[Price]] &lt; (table1[[#This Row],[52Low]] * 0.25) + table1[[#This Row],[52Low]],  "TRUE", "FALSE")</f>
        <v>TRUE</v>
      </c>
      <c r="M39" s="2" t="str">
        <f ca="1">IF(table1[[#This Row],[Price]] &lt; (table1[[#This Row],[52Low]] * 0.1) + table1[[#This Row],[52Low]],  "TRUE", "FALSE")</f>
        <v>TRUE</v>
      </c>
      <c r="N39" s="6" cm="1">
        <f t="array" aca="1" ref="N39" ca="1">_FV(table1[[#This Row],[DataField]],"Market cap",TRUE)</f>
        <v>23514963147</v>
      </c>
    </row>
    <row r="40" spans="1:14" x14ac:dyDescent="0.2">
      <c r="A40" t="e" vm="39">
        <v>#VALUE!</v>
      </c>
      <c r="B40" t="str" cm="1">
        <f t="array" aca="1" ref="B40" ca="1">_FV(table1[[#This Row],[DataField]],"Ticker symbol",TRUE)</f>
        <v>GOOGL</v>
      </c>
      <c r="G40" t="s">
        <v>24</v>
      </c>
      <c r="H40" s="2" cm="1">
        <f t="array" aca="1" ref="H40" ca="1">_FV(table1[[#This Row],[DataField]],"Price")</f>
        <v>313.43</v>
      </c>
      <c r="I40" s="2" cm="1">
        <f t="array" aca="1" ref="I40" ca="1">_FV(table1[[#This Row],[DataField]],"52 week low",TRUE)</f>
        <v>140.53</v>
      </c>
      <c r="J40" s="2" cm="1">
        <f t="array" aca="1" ref="J40" ca="1">_FV(table1[[#This Row],[DataField]],"52 week high",TRUE)</f>
        <v>328.83</v>
      </c>
      <c r="K40" s="4" cm="1">
        <f t="array" aca="1" ref="K40" ca="1">_FV(table1[[#This Row],[DataField]],"P/E",TRUE)</f>
        <v>30.907499999999999</v>
      </c>
      <c r="L40" s="2" t="str">
        <f ca="1">IF(table1[[#This Row],[Price]] &lt; (table1[[#This Row],[52Low]] * 0.25) + table1[[#This Row],[52Low]],  "TRUE", "FALSE")</f>
        <v>FALSE</v>
      </c>
      <c r="M40" s="2" t="str">
        <f ca="1">IF(table1[[#This Row],[Price]] &lt; (table1[[#This Row],[52Low]] * 0.1) + table1[[#This Row],[52Low]],  "TRUE", "FALSE")</f>
        <v>FALSE</v>
      </c>
      <c r="N40" s="6" cm="1">
        <f t="array" aca="1" ref="N40" ca="1">_FV(table1[[#This Row],[DataField]],"Market cap",TRUE)</f>
        <v>3823906000000</v>
      </c>
    </row>
    <row r="41" spans="1:14" x14ac:dyDescent="0.2">
      <c r="A41" t="e" vm="40">
        <v>#VALUE!</v>
      </c>
      <c r="B41" t="str" cm="1">
        <f t="array" aca="1" ref="B41" ca="1">_FV(table1[[#This Row],[DataField]],"Ticker symbol",TRUE)</f>
        <v>HD</v>
      </c>
      <c r="C41" t="b">
        <v>1</v>
      </c>
      <c r="D41" t="s">
        <v>7</v>
      </c>
      <c r="E41" t="b">
        <v>1</v>
      </c>
      <c r="H41" s="2" cm="1">
        <f t="array" aca="1" ref="H41" ca="1">_FV(table1[[#This Row],[DataField]],"Price")</f>
        <v>348.86</v>
      </c>
      <c r="I41" s="2" cm="1">
        <f t="array" aca="1" ref="I41" ca="1">_FV(table1[[#This Row],[DataField]],"52 week low",TRUE)</f>
        <v>326.31</v>
      </c>
      <c r="J41" s="2" cm="1">
        <f t="array" aca="1" ref="J41" ca="1">_FV(table1[[#This Row],[DataField]],"52 week high",TRUE)</f>
        <v>426.75</v>
      </c>
      <c r="K41" s="4" cm="1">
        <f t="array" aca="1" ref="K41" ca="1">_FV(table1[[#This Row],[DataField]],"P/E",TRUE)</f>
        <v>23.794899999999998</v>
      </c>
      <c r="L41" s="2" t="str">
        <f ca="1">IF(table1[[#This Row],[Price]] &lt; (table1[[#This Row],[52Low]] * 0.25) + table1[[#This Row],[52Low]],  "TRUE", "FALSE")</f>
        <v>TRUE</v>
      </c>
      <c r="M41" s="2" t="str">
        <f ca="1">IF(table1[[#This Row],[Price]] &lt; (table1[[#This Row],[52Low]] * 0.1) + table1[[#This Row],[52Low]],  "TRUE", "FALSE")</f>
        <v>TRUE</v>
      </c>
      <c r="N41" s="6" cm="1">
        <f t="array" aca="1" ref="N41" ca="1">_FV(table1[[#This Row],[DataField]],"Market cap",TRUE)</f>
        <v>347294141890</v>
      </c>
    </row>
    <row r="42" spans="1:14" x14ac:dyDescent="0.2">
      <c r="A42" t="e" vm="41">
        <v>#VALUE!</v>
      </c>
      <c r="B42" t="str" cm="1">
        <f t="array" aca="1" ref="B42" ca="1">_FV(table1[[#This Row],[DataField]],"Ticker symbol",TRUE)</f>
        <v>HRL</v>
      </c>
      <c r="H42" s="2" cm="1">
        <f t="array" aca="1" ref="H42" ca="1">_FV(table1[[#This Row],[DataField]],"Price")</f>
        <v>22.87</v>
      </c>
      <c r="I42" s="2" cm="1">
        <f t="array" aca="1" ref="I42" ca="1">_FV(table1[[#This Row],[DataField]],"52 week low",TRUE)</f>
        <v>21.03</v>
      </c>
      <c r="J42" s="2" cm="1">
        <f t="array" aca="1" ref="J42" ca="1">_FV(table1[[#This Row],[DataField]],"52 week high",TRUE)</f>
        <v>32.07</v>
      </c>
      <c r="K42" s="4" cm="1">
        <f t="array" aca="1" ref="K42" ca="1">_FV(table1[[#This Row],[DataField]],"P/E",TRUE)</f>
        <v>26.323699999999999</v>
      </c>
      <c r="L42" s="2" t="str">
        <f ca="1">IF(table1[[#This Row],[Price]] &lt; (table1[[#This Row],[52Low]] * 0.25) + table1[[#This Row],[52Low]],  "TRUE", "FALSE")</f>
        <v>TRUE</v>
      </c>
      <c r="M42" s="2" t="str">
        <f ca="1">IF(table1[[#This Row],[Price]] &lt; (table1[[#This Row],[52Low]] * 0.1) + table1[[#This Row],[52Low]],  "TRUE", "FALSE")</f>
        <v>TRUE</v>
      </c>
      <c r="N42" s="6" cm="1">
        <f t="array" aca="1" ref="N42" ca="1">_FV(table1[[#This Row],[DataField]],"Market cap",TRUE)</f>
        <v>12630460000</v>
      </c>
    </row>
    <row r="43" spans="1:14" x14ac:dyDescent="0.2">
      <c r="A43" t="e" vm="42">
        <v>#VALUE!</v>
      </c>
      <c r="B43" t="str" cm="1">
        <f t="array" aca="1" ref="B43" ca="1">_FV(table1[[#This Row],[DataField]],"Ticker symbol",TRUE)</f>
        <v>HSY</v>
      </c>
      <c r="C43" t="b">
        <v>1</v>
      </c>
      <c r="D43" t="s">
        <v>5</v>
      </c>
      <c r="E43" t="b">
        <v>1</v>
      </c>
      <c r="H43" s="2" cm="1">
        <f t="array" aca="1" ref="H43" ca="1">_FV(table1[[#This Row],[DataField]],"Price")</f>
        <v>180.5488</v>
      </c>
      <c r="I43" s="2" cm="1">
        <f t="array" aca="1" ref="I43" ca="1">_FV(table1[[#This Row],[DataField]],"52 week low",TRUE)</f>
        <v>140.13</v>
      </c>
      <c r="J43" s="2" cm="1">
        <f t="array" aca="1" ref="J43" ca="1">_FV(table1[[#This Row],[DataField]],"52 week high",TRUE)</f>
        <v>199</v>
      </c>
      <c r="K43" s="4" cm="1">
        <f t="array" aca="1" ref="K43" ca="1">_FV(table1[[#This Row],[DataField]],"P/E",TRUE)</f>
        <v>20.800999999999998</v>
      </c>
      <c r="L43" s="2" t="str">
        <f ca="1">IF(table1[[#This Row],[Price]] &lt; (table1[[#This Row],[52Low]] * 0.25) + table1[[#This Row],[52Low]],  "TRUE", "FALSE")</f>
        <v>FALSE</v>
      </c>
      <c r="M43" s="2" t="str">
        <f ca="1">IF(table1[[#This Row],[Price]] &lt; (table1[[#This Row],[52Low]] * 0.1) + table1[[#This Row],[52Low]],  "TRUE", "FALSE")</f>
        <v>FALSE</v>
      </c>
      <c r="N43" s="6" cm="1">
        <f t="array" aca="1" ref="N43" ca="1">_FV(table1[[#This Row],[DataField]],"Market cap",TRUE)</f>
        <v>36612606462</v>
      </c>
    </row>
    <row r="44" spans="1:14" x14ac:dyDescent="0.2">
      <c r="A44" t="e" vm="43">
        <v>#VALUE!</v>
      </c>
      <c r="B44" t="str" cm="1">
        <f t="array" aca="1" ref="B44" ca="1">_FV(table1[[#This Row],[DataField]],"Ticker symbol",TRUE)</f>
        <v>INTC</v>
      </c>
      <c r="H44" s="2" cm="1">
        <f t="array" aca="1" ref="H44" ca="1">_FV(table1[[#This Row],[DataField]],"Price")</f>
        <v>39.6999</v>
      </c>
      <c r="I44" s="2" cm="1">
        <f t="array" aca="1" ref="I44" ca="1">_FV(table1[[#This Row],[DataField]],"52 week low",TRUE)</f>
        <v>17.664999999999999</v>
      </c>
      <c r="J44" s="2" cm="1">
        <f t="array" aca="1" ref="J44" ca="1">_FV(table1[[#This Row],[DataField]],"52 week high",TRUE)</f>
        <v>44.02</v>
      </c>
      <c r="K44" s="4" cm="1">
        <f t="array" aca="1" ref="K44" ca="1">_FV(table1[[#This Row],[DataField]],"P/E",TRUE)</f>
        <v>3745.2736</v>
      </c>
      <c r="L44" s="2" t="str">
        <f ca="1">IF(table1[[#This Row],[Price]] &lt; (table1[[#This Row],[52Low]] * 0.25) + table1[[#This Row],[52Low]],  "TRUE", "FALSE")</f>
        <v>FALSE</v>
      </c>
      <c r="M44" s="2" t="str">
        <f ca="1">IF(table1[[#This Row],[Price]] &lt; (table1[[#This Row],[52Low]] * 0.1) + table1[[#This Row],[52Low]],  "TRUE", "FALSE")</f>
        <v>FALSE</v>
      </c>
      <c r="N44" s="6" cm="1">
        <f t="array" aca="1" ref="N44" ca="1">_FV(table1[[#This Row],[DataField]],"Market cap",TRUE)</f>
        <v>189368523000</v>
      </c>
    </row>
    <row r="45" spans="1:14" x14ac:dyDescent="0.2">
      <c r="A45" t="e" vm="44">
        <v>#VALUE!</v>
      </c>
      <c r="B45" t="str" cm="1">
        <f t="array" aca="1" ref="B45" ca="1">_FV(table1[[#This Row],[DataField]],"Ticker symbol",TRUE)</f>
        <v>INTU</v>
      </c>
      <c r="H45" s="2" cm="1">
        <f t="array" aca="1" ref="H45" ca="1">_FV(table1[[#This Row],[DataField]],"Price")</f>
        <v>640.67999999999995</v>
      </c>
      <c r="I45" s="2" cm="1">
        <f t="array" aca="1" ref="I45" ca="1">_FV(table1[[#This Row],[DataField]],"52 week low",TRUE)</f>
        <v>532.64499999999998</v>
      </c>
      <c r="J45" s="2" cm="1">
        <f t="array" aca="1" ref="J45" ca="1">_FV(table1[[#This Row],[DataField]],"52 week high",TRUE)</f>
        <v>813.7</v>
      </c>
      <c r="K45" s="4" cm="1">
        <f t="array" aca="1" ref="K45" ca="1">_FV(table1[[#This Row],[DataField]],"P/E",TRUE)</f>
        <v>43.995199999999997</v>
      </c>
      <c r="L45" s="2" t="str">
        <f ca="1">IF(table1[[#This Row],[Price]] &lt; (table1[[#This Row],[52Low]] * 0.25) + table1[[#This Row],[52Low]],  "TRUE", "FALSE")</f>
        <v>TRUE</v>
      </c>
      <c r="M45" s="2" t="str">
        <f ca="1">IF(table1[[#This Row],[Price]] &lt; (table1[[#This Row],[52Low]] * 0.1) + table1[[#This Row],[52Low]],  "TRUE", "FALSE")</f>
        <v>FALSE</v>
      </c>
      <c r="N45" s="6" cm="1">
        <f t="array" aca="1" ref="N45" ca="1">_FV(table1[[#This Row],[DataField]],"Market cap",TRUE)</f>
        <v>178284650388</v>
      </c>
    </row>
    <row r="46" spans="1:14" x14ac:dyDescent="0.2">
      <c r="A46" t="e" vm="45">
        <v>#VALUE!</v>
      </c>
      <c r="B46" t="str" cm="1">
        <f t="array" aca="1" ref="B46" ca="1">_FV(table1[[#This Row],[DataField]],"Ticker symbol",TRUE)</f>
        <v>JNJ</v>
      </c>
      <c r="C46" t="b">
        <v>1</v>
      </c>
      <c r="D46" t="s">
        <v>9</v>
      </c>
      <c r="E46" t="b">
        <v>1</v>
      </c>
      <c r="H46" s="2" cm="1">
        <f t="array" aca="1" ref="H46" ca="1">_FV(table1[[#This Row],[DataField]],"Price")</f>
        <v>205.37</v>
      </c>
      <c r="I46" s="2" cm="1">
        <f t="array" aca="1" ref="I46" ca="1">_FV(table1[[#This Row],[DataField]],"52 week low",TRUE)</f>
        <v>140.68</v>
      </c>
      <c r="J46" s="2" cm="1">
        <f t="array" aca="1" ref="J46" ca="1">_FV(table1[[#This Row],[DataField]],"52 week high",TRUE)</f>
        <v>215.185</v>
      </c>
      <c r="K46" s="4" cm="1">
        <f t="array" aca="1" ref="K46" ca="1">_FV(table1[[#This Row],[DataField]],"P/E",TRUE)</f>
        <v>19.822199999999999</v>
      </c>
      <c r="L46" s="2" t="str">
        <f ca="1">IF(table1[[#This Row],[Price]] &lt; (table1[[#This Row],[52Low]] * 0.25) + table1[[#This Row],[52Low]],  "TRUE", "FALSE")</f>
        <v>FALSE</v>
      </c>
      <c r="M46" s="2" t="str">
        <f ca="1">IF(table1[[#This Row],[Price]] &lt; (table1[[#This Row],[52Low]] * 0.1) + table1[[#This Row],[52Low]],  "TRUE", "FALSE")</f>
        <v>FALSE</v>
      </c>
      <c r="N46" s="6" cm="1">
        <f t="array" aca="1" ref="N46" ca="1">_FV(table1[[#This Row],[DataField]],"Market cap",TRUE)</f>
        <v>494796914150</v>
      </c>
    </row>
    <row r="47" spans="1:14" x14ac:dyDescent="0.2">
      <c r="A47" t="e" vm="46">
        <v>#VALUE!</v>
      </c>
      <c r="B47" t="str" cm="1">
        <f t="array" aca="1" ref="B47" ca="1">_FV(table1[[#This Row],[DataField]],"Ticker symbol",TRUE)</f>
        <v>KMB</v>
      </c>
      <c r="C47" t="b">
        <v>0</v>
      </c>
      <c r="D47" t="s">
        <v>5</v>
      </c>
      <c r="E47" t="b">
        <v>1</v>
      </c>
      <c r="H47" s="2" cm="1">
        <f t="array" aca="1" ref="H47" ca="1">_FV(table1[[#This Row],[DataField]],"Price")</f>
        <v>97.9</v>
      </c>
      <c r="I47" s="2" cm="1">
        <f t="array" aca="1" ref="I47" ca="1">_FV(table1[[#This Row],[DataField]],"52 week low",TRUE)</f>
        <v>97.62</v>
      </c>
      <c r="J47" s="2" cm="1">
        <f t="array" aca="1" ref="J47" ca="1">_FV(table1[[#This Row],[DataField]],"52 week high",TRUE)</f>
        <v>150.44999999999999</v>
      </c>
      <c r="K47" s="4" cm="1">
        <f t="array" aca="1" ref="K47" ca="1">_FV(table1[[#This Row],[DataField]],"P/E",TRUE)</f>
        <v>18.230599999999999</v>
      </c>
      <c r="L47" s="2" t="str">
        <f ca="1">IF(table1[[#This Row],[Price]] &lt; (table1[[#This Row],[52Low]] * 0.25) + table1[[#This Row],[52Low]],  "TRUE", "FALSE")</f>
        <v>TRUE</v>
      </c>
      <c r="M47" s="2" t="str">
        <f ca="1">IF(table1[[#This Row],[Price]] &lt; (table1[[#This Row],[52Low]] * 0.1) + table1[[#This Row],[52Low]],  "TRUE", "FALSE")</f>
        <v>TRUE</v>
      </c>
      <c r="N47" s="6" cm="1">
        <f t="array" aca="1" ref="N47" ca="1">_FV(table1[[#This Row],[DataField]],"Market cap",TRUE)</f>
        <v>32492334490</v>
      </c>
    </row>
    <row r="48" spans="1:14" x14ac:dyDescent="0.2">
      <c r="A48" t="e" vm="47">
        <v>#VALUE!</v>
      </c>
      <c r="B48" t="str" cm="1">
        <f t="array" aca="1" ref="B48" ca="1">_FV(table1[[#This Row],[DataField]],"Ticker symbol",TRUE)</f>
        <v>KO</v>
      </c>
      <c r="H48" s="2" cm="1">
        <f t="array" aca="1" ref="H48" ca="1">_FV(table1[[#This Row],[DataField]],"Price")</f>
        <v>67.944999999999993</v>
      </c>
      <c r="I48" s="2" cm="1">
        <f t="array" aca="1" ref="I48" ca="1">_FV(table1[[#This Row],[DataField]],"52 week low",TRUE)</f>
        <v>60.615000000000002</v>
      </c>
      <c r="J48" s="2" cm="1">
        <f t="array" aca="1" ref="J48" ca="1">_FV(table1[[#This Row],[DataField]],"52 week high",TRUE)</f>
        <v>74.38</v>
      </c>
      <c r="K48" s="4" cm="1">
        <f t="array" aca="1" ref="K48" ca="1">_FV(table1[[#This Row],[DataField]],"P/E",TRUE)</f>
        <v>22.4924</v>
      </c>
      <c r="L48" s="2" t="str">
        <f ca="1">IF(table1[[#This Row],[Price]] &lt; (table1[[#This Row],[52Low]] * 0.25) + table1[[#This Row],[52Low]],  "TRUE", "FALSE")</f>
        <v>TRUE</v>
      </c>
      <c r="M48" s="2" t="str">
        <f ca="1">IF(table1[[#This Row],[Price]] &lt; (table1[[#This Row],[52Low]] * 0.1) + table1[[#This Row],[52Low]],  "TRUE", "FALSE")</f>
        <v>FALSE</v>
      </c>
      <c r="N48" s="6" cm="1">
        <f t="array" aca="1" ref="N48" ca="1">_FV(table1[[#This Row],[DataField]],"Market cap",TRUE)</f>
        <v>292272823505</v>
      </c>
    </row>
    <row r="49" spans="1:14" x14ac:dyDescent="0.2">
      <c r="A49" t="e" vm="48">
        <v>#VALUE!</v>
      </c>
      <c r="B49" t="str" cm="1">
        <f t="array" aca="1" ref="B49" ca="1">_FV(table1[[#This Row],[DataField]],"Ticker symbol",TRUE)</f>
        <v>LLY</v>
      </c>
      <c r="H49" s="2" cm="1">
        <f t="array" aca="1" ref="H49" ca="1">_FV(table1[[#This Row],[DataField]],"Price")</f>
        <v>1050.9899</v>
      </c>
      <c r="I49" s="2" cm="1">
        <f t="array" aca="1" ref="I49" ca="1">_FV(table1[[#This Row],[DataField]],"52 week low",TRUE)</f>
        <v>623.78</v>
      </c>
      <c r="J49" s="2" cm="1">
        <f t="array" aca="1" ref="J49" ca="1">_FV(table1[[#This Row],[DataField]],"52 week high",TRUE)</f>
        <v>1111.99</v>
      </c>
      <c r="K49" s="4" cm="1">
        <f t="array" aca="1" ref="K49" ca="1">_FV(table1[[#This Row],[DataField]],"P/E",TRUE)</f>
        <v>51.395400000000002</v>
      </c>
      <c r="L49" s="2" t="str">
        <f ca="1">IF(table1[[#This Row],[Price]] &lt; (table1[[#This Row],[52Low]] * 0.25) + table1[[#This Row],[52Low]],  "TRUE", "FALSE")</f>
        <v>FALSE</v>
      </c>
      <c r="M49" s="2" t="str">
        <f ca="1">IF(table1[[#This Row],[Price]] &lt; (table1[[#This Row],[52Low]] * 0.1) + table1[[#This Row],[52Low]],  "TRUE", "FALSE")</f>
        <v>FALSE</v>
      </c>
      <c r="N49" s="6" cm="1">
        <f t="array" aca="1" ref="N49" ca="1">_FV(table1[[#This Row],[DataField]],"Market cap",TRUE)</f>
        <v>993588825423</v>
      </c>
    </row>
    <row r="50" spans="1:14" x14ac:dyDescent="0.2">
      <c r="A50" t="e" vm="49">
        <v>#VALUE!</v>
      </c>
      <c r="B50" t="str" cm="1">
        <f t="array" aca="1" ref="B50" ca="1">_FV(table1[[#This Row],[DataField]],"Ticker symbol",TRUE)</f>
        <v>LMT</v>
      </c>
      <c r="C50" t="b">
        <v>1</v>
      </c>
      <c r="D50" t="s">
        <v>12</v>
      </c>
      <c r="E50" t="b">
        <v>1</v>
      </c>
      <c r="H50" s="2" cm="1">
        <f t="array" aca="1" ref="H50" ca="1">_FV(table1[[#This Row],[DataField]],"Price")</f>
        <v>529.45500000000004</v>
      </c>
      <c r="I50" s="2" cm="1">
        <f t="array" aca="1" ref="I50" ca="1">_FV(table1[[#This Row],[DataField]],"52 week low",TRUE)</f>
        <v>410.11</v>
      </c>
      <c r="J50" s="2" cm="1">
        <f t="array" aca="1" ref="J50" ca="1">_FV(table1[[#This Row],[DataField]],"52 week high",TRUE)</f>
        <v>538.72</v>
      </c>
      <c r="K50" s="4" cm="1">
        <f t="array" aca="1" ref="K50" ca="1">_FV(table1[[#This Row],[DataField]],"P/E",TRUE)</f>
        <v>29.493300000000001</v>
      </c>
      <c r="L50" s="2" t="str">
        <f ca="1">IF(table1[[#This Row],[Price]] &lt; (table1[[#This Row],[52Low]] * 0.25) + table1[[#This Row],[52Low]],  "TRUE", "FALSE")</f>
        <v>FALSE</v>
      </c>
      <c r="M50" s="2" t="str">
        <f ca="1">IF(table1[[#This Row],[Price]] &lt; (table1[[#This Row],[52Low]] * 0.1) + table1[[#This Row],[52Low]],  "TRUE", "FALSE")</f>
        <v>FALSE</v>
      </c>
      <c r="N50" s="6" cm="1">
        <f t="array" aca="1" ref="N50" ca="1">_FV(table1[[#This Row],[DataField]],"Market cap",TRUE)</f>
        <v>122514722199</v>
      </c>
    </row>
    <row r="51" spans="1:14" x14ac:dyDescent="0.2">
      <c r="A51" t="e" vm="50">
        <v>#VALUE!</v>
      </c>
      <c r="B51" t="str" cm="1">
        <f t="array" aca="1" ref="B51" ca="1">_FV(table1[[#This Row],[DataField]],"Ticker symbol",TRUE)</f>
        <v>LOW</v>
      </c>
      <c r="C51" t="b">
        <v>1</v>
      </c>
      <c r="D51" t="s">
        <v>7</v>
      </c>
      <c r="E51" t="b">
        <v>1</v>
      </c>
      <c r="H51" s="2" cm="1">
        <f t="array" aca="1" ref="H51" ca="1">_FV(table1[[#This Row],[DataField]],"Price")</f>
        <v>246.02199999999999</v>
      </c>
      <c r="I51" s="2" cm="1">
        <f t="array" aca="1" ref="I51" ca="1">_FV(table1[[#This Row],[DataField]],"52 week low",TRUE)</f>
        <v>206.38499999999999</v>
      </c>
      <c r="J51" s="2" cm="1">
        <f t="array" aca="1" ref="J51" ca="1">_FV(table1[[#This Row],[DataField]],"52 week high",TRUE)</f>
        <v>274.98</v>
      </c>
      <c r="K51" s="4" cm="1">
        <f t="array" aca="1" ref="K51" ca="1">_FV(table1[[#This Row],[DataField]],"P/E",TRUE)</f>
        <v>20.407399999999999</v>
      </c>
      <c r="L51" s="2" t="str">
        <f ca="1">IF(table1[[#This Row],[Price]] &lt; (table1[[#This Row],[52Low]] * 0.25) + table1[[#This Row],[52Low]],  "TRUE", "FALSE")</f>
        <v>TRUE</v>
      </c>
      <c r="M51" s="2" t="str">
        <f ca="1">IF(table1[[#This Row],[Price]] &lt; (table1[[#This Row],[52Low]] * 0.1) + table1[[#This Row],[52Low]],  "TRUE", "FALSE")</f>
        <v>FALSE</v>
      </c>
      <c r="N51" s="6" cm="1">
        <f t="array" aca="1" ref="N51" ca="1">_FV(table1[[#This Row],[DataField]],"Market cap",TRUE)</f>
        <v>138006409933</v>
      </c>
    </row>
    <row r="52" spans="1:14" x14ac:dyDescent="0.2">
      <c r="A52" t="e" vm="51">
        <v>#VALUE!</v>
      </c>
      <c r="B52" t="str" cm="1">
        <f t="array" aca="1" ref="B52" ca="1">_FV(table1[[#This Row],[DataField]],"Ticker symbol",TRUE)</f>
        <v>LRCX</v>
      </c>
      <c r="C52" t="b">
        <v>0</v>
      </c>
      <c r="D52" t="s">
        <v>6</v>
      </c>
      <c r="E52" t="b">
        <v>1</v>
      </c>
      <c r="G52" t="s">
        <v>25</v>
      </c>
      <c r="H52" s="2" cm="1">
        <f t="array" aca="1" ref="H52" ca="1">_FV(table1[[#This Row],[DataField]],"Price")</f>
        <v>208.99</v>
      </c>
      <c r="I52" s="2" cm="1">
        <f t="array" aca="1" ref="I52" ca="1">_FV(table1[[#This Row],[DataField]],"52 week low",TRUE)</f>
        <v>56.32</v>
      </c>
      <c r="J52" s="2" cm="1">
        <f t="array" aca="1" ref="J52" ca="1">_FV(table1[[#This Row],[DataField]],"52 week high",TRUE)</f>
        <v>210.24</v>
      </c>
      <c r="K52" s="4" cm="1">
        <f t="array" aca="1" ref="K52" ca="1">_FV(table1[[#This Row],[DataField]],"P/E",TRUE)</f>
        <v>46.051299999999998</v>
      </c>
      <c r="L52" s="2" t="str">
        <f ca="1">IF(table1[[#This Row],[Price]] &lt; (table1[[#This Row],[52Low]] * 0.25) + table1[[#This Row],[52Low]],  "TRUE", "FALSE")</f>
        <v>FALSE</v>
      </c>
      <c r="M52" s="2" t="str">
        <f ca="1">IF(table1[[#This Row],[Price]] &lt; (table1[[#This Row],[52Low]] * 0.1) + table1[[#This Row],[52Low]],  "TRUE", "FALSE")</f>
        <v>FALSE</v>
      </c>
      <c r="N52" s="6" cm="1">
        <f t="array" aca="1" ref="N52" ca="1">_FV(table1[[#This Row],[DataField]],"Market cap",TRUE)</f>
        <v>262497709700</v>
      </c>
    </row>
    <row r="53" spans="1:14" x14ac:dyDescent="0.2">
      <c r="A53" t="e" vm="52">
        <v>#VALUE!</v>
      </c>
      <c r="B53" t="str" cm="1">
        <f t="array" aca="1" ref="B53" ca="1">_FV(table1[[#This Row],[DataField]],"Ticker symbol",TRUE)</f>
        <v>LYB</v>
      </c>
      <c r="C53" t="b">
        <v>1</v>
      </c>
      <c r="D53" t="s">
        <v>13</v>
      </c>
      <c r="E53" t="b">
        <v>1</v>
      </c>
      <c r="H53" s="2" cm="1">
        <f t="array" aca="1" ref="H53" ca="1">_FV(table1[[#This Row],[DataField]],"Price")</f>
        <v>46.825000000000003</v>
      </c>
      <c r="I53" s="2" cm="1">
        <f t="array" aca="1" ref="I53" ca="1">_FV(table1[[#This Row],[DataField]],"52 week low",TRUE)</f>
        <v>41.58</v>
      </c>
      <c r="J53" s="2" cm="1">
        <f t="array" aca="1" ref="J53" ca="1">_FV(table1[[#This Row],[DataField]],"52 week high",TRUE)</f>
        <v>79.389899999999997</v>
      </c>
      <c r="K53" s="4" cm="1">
        <f t="array" aca="1" ref="K53" ca="1">_FV(table1[[#This Row],[DataField]],"P/E",TRUE)</f>
        <v>0</v>
      </c>
      <c r="L53" s="2" t="str">
        <f ca="1">IF(table1[[#This Row],[Price]] &lt; (table1[[#This Row],[52Low]] * 0.25) + table1[[#This Row],[52Low]],  "TRUE", "FALSE")</f>
        <v>TRUE</v>
      </c>
      <c r="M53" s="2" t="str">
        <f ca="1">IF(table1[[#This Row],[Price]] &lt; (table1[[#This Row],[52Low]] * 0.1) + table1[[#This Row],[52Low]],  "TRUE", "FALSE")</f>
        <v>FALSE</v>
      </c>
      <c r="N53" s="6" cm="1">
        <f t="array" aca="1" ref="N53" ca="1">_FV(table1[[#This Row],[DataField]],"Market cap",TRUE)</f>
        <v>15071703225</v>
      </c>
    </row>
    <row r="54" spans="1:14" x14ac:dyDescent="0.2">
      <c r="A54" t="e" vm="53">
        <v>#VALUE!</v>
      </c>
      <c r="B54" t="str" cm="1">
        <f t="array" aca="1" ref="B54" ca="1">_FV(table1[[#This Row],[DataField]],"Ticker symbol",TRUE)</f>
        <v>MAN</v>
      </c>
      <c r="H54" s="2" cm="1">
        <f t="array" aca="1" ref="H54" ca="1">_FV(table1[[#This Row],[DataField]],"Price")</f>
        <v>30.44</v>
      </c>
      <c r="I54" s="2" cm="1">
        <f t="array" aca="1" ref="I54" ca="1">_FV(table1[[#This Row],[DataField]],"52 week low",TRUE)</f>
        <v>26.14</v>
      </c>
      <c r="J54" s="2" cm="1">
        <f t="array" aca="1" ref="J54" ca="1">_FV(table1[[#This Row],[DataField]],"52 week high",TRUE)</f>
        <v>63.344999999999999</v>
      </c>
      <c r="K54" s="4" cm="1">
        <f t="array" aca="1" ref="K54" ca="1">_FV(table1[[#This Row],[DataField]],"P/E",TRUE)</f>
        <v>0</v>
      </c>
      <c r="L54" s="2" t="str">
        <f ca="1">IF(table1[[#This Row],[Price]] &lt; (table1[[#This Row],[52Low]] * 0.25) + table1[[#This Row],[52Low]],  "TRUE", "FALSE")</f>
        <v>TRUE</v>
      </c>
      <c r="M54" s="2" t="str">
        <f ca="1">IF(table1[[#This Row],[Price]] &lt; (table1[[#This Row],[52Low]] * 0.1) + table1[[#This Row],[52Low]],  "TRUE", "FALSE")</f>
        <v>FALSE</v>
      </c>
      <c r="N54" s="6" cm="1">
        <f t="array" aca="1" ref="N54" ca="1">_FV(table1[[#This Row],[DataField]],"Market cap",TRUE)</f>
        <v>1409286159</v>
      </c>
    </row>
    <row r="55" spans="1:14" x14ac:dyDescent="0.2">
      <c r="A55" t="e" vm="54">
        <v>#VALUE!</v>
      </c>
      <c r="B55" t="str" cm="1">
        <f t="array" aca="1" ref="B55" ca="1">_FV(table1[[#This Row],[DataField]],"Ticker symbol",TRUE)</f>
        <v>MCD</v>
      </c>
      <c r="C55" t="b">
        <v>0</v>
      </c>
      <c r="D55" t="s">
        <v>7</v>
      </c>
      <c r="E55" t="b">
        <v>1</v>
      </c>
      <c r="H55" s="2" cm="1">
        <f t="array" aca="1" ref="H55" ca="1">_FV(table1[[#This Row],[DataField]],"Price")</f>
        <v>303.81830000000002</v>
      </c>
      <c r="I55" s="2" cm="1">
        <f t="array" aca="1" ref="I55" ca="1">_FV(table1[[#This Row],[DataField]],"52 week low",TRUE)</f>
        <v>276.52999999999997</v>
      </c>
      <c r="J55" s="2" cm="1">
        <f t="array" aca="1" ref="J55" ca="1">_FV(table1[[#This Row],[DataField]],"52 week high",TRUE)</f>
        <v>326.32</v>
      </c>
      <c r="K55" s="4" cm="1">
        <f t="array" aca="1" ref="K55" ca="1">_FV(table1[[#This Row],[DataField]],"P/E",TRUE)</f>
        <v>25.9131</v>
      </c>
      <c r="L55" s="2" t="str">
        <f ca="1">IF(table1[[#This Row],[Price]] &lt; (table1[[#This Row],[52Low]] * 0.25) + table1[[#This Row],[52Low]],  "TRUE", "FALSE")</f>
        <v>TRUE</v>
      </c>
      <c r="M55" s="2" t="str">
        <f ca="1">IF(table1[[#This Row],[Price]] &lt; (table1[[#This Row],[52Low]] * 0.1) + table1[[#This Row],[52Low]],  "TRUE", "FALSE")</f>
        <v>TRUE</v>
      </c>
      <c r="N55" s="6" cm="1">
        <f t="array" aca="1" ref="N55" ca="1">_FV(table1[[#This Row],[DataField]],"Market cap",TRUE)</f>
        <v>216365539145</v>
      </c>
    </row>
    <row r="56" spans="1:14" x14ac:dyDescent="0.2">
      <c r="A56" t="e" vm="55">
        <v>#VALUE!</v>
      </c>
      <c r="B56" t="str" cm="1">
        <f t="array" aca="1" ref="B56" ca="1">_FV(table1[[#This Row],[DataField]],"Ticker symbol",TRUE)</f>
        <v>MDLZ</v>
      </c>
      <c r="H56" s="2" cm="1">
        <f t="array" aca="1" ref="H56" ca="1">_FV(table1[[#This Row],[DataField]],"Price")</f>
        <v>52.92</v>
      </c>
      <c r="I56" s="2" cm="1">
        <f t="array" aca="1" ref="I56" ca="1">_FV(table1[[#This Row],[DataField]],"52 week low",TRUE)</f>
        <v>52.79</v>
      </c>
      <c r="J56" s="2" cm="1">
        <f t="array" aca="1" ref="J56" ca="1">_FV(table1[[#This Row],[DataField]],"52 week high",TRUE)</f>
        <v>71.150000000000006</v>
      </c>
      <c r="K56" s="4" cm="1">
        <f t="array" aca="1" ref="K56" ca="1">_FV(table1[[#This Row],[DataField]],"P/E",TRUE)</f>
        <v>19.774999999999999</v>
      </c>
      <c r="L56" s="2" t="str">
        <f ca="1">IF(table1[[#This Row],[Price]] &lt; (table1[[#This Row],[52Low]] * 0.25) + table1[[#This Row],[52Low]],  "TRUE", "FALSE")</f>
        <v>TRUE</v>
      </c>
      <c r="M56" s="2" t="str">
        <f ca="1">IF(table1[[#This Row],[Price]] &lt; (table1[[#This Row],[52Low]] * 0.1) + table1[[#This Row],[52Low]],  "TRUE", "FALSE")</f>
        <v>TRUE</v>
      </c>
      <c r="N56" s="6" cm="1">
        <f t="array" aca="1" ref="N56" ca="1">_FV(table1[[#This Row],[DataField]],"Market cap",TRUE)</f>
        <v>68285798280</v>
      </c>
    </row>
    <row r="57" spans="1:14" x14ac:dyDescent="0.2">
      <c r="A57" t="e" vm="56">
        <v>#VALUE!</v>
      </c>
      <c r="B57" t="str" cm="1">
        <f t="array" aca="1" ref="B57" ca="1">_FV(table1[[#This Row],[DataField]],"Ticker symbol",TRUE)</f>
        <v>MDT</v>
      </c>
      <c r="C57" t="b">
        <v>1</v>
      </c>
      <c r="D57" t="s">
        <v>9</v>
      </c>
      <c r="E57" t="b">
        <v>1</v>
      </c>
      <c r="H57" s="2" cm="1">
        <f t="array" aca="1" ref="H57" ca="1">_FV(table1[[#This Row],[DataField]],"Price")</f>
        <v>99.63</v>
      </c>
      <c r="I57" s="2" cm="1">
        <f t="array" aca="1" ref="I57" ca="1">_FV(table1[[#This Row],[DataField]],"52 week low",TRUE)</f>
        <v>79.55</v>
      </c>
      <c r="J57" s="2" cm="1">
        <f t="array" aca="1" ref="J57" ca="1">_FV(table1[[#This Row],[DataField]],"52 week high",TRUE)</f>
        <v>106.33</v>
      </c>
      <c r="K57" s="4" cm="1">
        <f t="array" aca="1" ref="K57" ca="1">_FV(table1[[#This Row],[DataField]],"P/E",TRUE)</f>
        <v>26.937899999999999</v>
      </c>
      <c r="L57" s="2" t="str">
        <f ca="1">IF(table1[[#This Row],[Price]] &lt; (table1[[#This Row],[52Low]] * 0.25) + table1[[#This Row],[52Low]],  "TRUE", "FALSE")</f>
        <v>FALSE</v>
      </c>
      <c r="M57" s="2" t="str">
        <f ca="1">IF(table1[[#This Row],[Price]] &lt; (table1[[#This Row],[52Low]] * 0.1) + table1[[#This Row],[52Low]],  "TRUE", "FALSE")</f>
        <v>FALSE</v>
      </c>
      <c r="N57" s="6" cm="1">
        <f t="array" aca="1" ref="N57" ca="1">_FV(table1[[#This Row],[DataField]],"Market cap",TRUE)</f>
        <v>127727054820</v>
      </c>
    </row>
    <row r="58" spans="1:14" x14ac:dyDescent="0.2">
      <c r="A58" t="e" vm="57">
        <v>#VALUE!</v>
      </c>
      <c r="B58" t="str" cm="1">
        <f t="array" aca="1" ref="B58" ca="1">_FV(table1[[#This Row],[DataField]],"Ticker symbol",TRUE)</f>
        <v>META</v>
      </c>
      <c r="H58" s="2" cm="1">
        <f t="array" aca="1" ref="H58" ca="1">_FV(table1[[#This Row],[DataField]],"Price")</f>
        <v>655.96</v>
      </c>
      <c r="I58" s="2" cm="1">
        <f t="array" aca="1" ref="I58" ca="1">_FV(table1[[#This Row],[DataField]],"52 week low",TRUE)</f>
        <v>479.8</v>
      </c>
      <c r="J58" s="2" cm="1">
        <f t="array" aca="1" ref="J58" ca="1">_FV(table1[[#This Row],[DataField]],"52 week high",TRUE)</f>
        <v>796.25</v>
      </c>
      <c r="K58" s="4" cm="1">
        <f t="array" aca="1" ref="K58" ca="1">_FV(table1[[#This Row],[DataField]],"P/E",TRUE)</f>
        <v>22.567799999999998</v>
      </c>
      <c r="L58" s="2" t="str">
        <f ca="1">IF(table1[[#This Row],[Price]] &lt; (table1[[#This Row],[52Low]] * 0.25) + table1[[#This Row],[52Low]],  "TRUE", "FALSE")</f>
        <v>FALSE</v>
      </c>
      <c r="M58" s="2" t="str">
        <f ca="1">IF(table1[[#This Row],[Price]] &lt; (table1[[#This Row],[52Low]] * 0.1) + table1[[#This Row],[52Low]],  "TRUE", "FALSE")</f>
        <v>FALSE</v>
      </c>
      <c r="N58" s="6" cm="1">
        <f t="array" aca="1" ref="N58" ca="1">_FV(table1[[#This Row],[DataField]],"Market cap",TRUE)</f>
        <v>1660498000000</v>
      </c>
    </row>
    <row r="59" spans="1:14" x14ac:dyDescent="0.2">
      <c r="A59" t="e" vm="58">
        <v>#VALUE!</v>
      </c>
      <c r="B59" t="str" cm="1">
        <f t="array" aca="1" ref="B59" ca="1">_FV(table1[[#This Row],[DataField]],"Ticker symbol",TRUE)</f>
        <v>MKC.V</v>
      </c>
      <c r="C59" t="b">
        <v>1</v>
      </c>
      <c r="D59" t="s">
        <v>5</v>
      </c>
      <c r="E59" t="b">
        <v>1</v>
      </c>
      <c r="H59" s="2" cm="1">
        <f t="array" aca="1" ref="H59" ca="1">_FV(table1[[#This Row],[DataField]],"Price")</f>
        <v>65.599999999999994</v>
      </c>
      <c r="I59" s="2" cm="1">
        <f t="array" aca="1" ref="I59" ca="1">_FV(table1[[#This Row],[DataField]],"52 week low",TRUE)</f>
        <v>62.78</v>
      </c>
      <c r="J59" s="2" cm="1">
        <f t="array" aca="1" ref="J59" ca="1">_FV(table1[[#This Row],[DataField]],"52 week high",TRUE)</f>
        <v>85.5</v>
      </c>
      <c r="K59" s="4" cm="1">
        <f t="array" aca="1" ref="K59" ca="1">_FV(table1[[#This Row],[DataField]],"P/E",TRUE)</f>
        <v>0</v>
      </c>
      <c r="L59" s="2" t="str">
        <f ca="1">IF(table1[[#This Row],[Price]] &lt; (table1[[#This Row],[52Low]] * 0.25) + table1[[#This Row],[52Low]],  "TRUE", "FALSE")</f>
        <v>TRUE</v>
      </c>
      <c r="M59" s="2" t="str">
        <f ca="1">IF(table1[[#This Row],[Price]] &lt; (table1[[#This Row],[52Low]] * 0.1) + table1[[#This Row],[52Low]],  "TRUE", "FALSE")</f>
        <v>TRUE</v>
      </c>
      <c r="N59" s="6" cm="1">
        <f t="array" aca="1" ref="N59" ca="1">_FV(table1[[#This Row],[DataField]],"Market cap",TRUE)</f>
        <v>18049960000</v>
      </c>
    </row>
    <row r="60" spans="1:14" x14ac:dyDescent="0.2">
      <c r="A60" t="e" vm="59">
        <v>#VALUE!</v>
      </c>
      <c r="B60" t="str" cm="1">
        <f t="array" aca="1" ref="B60" ca="1">_FV(table1[[#This Row],[DataField]],"Ticker symbol",TRUE)</f>
        <v>MMM</v>
      </c>
      <c r="H60" s="2" cm="1">
        <f t="array" aca="1" ref="H60" ca="1">_FV(table1[[#This Row],[DataField]],"Price")</f>
        <v>165.29499999999999</v>
      </c>
      <c r="I60" s="2" cm="1">
        <f t="array" aca="1" ref="I60" ca="1">_FV(table1[[#This Row],[DataField]],"52 week low",TRUE)</f>
        <v>121.97709999999999</v>
      </c>
      <c r="J60" s="2" cm="1">
        <f t="array" aca="1" ref="J60" ca="1">_FV(table1[[#This Row],[DataField]],"52 week high",TRUE)</f>
        <v>174.69</v>
      </c>
      <c r="K60" s="4" cm="1">
        <f t="array" aca="1" ref="K60" ca="1">_FV(table1[[#This Row],[DataField]],"P/E",TRUE)</f>
        <v>26.413399999999999</v>
      </c>
      <c r="L60" s="2" t="str">
        <f ca="1">IF(table1[[#This Row],[Price]] &lt; (table1[[#This Row],[52Low]] * 0.25) + table1[[#This Row],[52Low]],  "TRUE", "FALSE")</f>
        <v>FALSE</v>
      </c>
      <c r="M60" s="2" t="str">
        <f ca="1">IF(table1[[#This Row],[Price]] &lt; (table1[[#This Row],[52Low]] * 0.1) + table1[[#This Row],[52Low]],  "TRUE", "FALSE")</f>
        <v>FALSE</v>
      </c>
      <c r="N60" s="6" cm="1">
        <f t="array" aca="1" ref="N60" ca="1">_FV(table1[[#This Row],[DataField]],"Market cap",TRUE)</f>
        <v>87808836375</v>
      </c>
    </row>
    <row r="61" spans="1:14" x14ac:dyDescent="0.2">
      <c r="A61" t="e" vm="60">
        <v>#VALUE!</v>
      </c>
      <c r="B61" t="str" cm="1">
        <f t="array" aca="1" ref="B61" ca="1">_FV(table1[[#This Row],[DataField]],"Ticker symbol",TRUE)</f>
        <v>MO</v>
      </c>
      <c r="H61" s="2" cm="1">
        <f t="array" aca="1" ref="H61" ca="1">_FV(table1[[#This Row],[DataField]],"Price")</f>
        <v>54.835000000000001</v>
      </c>
      <c r="I61" s="2" cm="1">
        <f t="array" aca="1" ref="I61" ca="1">_FV(table1[[#This Row],[DataField]],"52 week low",TRUE)</f>
        <v>50.08</v>
      </c>
      <c r="J61" s="2" cm="1">
        <f t="array" aca="1" ref="J61" ca="1">_FV(table1[[#This Row],[DataField]],"52 week high",TRUE)</f>
        <v>68.599999999999994</v>
      </c>
      <c r="K61" s="4" cm="1">
        <f t="array" aca="1" ref="K61" ca="1">_FV(table1[[#This Row],[DataField]],"P/E",TRUE)</f>
        <v>10.4613</v>
      </c>
      <c r="L61" s="2" t="str">
        <f ca="1">IF(table1[[#This Row],[Price]] &lt; (table1[[#This Row],[52Low]] * 0.25) + table1[[#This Row],[52Low]],  "TRUE", "FALSE")</f>
        <v>TRUE</v>
      </c>
      <c r="M61" s="2" t="str">
        <f ca="1">IF(table1[[#This Row],[Price]] &lt; (table1[[#This Row],[52Low]] * 0.1) + table1[[#This Row],[52Low]],  "TRUE", "FALSE")</f>
        <v>TRUE</v>
      </c>
      <c r="N61" s="6" cm="1">
        <f t="array" aca="1" ref="N61" ca="1">_FV(table1[[#This Row],[DataField]],"Market cap",TRUE)</f>
        <v>92049979120</v>
      </c>
    </row>
    <row r="62" spans="1:14" x14ac:dyDescent="0.2">
      <c r="A62" t="e" vm="61">
        <v>#VALUE!</v>
      </c>
      <c r="B62" t="str" cm="1">
        <f t="array" aca="1" ref="B62" ca="1">_FV(table1[[#This Row],[DataField]],"Ticker symbol",TRUE)</f>
        <v>MRK</v>
      </c>
      <c r="H62" s="2" cm="1">
        <f t="array" aca="1" ref="H62" ca="1">_FV(table1[[#This Row],[DataField]],"Price")</f>
        <v>109.11</v>
      </c>
      <c r="I62" s="2" cm="1">
        <f t="array" aca="1" ref="I62" ca="1">_FV(table1[[#This Row],[DataField]],"52 week low",TRUE)</f>
        <v>73.31</v>
      </c>
      <c r="J62" s="2" cm="1">
        <f t="array" aca="1" ref="J62" ca="1">_FV(table1[[#This Row],[DataField]],"52 week high",TRUE)</f>
        <v>110.17</v>
      </c>
      <c r="K62" s="4" cm="1">
        <f t="array" aca="1" ref="K62" ca="1">_FV(table1[[#This Row],[DataField]],"P/E",TRUE)</f>
        <v>14.4312</v>
      </c>
      <c r="L62" s="2" t="str">
        <f ca="1">IF(table1[[#This Row],[Price]] &lt; (table1[[#This Row],[52Low]] * 0.25) + table1[[#This Row],[52Low]],  "TRUE", "FALSE")</f>
        <v>FALSE</v>
      </c>
      <c r="M62" s="2" t="str">
        <f ca="1">IF(table1[[#This Row],[Price]] &lt; (table1[[#This Row],[52Low]] * 0.1) + table1[[#This Row],[52Low]],  "TRUE", "FALSE")</f>
        <v>FALSE</v>
      </c>
      <c r="N62" s="6" cm="1">
        <f t="array" aca="1" ref="N62" ca="1">_FV(table1[[#This Row],[DataField]],"Market cap",TRUE)</f>
        <v>270813420420</v>
      </c>
    </row>
    <row r="63" spans="1:14" x14ac:dyDescent="0.2">
      <c r="A63" t="e" vm="62">
        <v>#VALUE!</v>
      </c>
      <c r="B63" t="str" cm="1">
        <f t="array" aca="1" ref="B63" ca="1">_FV(table1[[#This Row],[DataField]],"Ticker symbol",TRUE)</f>
        <v>MSFT</v>
      </c>
      <c r="C63" t="b">
        <v>1</v>
      </c>
      <c r="D63" t="s">
        <v>6</v>
      </c>
      <c r="E63" t="b">
        <v>1</v>
      </c>
      <c r="H63" s="2" cm="1">
        <f t="array" aca="1" ref="H63" ca="1">_FV(table1[[#This Row],[DataField]],"Price")</f>
        <v>473.2294</v>
      </c>
      <c r="I63" s="2" cm="1">
        <f t="array" aca="1" ref="I63" ca="1">_FV(table1[[#This Row],[DataField]],"52 week low",TRUE)</f>
        <v>344.79</v>
      </c>
      <c r="J63" s="2" cm="1">
        <f t="array" aca="1" ref="J63" ca="1">_FV(table1[[#This Row],[DataField]],"52 week high",TRUE)</f>
        <v>555.45000000000005</v>
      </c>
      <c r="K63" s="4" cm="1">
        <f t="array" aca="1" ref="K63" ca="1">_FV(table1[[#This Row],[DataField]],"P/E",TRUE)</f>
        <v>33.668900000000001</v>
      </c>
      <c r="L63" s="2" t="str">
        <f ca="1">IF(table1[[#This Row],[Price]] &lt; (table1[[#This Row],[52Low]] * 0.25) + table1[[#This Row],[52Low]],  "TRUE", "FALSE")</f>
        <v>FALSE</v>
      </c>
      <c r="M63" s="2" t="str">
        <f ca="1">IF(table1[[#This Row],[Price]] &lt; (table1[[#This Row],[52Low]] * 0.1) + table1[[#This Row],[52Low]],  "TRUE", "FALSE")</f>
        <v>FALSE</v>
      </c>
      <c r="N63" s="6" cm="1">
        <f t="array" aca="1" ref="N63" ca="1">_FV(table1[[#This Row],[DataField]],"Market cap",TRUE)</f>
        <v>3517219308283</v>
      </c>
    </row>
    <row r="64" spans="1:14" x14ac:dyDescent="0.2">
      <c r="A64" t="e" vm="63">
        <v>#VALUE!</v>
      </c>
      <c r="B64" t="str" cm="1">
        <f t="array" aca="1" ref="B64" ca="1">_FV(table1[[#This Row],[DataField]],"Ticker symbol",TRUE)</f>
        <v>NKE</v>
      </c>
      <c r="C64" t="b">
        <v>1</v>
      </c>
      <c r="D64" t="s">
        <v>7</v>
      </c>
      <c r="E64" t="b">
        <v>1</v>
      </c>
      <c r="H64" s="2" cm="1">
        <f t="array" aca="1" ref="H64" ca="1">_FV(table1[[#This Row],[DataField]],"Price")</f>
        <v>63.884399999999999</v>
      </c>
      <c r="I64" cm="1">
        <f t="array" aca="1" ref="I64" ca="1">_FV(table1[[#This Row],[DataField]],"52 week low",TRUE)</f>
        <v>52.28</v>
      </c>
      <c r="J64" cm="1">
        <f t="array" aca="1" ref="J64" ca="1">_FV(table1[[#This Row],[DataField]],"52 week high",TRUE)</f>
        <v>82.44</v>
      </c>
      <c r="K64" s="4" cm="1">
        <f t="array" aca="1" ref="K64" ca="1">_FV(table1[[#This Row],[DataField]],"P/E",TRUE)</f>
        <v>37.460099999999997</v>
      </c>
      <c r="L64" s="2" t="str">
        <f ca="1">IF(table1[[#This Row],[Price]] &lt; (table1[[#This Row],[52Low]] * 0.25) + table1[[#This Row],[52Low]],  "TRUE", "FALSE")</f>
        <v>TRUE</v>
      </c>
      <c r="M64" s="2" t="str">
        <f ca="1">IF(table1[[#This Row],[Price]] &lt; (table1[[#This Row],[52Low]] * 0.1) + table1[[#This Row],[52Low]],  "TRUE", "FALSE")</f>
        <v>FALSE</v>
      </c>
      <c r="N64" s="6" cm="1">
        <f t="array" aca="1" ref="N64" ca="1">_FV(table1[[#This Row],[DataField]],"Market cap",TRUE)</f>
        <v>94573379725</v>
      </c>
    </row>
    <row r="65" spans="1:14" x14ac:dyDescent="0.2">
      <c r="A65" t="e" vm="64">
        <v>#VALUE!</v>
      </c>
      <c r="B65" t="str" cm="1">
        <f t="array" aca="1" ref="B65" ca="1">_FV(table1[[#This Row],[DataField]],"Ticker symbol",TRUE)</f>
        <v>NOC</v>
      </c>
      <c r="H65" s="2" cm="1">
        <f t="array" aca="1" ref="H65" ca="1">_FV(table1[[#This Row],[DataField]],"Price")</f>
        <v>609.78499999999997</v>
      </c>
      <c r="I65" s="2" cm="1">
        <f t="array" aca="1" ref="I65" ca="1">_FV(table1[[#This Row],[DataField]],"52 week low",TRUE)</f>
        <v>426.24</v>
      </c>
      <c r="J65" s="2" cm="1">
        <f t="array" aca="1" ref="J65" ca="1">_FV(table1[[#This Row],[DataField]],"52 week high",TRUE)</f>
        <v>640.90099999999995</v>
      </c>
      <c r="K65" s="4" cm="1">
        <f t="array" aca="1" ref="K65" ca="1">_FV(table1[[#This Row],[DataField]],"P/E",TRUE)</f>
        <v>21.947299999999998</v>
      </c>
      <c r="L65" s="2" t="str">
        <f ca="1">IF(table1[[#This Row],[Price]] &lt; (table1[[#This Row],[52Low]] * 0.25) + table1[[#This Row],[52Low]],  "TRUE", "FALSE")</f>
        <v>FALSE</v>
      </c>
      <c r="M65" s="2" t="str">
        <f ca="1">IF(table1[[#This Row],[Price]] &lt; (table1[[#This Row],[52Low]] * 0.1) + table1[[#This Row],[52Low]],  "TRUE", "FALSE")</f>
        <v>FALSE</v>
      </c>
      <c r="N65" s="6" cm="1">
        <f t="array" aca="1" ref="N65" ca="1">_FV(table1[[#This Row],[DataField]],"Market cap",TRUE)</f>
        <v>87028576178</v>
      </c>
    </row>
    <row r="66" spans="1:14" x14ac:dyDescent="0.2">
      <c r="A66" t="e" vm="65">
        <v>#VALUE!</v>
      </c>
      <c r="B66" t="str" cm="1">
        <f t="array" aca="1" ref="B66" ca="1">_FV(table1[[#This Row],[DataField]],"Ticker symbol",TRUE)</f>
        <v>NVDA</v>
      </c>
      <c r="G66" t="s">
        <v>25</v>
      </c>
      <c r="H66" s="2" cm="1">
        <f t="array" aca="1" ref="H66" ca="1">_FV(table1[[#This Row],[DataField]],"Price")</f>
        <v>189.435</v>
      </c>
      <c r="I66" s="2" cm="1">
        <f t="array" aca="1" ref="I66" ca="1">_FV(table1[[#This Row],[DataField]],"52 week low",TRUE)</f>
        <v>86.62</v>
      </c>
      <c r="J66" s="2" cm="1">
        <f t="array" aca="1" ref="J66" ca="1">_FV(table1[[#This Row],[DataField]],"52 week high",TRUE)</f>
        <v>212.18989999999999</v>
      </c>
      <c r="K66" s="4" cm="1">
        <f t="array" aca="1" ref="K66" ca="1">_FV(table1[[#This Row],[DataField]],"P/E",TRUE)</f>
        <v>46.918900000000001</v>
      </c>
      <c r="L66" s="2" t="str">
        <f ca="1">IF(table1[[#This Row],[Price]] &lt; (table1[[#This Row],[52Low]] * 0.25) + table1[[#This Row],[52Low]],  "TRUE", "FALSE")</f>
        <v>FALSE</v>
      </c>
      <c r="M66" s="2" t="str">
        <f ca="1">IF(table1[[#This Row],[Price]] &lt; (table1[[#This Row],[52Low]] * 0.1) + table1[[#This Row],[52Low]],  "TRUE", "FALSE")</f>
        <v>FALSE</v>
      </c>
      <c r="N66" s="6" cm="1">
        <f t="array" aca="1" ref="N66" ca="1">_FV(table1[[#This Row],[DataField]],"Market cap",TRUE)</f>
        <v>4603270500000</v>
      </c>
    </row>
    <row r="67" spans="1:14" x14ac:dyDescent="0.2">
      <c r="A67" t="e" vm="66">
        <v>#VALUE!</v>
      </c>
      <c r="B67" t="str" cm="1">
        <f t="array" aca="1" ref="B67" ca="1">_FV(table1[[#This Row],[DataField]],"Ticker symbol",TRUE)</f>
        <v>O</v>
      </c>
      <c r="C67" t="b">
        <v>1</v>
      </c>
      <c r="D67" t="s">
        <v>14</v>
      </c>
      <c r="E67" t="b">
        <v>1</v>
      </c>
      <c r="H67" s="2" cm="1">
        <f t="array" aca="1" ref="H67" ca="1">_FV(table1[[#This Row],[DataField]],"Price")</f>
        <v>57.1892</v>
      </c>
      <c r="I67" s="2" cm="1">
        <f t="array" aca="1" ref="I67" ca="1">_FV(table1[[#This Row],[DataField]],"52 week low",TRUE)</f>
        <v>50.71</v>
      </c>
      <c r="J67" s="2" cm="1">
        <f t="array" aca="1" ref="J67" ca="1">_FV(table1[[#This Row],[DataField]],"52 week high",TRUE)</f>
        <v>61.085000000000001</v>
      </c>
      <c r="K67" s="4" cm="1">
        <f t="array" aca="1" ref="K67" ca="1">_FV(table1[[#This Row],[DataField]],"P/E",TRUE)</f>
        <v>53.422899999999998</v>
      </c>
      <c r="L67" s="2" t="str">
        <f ca="1">IF(table1[[#This Row],[Price]] &lt; (table1[[#This Row],[52Low]] * 0.25) + table1[[#This Row],[52Low]],  "TRUE", "FALSE")</f>
        <v>TRUE</v>
      </c>
      <c r="M67" s="2" t="str">
        <f ca="1">IF(table1[[#This Row],[Price]] &lt; (table1[[#This Row],[52Low]] * 0.1) + table1[[#This Row],[52Low]],  "TRUE", "FALSE")</f>
        <v>FALSE</v>
      </c>
      <c r="N67" s="6" cm="1">
        <f t="array" aca="1" ref="N67" ca="1">_FV(table1[[#This Row],[DataField]],"Market cap",TRUE)</f>
        <v>52608676777</v>
      </c>
    </row>
    <row r="68" spans="1:14" x14ac:dyDescent="0.2">
      <c r="A68" t="e" vm="67">
        <v>#VALUE!</v>
      </c>
      <c r="B68" t="str" cm="1">
        <f t="array" aca="1" ref="B68" ca="1">_FV(table1[[#This Row],[DataField]],"Ticker symbol",TRUE)</f>
        <v>PEP</v>
      </c>
      <c r="C68" t="b">
        <v>1</v>
      </c>
      <c r="D68" t="s">
        <v>5</v>
      </c>
      <c r="E68" t="b">
        <v>1</v>
      </c>
      <c r="H68" s="2" cm="1">
        <f t="array" aca="1" ref="H68" ca="1">_FV(table1[[#This Row],[DataField]],"Price")</f>
        <v>138.96</v>
      </c>
      <c r="I68" s="2" cm="1">
        <f t="array" aca="1" ref="I68" ca="1">_FV(table1[[#This Row],[DataField]],"52 week low",TRUE)</f>
        <v>127.6</v>
      </c>
      <c r="J68" s="2" cm="1">
        <f t="array" aca="1" ref="J68" ca="1">_FV(table1[[#This Row],[DataField]],"52 week high",TRUE)</f>
        <v>160.15</v>
      </c>
      <c r="K68" s="4" cm="1">
        <f t="array" aca="1" ref="K68" ca="1">_FV(table1[[#This Row],[DataField]],"P/E",TRUE)</f>
        <v>26.423300000000001</v>
      </c>
      <c r="L68" s="2" t="str">
        <f ca="1">IF(table1[[#This Row],[Price]] &lt; (table1[[#This Row],[52Low]] * 0.25) + table1[[#This Row],[52Low]],  "TRUE", "FALSE")</f>
        <v>TRUE</v>
      </c>
      <c r="M68" s="2" t="str">
        <f ca="1">IF(table1[[#This Row],[Price]] &lt; (table1[[#This Row],[52Low]] * 0.1) + table1[[#This Row],[52Low]],  "TRUE", "FALSE")</f>
        <v>TRUE</v>
      </c>
      <c r="N68" s="6" cm="1">
        <f t="array" aca="1" ref="N68" ca="1">_FV(table1[[#This Row],[DataField]],"Market cap",TRUE)</f>
        <v>190005566400</v>
      </c>
    </row>
    <row r="69" spans="1:14" x14ac:dyDescent="0.2">
      <c r="A69" t="e" vm="68">
        <v>#VALUE!</v>
      </c>
      <c r="B69" t="str" cm="1">
        <f t="array" aca="1" ref="B69" ca="1">_FV(table1[[#This Row],[DataField]],"Ticker symbol",TRUE)</f>
        <v>PFE</v>
      </c>
      <c r="H69" s="2" cm="1">
        <f t="array" aca="1" ref="H69" ca="1">_FV(table1[[#This Row],[DataField]],"Price")</f>
        <v>25.62</v>
      </c>
      <c r="I69" s="2" cm="1">
        <f t="array" aca="1" ref="I69" ca="1">_FV(table1[[#This Row],[DataField]],"52 week low",TRUE)</f>
        <v>20.914999999999999</v>
      </c>
      <c r="J69" s="2" cm="1">
        <f t="array" aca="1" ref="J69" ca="1">_FV(table1[[#This Row],[DataField]],"52 week high",TRUE)</f>
        <v>27.69</v>
      </c>
      <c r="K69" s="4" cm="1">
        <f t="array" aca="1" ref="K69" ca="1">_FV(table1[[#This Row],[DataField]],"P/E",TRUE)</f>
        <v>14.9336</v>
      </c>
      <c r="L69" s="2" t="str">
        <f ca="1">IF(table1[[#This Row],[Price]] &lt; (table1[[#This Row],[52Low]] * 0.25) + table1[[#This Row],[52Low]],  "TRUE", "FALSE")</f>
        <v>TRUE</v>
      </c>
      <c r="M69" s="2" t="str">
        <f ca="1">IF(table1[[#This Row],[Price]] &lt; (table1[[#This Row],[52Low]] * 0.1) + table1[[#This Row],[52Low]],  "TRUE", "FALSE")</f>
        <v>FALSE</v>
      </c>
      <c r="N69" s="6" cm="1">
        <f t="array" aca="1" ref="N69" ca="1">_FV(table1[[#This Row],[DataField]],"Market cap",TRUE)</f>
        <v>145667838960</v>
      </c>
    </row>
    <row r="70" spans="1:14" x14ac:dyDescent="0.2">
      <c r="A70" t="e" vm="69">
        <v>#VALUE!</v>
      </c>
      <c r="B70" t="str" cm="1">
        <f t="array" aca="1" ref="B70" ca="1">_FV(table1[[#This Row],[DataField]],"Ticker symbol",TRUE)</f>
        <v>QCOM</v>
      </c>
      <c r="H70" s="2" cm="1">
        <f t="array" aca="1" ref="H70" ca="1">_FV(table1[[#This Row],[DataField]],"Price")</f>
        <v>183.13399999999999</v>
      </c>
      <c r="I70" s="2" cm="1">
        <f t="array" aca="1" ref="I70" ca="1">_FV(table1[[#This Row],[DataField]],"52 week low",TRUE)</f>
        <v>120.8019</v>
      </c>
      <c r="J70" s="2" cm="1">
        <f t="array" aca="1" ref="J70" ca="1">_FV(table1[[#This Row],[DataField]],"52 week high",TRUE)</f>
        <v>205.95</v>
      </c>
      <c r="K70" s="4" cm="1">
        <f t="array" aca="1" ref="K70" ca="1">_FV(table1[[#This Row],[DataField]],"P/E",TRUE)</f>
        <v>37.446100000000001</v>
      </c>
      <c r="L70" s="2" t="str">
        <f ca="1">IF(table1[[#This Row],[Price]] &lt; (table1[[#This Row],[52Low]] * 0.25) + table1[[#This Row],[52Low]],  "TRUE", "FALSE")</f>
        <v>FALSE</v>
      </c>
      <c r="M70" s="2" t="str">
        <f ca="1">IF(table1[[#This Row],[Price]] &lt; (table1[[#This Row],[52Low]] * 0.1) + table1[[#This Row],[52Low]],  "TRUE", "FALSE")</f>
        <v>FALSE</v>
      </c>
      <c r="N70" s="6" cm="1">
        <f t="array" aca="1" ref="N70" ca="1">_FV(table1[[#This Row],[DataField]],"Market cap",TRUE)</f>
        <v>195768231526</v>
      </c>
    </row>
    <row r="71" spans="1:14" x14ac:dyDescent="0.2">
      <c r="A71" t="e" vm="70">
        <v>#VALUE!</v>
      </c>
      <c r="B71" t="str" cm="1">
        <f t="array" aca="1" ref="B71" ca="1">_FV(table1[[#This Row],[DataField]],"Ticker symbol",TRUE)</f>
        <v>SCHW</v>
      </c>
      <c r="H71" s="2" cm="1">
        <f t="array" aca="1" ref="H71" ca="1">_FV(table1[[#This Row],[DataField]],"Price")</f>
        <v>104.53</v>
      </c>
      <c r="I71" s="2" cm="1">
        <f t="array" aca="1" ref="I71" ca="1">_FV(table1[[#This Row],[DataField]],"52 week low",TRUE)</f>
        <v>65.88</v>
      </c>
      <c r="J71" s="2" cm="1">
        <f t="array" aca="1" ref="J71" ca="1">_FV(table1[[#This Row],[DataField]],"52 week high",TRUE)</f>
        <v>104.75</v>
      </c>
      <c r="K71" s="4" cm="1">
        <f t="array" aca="1" ref="K71" ca="1">_FV(table1[[#This Row],[DataField]],"P/E",TRUE)</f>
        <v>24.5105</v>
      </c>
      <c r="L71" s="2" t="str">
        <f ca="1">IF(table1[[#This Row],[Price]] &lt; (table1[[#This Row],[52Low]] * 0.25) + table1[[#This Row],[52Low]],  "TRUE", "FALSE")</f>
        <v>FALSE</v>
      </c>
      <c r="M71" s="2" t="str">
        <f ca="1">IF(table1[[#This Row],[Price]] &lt; (table1[[#This Row],[52Low]] * 0.1) + table1[[#This Row],[52Low]],  "TRUE", "FALSE")</f>
        <v>FALSE</v>
      </c>
      <c r="N71" s="6" cm="1">
        <f t="array" aca="1" ref="N71" ca="1">_FV(table1[[#This Row],[DataField]],"Market cap",TRUE)</f>
        <v>185743224610</v>
      </c>
    </row>
    <row r="72" spans="1:14" x14ac:dyDescent="0.2">
      <c r="A72" t="e" vm="71">
        <v>#VALUE!</v>
      </c>
      <c r="B72" t="str" cm="1">
        <f t="array" aca="1" ref="B72" ca="1">_FV(table1[[#This Row],[DataField]],"Ticker symbol",TRUE)</f>
        <v>SHW</v>
      </c>
      <c r="H72" s="2" cm="1">
        <f t="array" aca="1" ref="H72" ca="1">_FV(table1[[#This Row],[DataField]],"Price")</f>
        <v>337.85559999999998</v>
      </c>
      <c r="I72" s="2" cm="1">
        <f t="array" aca="1" ref="I72" ca="1">_FV(table1[[#This Row],[DataField]],"52 week low",TRUE)</f>
        <v>308.83999999999997</v>
      </c>
      <c r="J72" s="2" cm="1">
        <f t="array" aca="1" ref="J72" ca="1">_FV(table1[[#This Row],[DataField]],"52 week high",TRUE)</f>
        <v>379.65</v>
      </c>
      <c r="K72" s="4" cm="1">
        <f t="array" aca="1" ref="K72" ca="1">_FV(table1[[#This Row],[DataField]],"P/E",TRUE)</f>
        <v>32.9741</v>
      </c>
      <c r="L72" s="2" t="str">
        <f ca="1">IF(table1[[#This Row],[Price]] &lt; (table1[[#This Row],[52Low]] * 0.25) + table1[[#This Row],[52Low]],  "TRUE", "FALSE")</f>
        <v>TRUE</v>
      </c>
      <c r="M72" s="2" t="str">
        <f ca="1">IF(table1[[#This Row],[Price]] &lt; (table1[[#This Row],[52Low]] * 0.1) + table1[[#This Row],[52Low]],  "TRUE", "FALSE")</f>
        <v>TRUE</v>
      </c>
      <c r="N72" s="6" cm="1">
        <f t="array" aca="1" ref="N72" ca="1">_FV(table1[[#This Row],[DataField]],"Market cap",TRUE)</f>
        <v>83752207178</v>
      </c>
    </row>
    <row r="73" spans="1:14" x14ac:dyDescent="0.2">
      <c r="A73" t="e" vm="72">
        <v>#VALUE!</v>
      </c>
      <c r="B73" t="str" cm="1">
        <f t="array" aca="1" ref="B73" ca="1">_FV(table1[[#This Row],[DataField]],"Ticker symbol",TRUE)</f>
        <v>SJM</v>
      </c>
      <c r="C73" t="b">
        <v>1</v>
      </c>
      <c r="D73" t="s">
        <v>5</v>
      </c>
      <c r="E73" t="b">
        <v>0</v>
      </c>
      <c r="H73" s="2" cm="1">
        <f t="array" aca="1" ref="H73" ca="1">_FV(table1[[#This Row],[DataField]],"Price")</f>
        <v>96.208600000000004</v>
      </c>
      <c r="I73" s="2" cm="1">
        <f t="array" aca="1" ref="I73" ca="1">_FV(table1[[#This Row],[DataField]],"52 week low",TRUE)</f>
        <v>93.3</v>
      </c>
      <c r="J73" s="2" cm="1">
        <f t="array" aca="1" ref="J73" ca="1">_FV(table1[[#This Row],[DataField]],"52 week high",TRUE)</f>
        <v>121.48</v>
      </c>
      <c r="K73" s="4" cm="1">
        <f t="array" aca="1" ref="K73" ca="1">_FV(table1[[#This Row],[DataField]],"P/E",TRUE)</f>
        <v>0</v>
      </c>
      <c r="L73" s="2" t="str">
        <f ca="1">IF(table1[[#This Row],[Price]] &lt; (table1[[#This Row],[52Low]] * 0.25) + table1[[#This Row],[52Low]],  "TRUE", "FALSE")</f>
        <v>TRUE</v>
      </c>
      <c r="M73" s="2" t="str">
        <f ca="1">IF(table1[[#This Row],[Price]] &lt; (table1[[#This Row],[52Low]] * 0.1) + table1[[#This Row],[52Low]],  "TRUE", "FALSE")</f>
        <v>TRUE</v>
      </c>
      <c r="N73" s="6" cm="1">
        <f t="array" aca="1" ref="N73" ca="1">_FV(table1[[#This Row],[DataField]],"Market cap",TRUE)</f>
        <v>10089020000</v>
      </c>
    </row>
    <row r="74" spans="1:14" x14ac:dyDescent="0.2">
      <c r="A74" t="e" vm="73">
        <v>#VALUE!</v>
      </c>
      <c r="B74" t="str" cm="1">
        <f t="array" aca="1" ref="B74" ca="1">_FV(table1[[#This Row],[DataField]],"Ticker symbol",TRUE)</f>
        <v>SNA</v>
      </c>
      <c r="H74" s="2" cm="1">
        <f t="array" aca="1" ref="H74" ca="1">_FV(table1[[#This Row],[DataField]],"Price")</f>
        <v>357.6</v>
      </c>
      <c r="I74" s="2" cm="1">
        <f t="array" aca="1" ref="I74" ca="1">_FV(table1[[#This Row],[DataField]],"52 week low",TRUE)</f>
        <v>289.81</v>
      </c>
      <c r="J74" s="2" cm="1">
        <f t="array" aca="1" ref="J74" ca="1">_FV(table1[[#This Row],[DataField]],"52 week high",TRUE)</f>
        <v>365.78</v>
      </c>
      <c r="K74" s="4" cm="1">
        <f t="array" aca="1" ref="K74" ca="1">_FV(table1[[#This Row],[DataField]],"P/E",TRUE)</f>
        <v>18.745899999999999</v>
      </c>
      <c r="L74" s="2" t="str">
        <f ca="1">IF(table1[[#This Row],[Price]] &lt; (table1[[#This Row],[52Low]] * 0.25) + table1[[#This Row],[52Low]],  "TRUE", "FALSE")</f>
        <v>TRUE</v>
      </c>
      <c r="M74" s="2" t="str">
        <f ca="1">IF(table1[[#This Row],[Price]] &lt; (table1[[#This Row],[52Low]] * 0.1) + table1[[#This Row],[52Low]],  "TRUE", "FALSE")</f>
        <v>FALSE</v>
      </c>
      <c r="N74" s="6" cm="1">
        <f t="array" aca="1" ref="N74" ca="1">_FV(table1[[#This Row],[DataField]],"Market cap",TRUE)</f>
        <v>18597903456</v>
      </c>
    </row>
    <row r="75" spans="1:14" x14ac:dyDescent="0.2">
      <c r="A75" t="e" vm="74">
        <v>#VALUE!</v>
      </c>
      <c r="B75" t="str" cm="1">
        <f t="array" aca="1" ref="B75" ca="1">_FV(table1[[#This Row],[DataField]],"Ticker symbol",TRUE)</f>
        <v>SO</v>
      </c>
      <c r="H75" s="2" cm="1">
        <f t="array" aca="1" ref="H75" ca="1">_FV(table1[[#This Row],[DataField]],"Price")</f>
        <v>86.67</v>
      </c>
      <c r="I75" s="2" cm="1">
        <f t="array" aca="1" ref="I75" ca="1">_FV(table1[[#This Row],[DataField]],"52 week low",TRUE)</f>
        <v>80.459999999999994</v>
      </c>
      <c r="J75" s="2" cm="1">
        <f t="array" aca="1" ref="J75" ca="1">_FV(table1[[#This Row],[DataField]],"52 week high",TRUE)</f>
        <v>100.83499999999999</v>
      </c>
      <c r="K75" s="4" cm="1">
        <f t="array" aca="1" ref="K75" ca="1">_FV(table1[[#This Row],[DataField]],"P/E",TRUE)</f>
        <v>21.519600000000001</v>
      </c>
      <c r="L75" s="2" t="str">
        <f ca="1">IF(table1[[#This Row],[Price]] &lt; (table1[[#This Row],[52Low]] * 0.25) + table1[[#This Row],[52Low]],  "TRUE", "FALSE")</f>
        <v>TRUE</v>
      </c>
      <c r="M75" s="2" t="str">
        <f ca="1">IF(table1[[#This Row],[Price]] &lt; (table1[[#This Row],[52Low]] * 0.1) + table1[[#This Row],[52Low]],  "TRUE", "FALSE")</f>
        <v>TRUE</v>
      </c>
      <c r="N75" s="6" cm="1">
        <f t="array" aca="1" ref="N75" ca="1">_FV(table1[[#This Row],[DataField]],"Market cap",TRUE)</f>
        <v>95432770350</v>
      </c>
    </row>
    <row r="76" spans="1:14" x14ac:dyDescent="0.2">
      <c r="A76" t="e" vm="75">
        <v>#VALUE!</v>
      </c>
      <c r="B76" t="str" cm="1">
        <f t="array" aca="1" ref="B76" ca="1">_FV(table1[[#This Row],[DataField]],"Ticker symbol",TRUE)</f>
        <v>SPG</v>
      </c>
      <c r="C76" t="b">
        <v>1</v>
      </c>
      <c r="D76" t="s">
        <v>14</v>
      </c>
      <c r="E76" t="b">
        <v>1</v>
      </c>
      <c r="H76" s="2" cm="1">
        <f t="array" aca="1" ref="H76" ca="1">_FV(table1[[#This Row],[DataField]],"Price")</f>
        <v>184.0401</v>
      </c>
      <c r="I76" s="2" cm="1">
        <f t="array" aca="1" ref="I76" ca="1">_FV(table1[[#This Row],[DataField]],"52 week low",TRUE)</f>
        <v>136.34</v>
      </c>
      <c r="J76" s="2" cm="1">
        <f t="array" aca="1" ref="J76" ca="1">_FV(table1[[#This Row],[DataField]],"52 week high",TRUE)</f>
        <v>190.13499999999999</v>
      </c>
      <c r="K76" s="4" cm="1">
        <f t="array" aca="1" ref="K76" ca="1">_FV(table1[[#This Row],[DataField]],"P/E",TRUE)</f>
        <v>21.5456</v>
      </c>
      <c r="L76" s="2" t="str">
        <f ca="1">IF(table1[[#This Row],[Price]] &lt; (table1[[#This Row],[52Low]] * 0.25) + table1[[#This Row],[52Low]],  "TRUE", "FALSE")</f>
        <v>FALSE</v>
      </c>
      <c r="M76" s="2" t="str">
        <f ca="1">IF(table1[[#This Row],[Price]] &lt; (table1[[#This Row],[52Low]] * 0.1) + table1[[#This Row],[52Low]],  "TRUE", "FALSE")</f>
        <v>FALSE</v>
      </c>
      <c r="N76" s="6" cm="1">
        <f t="array" aca="1" ref="N76" ca="1">_FV(table1[[#This Row],[DataField]],"Market cap",TRUE)</f>
        <v>60083589851</v>
      </c>
    </row>
    <row r="77" spans="1:14" x14ac:dyDescent="0.2">
      <c r="A77" t="e" vm="76">
        <v>#VALUE!</v>
      </c>
      <c r="B77" t="str" cm="1">
        <f t="array" aca="1" ref="B77" ca="1">_FV(table1[[#This Row],[DataField]],"Ticker symbol",TRUE)</f>
        <v>SPGI</v>
      </c>
      <c r="H77" s="2" cm="1">
        <f t="array" aca="1" ref="H77" ca="1">_FV(table1[[#This Row],[DataField]],"Price")</f>
        <v>540.66499999999996</v>
      </c>
      <c r="I77" s="2" cm="1">
        <f t="array" aca="1" ref="I77" ca="1">_FV(table1[[#This Row],[DataField]],"52 week low",TRUE)</f>
        <v>427.14</v>
      </c>
      <c r="J77" s="2" cm="1">
        <f t="array" aca="1" ref="J77" ca="1">_FV(table1[[#This Row],[DataField]],"52 week high",TRUE)</f>
        <v>579.04999999999995</v>
      </c>
      <c r="K77" s="4" cm="1">
        <f t="array" aca="1" ref="K77" ca="1">_FV(table1[[#This Row],[DataField]],"P/E",TRUE)</f>
        <v>39.305700000000002</v>
      </c>
      <c r="L77" s="2" t="str">
        <f ca="1">IF(table1[[#This Row],[Price]] &lt; (table1[[#This Row],[52Low]] * 0.25) + table1[[#This Row],[52Low]],  "TRUE", "FALSE")</f>
        <v>FALSE</v>
      </c>
      <c r="M77" s="2" t="str">
        <f ca="1">IF(table1[[#This Row],[Price]] &lt; (table1[[#This Row],[52Low]] * 0.1) + table1[[#This Row],[52Low]],  "TRUE", "FALSE")</f>
        <v>FALSE</v>
      </c>
      <c r="N77" s="6" cm="1">
        <f t="array" aca="1" ref="N77" ca="1">_FV(table1[[#This Row],[DataField]],"Market cap",TRUE)</f>
        <v>163713362000</v>
      </c>
    </row>
    <row r="78" spans="1:14" x14ac:dyDescent="0.2">
      <c r="A78" t="e" vm="77">
        <v>#VALUE!</v>
      </c>
      <c r="B78" t="str" cm="1">
        <f t="array" aca="1" ref="B78" ca="1">_FV(table1[[#This Row],[DataField]],"Ticker symbol",TRUE)</f>
        <v>T</v>
      </c>
      <c r="C78" t="b">
        <v>1</v>
      </c>
      <c r="D78" t="s">
        <v>10</v>
      </c>
      <c r="E78" t="b">
        <v>1</v>
      </c>
      <c r="H78" s="2" cm="1">
        <f t="array" aca="1" ref="H78" ca="1">_FV(table1[[#This Row],[DataField]],"Price")</f>
        <v>24.01</v>
      </c>
      <c r="I78" s="2" cm="1">
        <f t="array" aca="1" ref="I78" ca="1">_FV(table1[[#This Row],[DataField]],"52 week low",TRUE)</f>
        <v>21.38</v>
      </c>
      <c r="J78" s="2" cm="1">
        <f t="array" aca="1" ref="J78" ca="1">_FV(table1[[#This Row],[DataField]],"52 week high",TRUE)</f>
        <v>29.79</v>
      </c>
      <c r="K78" s="4" cm="1">
        <f t="array" aca="1" ref="K78" ca="1">_FV(table1[[#This Row],[DataField]],"P/E",TRUE)</f>
        <v>7.7906000000000004</v>
      </c>
      <c r="L78" s="2" t="str">
        <f ca="1">IF(table1[[#This Row],[Price]] &lt; (table1[[#This Row],[52Low]] * 0.25) + table1[[#This Row],[52Low]],  "TRUE", "FALSE")</f>
        <v>TRUE</v>
      </c>
      <c r="M78" s="2" t="str">
        <f ca="1">IF(table1[[#This Row],[Price]] &lt; (table1[[#This Row],[52Low]] * 0.1) + table1[[#This Row],[52Low]],  "TRUE", "FALSE")</f>
        <v>FALSE</v>
      </c>
      <c r="N78" s="6" cm="1">
        <f t="array" aca="1" ref="N78" ca="1">_FV(table1[[#This Row],[DataField]],"Market cap",TRUE)</f>
        <v>170217694500</v>
      </c>
    </row>
    <row r="79" spans="1:14" x14ac:dyDescent="0.2">
      <c r="A79" t="e" vm="78">
        <v>#VALUE!</v>
      </c>
      <c r="B79" t="str" cm="1">
        <f t="array" aca="1" ref="B79" ca="1">_FV(table1[[#This Row],[DataField]],"Ticker symbol",TRUE)</f>
        <v>TGT</v>
      </c>
      <c r="H79" s="2" cm="1">
        <f t="array" aca="1" ref="H79" ca="1">_FV(table1[[#This Row],[DataField]],"Price")</f>
        <v>103.81870000000001</v>
      </c>
      <c r="I79" s="2" cm="1">
        <f t="array" aca="1" ref="I79" ca="1">_FV(table1[[#This Row],[DataField]],"52 week low",TRUE)</f>
        <v>83.44</v>
      </c>
      <c r="J79" s="2" cm="1">
        <f t="array" aca="1" ref="J79" ca="1">_FV(table1[[#This Row],[DataField]],"52 week high",TRUE)</f>
        <v>145.08000000000001</v>
      </c>
      <c r="K79" s="4" cm="1">
        <f t="array" aca="1" ref="K79" ca="1">_FV(table1[[#This Row],[DataField]],"P/E",TRUE)</f>
        <v>12.5974</v>
      </c>
      <c r="L79" s="2" t="str">
        <f ca="1">IF(table1[[#This Row],[Price]] &lt; (table1[[#This Row],[52Low]] * 0.25) + table1[[#This Row],[52Low]],  "TRUE", "FALSE")</f>
        <v>TRUE</v>
      </c>
      <c r="M79" s="2" t="str">
        <f ca="1">IF(table1[[#This Row],[Price]] &lt; (table1[[#This Row],[52Low]] * 0.1) + table1[[#This Row],[52Low]],  "TRUE", "FALSE")</f>
        <v>FALSE</v>
      </c>
      <c r="N79" s="6" cm="1">
        <f t="array" aca="1" ref="N79" ca="1">_FV(table1[[#This Row],[DataField]],"Market cap",TRUE)</f>
        <v>47009771799</v>
      </c>
    </row>
    <row r="80" spans="1:14" x14ac:dyDescent="0.2">
      <c r="A80" t="e" vm="79">
        <v>#VALUE!</v>
      </c>
      <c r="B80" t="str" cm="1">
        <f t="array" aca="1" ref="B80" ca="1">_FV(table1[[#This Row],[DataField]],"Ticker symbol",TRUE)</f>
        <v>TROW</v>
      </c>
      <c r="C80" t="b">
        <v>1</v>
      </c>
      <c r="D80" t="s">
        <v>8</v>
      </c>
      <c r="E80" t="b">
        <v>1</v>
      </c>
      <c r="H80" s="2" cm="1">
        <f t="array" aca="1" ref="H80" ca="1">_FV(table1[[#This Row],[DataField]],"Price")</f>
        <v>109.05</v>
      </c>
      <c r="I80" s="2" cm="1">
        <f t="array" aca="1" ref="I80" ca="1">_FV(table1[[#This Row],[DataField]],"52 week low",TRUE)</f>
        <v>77.849999999999994</v>
      </c>
      <c r="J80" s="2" cm="1">
        <f t="array" aca="1" ref="J80" ca="1">_FV(table1[[#This Row],[DataField]],"52 week high",TRUE)</f>
        <v>118.32</v>
      </c>
      <c r="K80" s="4" cm="1">
        <f t="array" aca="1" ref="K80" ca="1">_FV(table1[[#This Row],[DataField]],"P/E",TRUE)</f>
        <v>11.8779</v>
      </c>
      <c r="L80" s="2" t="str">
        <f ca="1">IF(table1[[#This Row],[Price]] &lt; (table1[[#This Row],[52Low]] * 0.25) + table1[[#This Row],[52Low]],  "TRUE", "FALSE")</f>
        <v>FALSE</v>
      </c>
      <c r="M80" s="2" t="str">
        <f ca="1">IF(table1[[#This Row],[Price]] &lt; (table1[[#This Row],[52Low]] * 0.1) + table1[[#This Row],[52Low]],  "TRUE", "FALSE")</f>
        <v>FALSE</v>
      </c>
      <c r="N80" s="6" cm="1">
        <f t="array" aca="1" ref="N80" ca="1">_FV(table1[[#This Row],[DataField]],"Market cap",TRUE)</f>
        <v>23798744850</v>
      </c>
    </row>
    <row r="81" spans="1:14" x14ac:dyDescent="0.2">
      <c r="A81" t="e" vm="80">
        <v>#VALUE!</v>
      </c>
      <c r="B81" t="str" cm="1">
        <f t="array" aca="1" ref="B81" ca="1">_FV(table1[[#This Row],[DataField]],"Ticker symbol",TRUE)</f>
        <v>TSM</v>
      </c>
      <c r="H81" s="2" cm="1">
        <f t="array" aca="1" ref="H81" ca="1">_FV(table1[[#This Row],[DataField]],"Price")</f>
        <v>326.54989999999998</v>
      </c>
      <c r="I81" s="2" cm="1">
        <f t="array" aca="1" ref="I81" ca="1">_FV(table1[[#This Row],[DataField]],"52 week low",TRUE)</f>
        <v>134.25</v>
      </c>
      <c r="J81" s="2" cm="1">
        <f t="array" aca="1" ref="J81" ca="1">_FV(table1[[#This Row],[DataField]],"52 week high",TRUE)</f>
        <v>333.08</v>
      </c>
      <c r="K81" s="4" cm="1">
        <f t="array" aca="1" ref="K81" ca="1">_FV(table1[[#This Row],[DataField]],"P/E",TRUE)</f>
        <v>32.4938</v>
      </c>
      <c r="L81" s="2" t="str">
        <f ca="1">IF(table1[[#This Row],[Price]] &lt; (table1[[#This Row],[52Low]] * 0.25) + table1[[#This Row],[52Low]],  "TRUE", "FALSE")</f>
        <v>FALSE</v>
      </c>
      <c r="M81" s="2" t="str">
        <f ca="1">IF(table1[[#This Row],[Price]] &lt; (table1[[#This Row],[52Low]] * 0.1) + table1[[#This Row],[52Low]],  "TRUE", "FALSE")</f>
        <v>FALSE</v>
      </c>
      <c r="N81" s="6" cm="1">
        <f t="array" aca="1" ref="N81" ca="1">_FV(table1[[#This Row],[DataField]],"Market cap",TRUE)</f>
        <v>1381017000000</v>
      </c>
    </row>
    <row r="82" spans="1:14" x14ac:dyDescent="0.2">
      <c r="A82" t="e" vm="81">
        <v>#VALUE!</v>
      </c>
      <c r="B82" t="str" cm="1">
        <f t="array" aca="1" ref="B82" ca="1">_FV(table1[[#This Row],[DataField]],"Ticker symbol",TRUE)</f>
        <v>TSN</v>
      </c>
      <c r="C82" t="b">
        <v>1</v>
      </c>
      <c r="D82" t="s">
        <v>5</v>
      </c>
      <c r="E82" t="b">
        <v>1</v>
      </c>
      <c r="H82" s="2" cm="1">
        <f t="array" aca="1" ref="H82" ca="1">_FV(table1[[#This Row],[DataField]],"Price")</f>
        <v>56.83</v>
      </c>
      <c r="I82" s="2" cm="1">
        <f t="array" aca="1" ref="I82" ca="1">_FV(table1[[#This Row],[DataField]],"52 week low",TRUE)</f>
        <v>50.56</v>
      </c>
      <c r="J82" s="2" cm="1">
        <f t="array" aca="1" ref="J82" ca="1">_FV(table1[[#This Row],[DataField]],"52 week high",TRUE)</f>
        <v>64.36</v>
      </c>
      <c r="K82" s="4" cm="1">
        <f t="array" aca="1" ref="K82" ca="1">_FV(table1[[#This Row],[DataField]],"P/E",TRUE)</f>
        <v>42.448500000000003</v>
      </c>
      <c r="L82" s="2" t="str">
        <f ca="1">IF(table1[[#This Row],[Price]] &lt; (table1[[#This Row],[52Low]] * 0.25) + table1[[#This Row],[52Low]],  "TRUE", "FALSE")</f>
        <v>TRUE</v>
      </c>
      <c r="M82" s="2" t="str">
        <f ca="1">IF(table1[[#This Row],[Price]] &lt; (table1[[#This Row],[52Low]] * 0.1) + table1[[#This Row],[52Low]],  "TRUE", "FALSE")</f>
        <v>FALSE</v>
      </c>
      <c r="N82" s="6" cm="1">
        <f t="array" aca="1" ref="N82" ca="1">_FV(table1[[#This Row],[DataField]],"Market cap",TRUE)</f>
        <v>20064223627</v>
      </c>
    </row>
    <row r="83" spans="1:14" x14ac:dyDescent="0.2">
      <c r="A83" t="e" vm="82">
        <v>#VALUE!</v>
      </c>
      <c r="B83" t="str" cm="1">
        <f t="array" aca="1" ref="B83" ca="1">_FV(table1[[#This Row],[DataField]],"Ticker symbol",TRUE)</f>
        <v>TXN</v>
      </c>
      <c r="C83" t="b">
        <v>1</v>
      </c>
      <c r="D83" t="s">
        <v>6</v>
      </c>
      <c r="E83" t="b">
        <v>1</v>
      </c>
      <c r="H83" s="2" cm="1">
        <f t="array" aca="1" ref="H83" ca="1">_FV(table1[[#This Row],[DataField]],"Price")</f>
        <v>192.15</v>
      </c>
      <c r="I83" s="2" cm="1">
        <f t="array" aca="1" ref="I83" ca="1">_FV(table1[[#This Row],[DataField]],"52 week low",TRUE)</f>
        <v>139.94999999999999</v>
      </c>
      <c r="J83" s="2" cm="1">
        <f t="array" aca="1" ref="J83" ca="1">_FV(table1[[#This Row],[DataField]],"52 week high",TRUE)</f>
        <v>221.69</v>
      </c>
      <c r="K83" s="4" cm="1">
        <f t="array" aca="1" ref="K83" ca="1">_FV(table1[[#This Row],[DataField]],"P/E",TRUE)</f>
        <v>35.063200000000002</v>
      </c>
      <c r="L83" s="2" t="str">
        <f ca="1">IF(table1[[#This Row],[Price]] &lt; (table1[[#This Row],[52Low]] * 0.25) + table1[[#This Row],[52Low]],  "TRUE", "FALSE")</f>
        <v>FALSE</v>
      </c>
      <c r="M83" s="2" t="str">
        <f ca="1">IF(table1[[#This Row],[Price]] &lt; (table1[[#This Row],[52Low]] * 0.1) + table1[[#This Row],[52Low]],  "TRUE", "FALSE")</f>
        <v>FALSE</v>
      </c>
      <c r="N83" s="6" cm="1">
        <f t="array" aca="1" ref="N83" ca="1">_FV(table1[[#This Row],[DataField]],"Market cap",TRUE)</f>
        <v>174591909450</v>
      </c>
    </row>
    <row r="84" spans="1:14" x14ac:dyDescent="0.2">
      <c r="A84" t="e" vm="83">
        <v>#VALUE!</v>
      </c>
      <c r="B84" t="str" cm="1">
        <f t="array" aca="1" ref="B84" ca="1">_FV(table1[[#This Row],[DataField]],"Ticker symbol",TRUE)</f>
        <v>UNH</v>
      </c>
      <c r="H84" s="2" cm="1">
        <f t="array" aca="1" ref="H84" ca="1">_FV(table1[[#This Row],[DataField]],"Price")</f>
        <v>299.7</v>
      </c>
      <c r="I84" s="2" cm="1">
        <f t="array" aca="1" ref="I84" ca="1">_FV(table1[[#This Row],[DataField]],"52 week low",TRUE)</f>
        <v>168.42</v>
      </c>
      <c r="J84" s="2" cm="1">
        <f t="array" aca="1" ref="J84" ca="1">_FV(table1[[#This Row],[DataField]],"52 week high",TRUE)</f>
        <v>589.70000000000005</v>
      </c>
      <c r="K84" s="4" cm="1">
        <f t="array" aca="1" ref="K84" ca="1">_FV(table1[[#This Row],[DataField]],"P/E",TRUE)</f>
        <v>18.3415</v>
      </c>
      <c r="L84" s="2" t="str">
        <f ca="1">IF(table1[[#This Row],[Price]] &lt; (table1[[#This Row],[52Low]] * 0.25) + table1[[#This Row],[52Low]],  "TRUE", "FALSE")</f>
        <v>FALSE</v>
      </c>
      <c r="M84" s="2" t="str">
        <f ca="1">IF(table1[[#This Row],[Price]] &lt; (table1[[#This Row],[52Low]] * 0.1) + table1[[#This Row],[52Low]],  "TRUE", "FALSE")</f>
        <v>FALSE</v>
      </c>
      <c r="N84" s="6" cm="1">
        <f t="array" aca="1" ref="N84" ca="1">_FV(table1[[#This Row],[DataField]],"Market cap",TRUE)</f>
        <v>309814900000</v>
      </c>
    </row>
    <row r="85" spans="1:14" x14ac:dyDescent="0.2">
      <c r="A85" t="e" vm="84">
        <v>#VALUE!</v>
      </c>
      <c r="B85" t="str" cm="1">
        <f t="array" aca="1" ref="B85" ca="1">_FV(table1[[#This Row],[DataField]],"Ticker symbol",TRUE)</f>
        <v>UNP</v>
      </c>
      <c r="H85" s="2" cm="1">
        <f t="array" aca="1" ref="H85" ca="1">_FV(table1[[#This Row],[DataField]],"Price")</f>
        <v>233.07499999999999</v>
      </c>
      <c r="I85" s="2" cm="1">
        <f t="array" aca="1" ref="I85" ca="1">_FV(table1[[#This Row],[DataField]],"52 week low",TRUE)</f>
        <v>204.66</v>
      </c>
      <c r="J85" s="2" cm="1">
        <f t="array" aca="1" ref="J85" ca="1">_FV(table1[[#This Row],[DataField]],"52 week high",TRUE)</f>
        <v>256.83999999999997</v>
      </c>
      <c r="K85" s="4" cm="1">
        <f t="array" aca="1" ref="K85" ca="1">_FV(table1[[#This Row],[DataField]],"P/E",TRUE)</f>
        <v>19.784600000000001</v>
      </c>
      <c r="L85" s="2" t="str">
        <f ca="1">IF(table1[[#This Row],[Price]] &lt; (table1[[#This Row],[52Low]] * 0.25) + table1[[#This Row],[52Low]],  "TRUE", "FALSE")</f>
        <v>TRUE</v>
      </c>
      <c r="M85" s="2" t="str">
        <f ca="1">IF(table1[[#This Row],[Price]] &lt; (table1[[#This Row],[52Low]] * 0.1) + table1[[#This Row],[52Low]],  "TRUE", "FALSE")</f>
        <v>FALSE</v>
      </c>
      <c r="N85" s="6" cm="1">
        <f t="array" aca="1" ref="N85" ca="1">_FV(table1[[#This Row],[DataField]],"Market cap",TRUE)</f>
        <v>138250976767</v>
      </c>
    </row>
    <row r="86" spans="1:14" x14ac:dyDescent="0.2">
      <c r="A86" t="e" vm="85">
        <v>#VALUE!</v>
      </c>
      <c r="B86" t="str" cm="1">
        <f t="array" aca="1" ref="B86" ca="1">_FV(table1[[#This Row],[DataField]],"Ticker symbol",TRUE)</f>
        <v>UPS</v>
      </c>
      <c r="C86" t="b">
        <v>1</v>
      </c>
      <c r="D86" t="s">
        <v>12</v>
      </c>
      <c r="E86" t="b">
        <v>1</v>
      </c>
      <c r="H86" s="2" cm="1">
        <f t="array" aca="1" ref="H86" ca="1">_FV(table1[[#This Row],[DataField]],"Price")</f>
        <v>104.26</v>
      </c>
      <c r="I86" s="2" cm="1">
        <f t="array" aca="1" ref="I86" ca="1">_FV(table1[[#This Row],[DataField]],"52 week low",TRUE)</f>
        <v>82</v>
      </c>
      <c r="J86" s="2" cm="1">
        <f t="array" aca="1" ref="J86" ca="1">_FV(table1[[#This Row],[DataField]],"52 week high",TRUE)</f>
        <v>136.99</v>
      </c>
      <c r="K86" s="4" cm="1">
        <f t="array" aca="1" ref="K86" ca="1">_FV(table1[[#This Row],[DataField]],"P/E",TRUE)</f>
        <v>16.1111</v>
      </c>
      <c r="L86" s="2" t="str">
        <f ca="1">IF(table1[[#This Row],[Price]] &lt; (table1[[#This Row],[52Low]] * 0.25) + table1[[#This Row],[52Low]],  "TRUE", "FALSE")</f>
        <v>FALSE</v>
      </c>
      <c r="M86" s="2" t="str">
        <f ca="1">IF(table1[[#This Row],[Price]] &lt; (table1[[#This Row],[52Low]] * 0.1) + table1[[#This Row],[52Low]],  "TRUE", "FALSE")</f>
        <v>FALSE</v>
      </c>
      <c r="N86" s="6" cm="1">
        <f t="array" aca="1" ref="N86" ca="1">_FV(table1[[#This Row],[DataField]],"Market cap",TRUE)</f>
        <v>88452682656</v>
      </c>
    </row>
    <row r="87" spans="1:14" x14ac:dyDescent="0.2">
      <c r="A87" t="e" vm="86">
        <v>#VALUE!</v>
      </c>
      <c r="B87" t="str" cm="1">
        <f t="array" aca="1" ref="B87" ca="1">_FV(table1[[#This Row],[DataField]],"Ticker symbol",TRUE)</f>
        <v>V</v>
      </c>
      <c r="H87" s="2" cm="1">
        <f t="array" aca="1" ref="H87" ca="1">_FV(table1[[#This Row],[DataField]],"Price")</f>
        <v>357.32</v>
      </c>
      <c r="I87" s="2" cm="1">
        <f t="array" aca="1" ref="I87" ca="1">_FV(table1[[#This Row],[DataField]],"52 week low",TRUE)</f>
        <v>299</v>
      </c>
      <c r="J87" s="2" cm="1">
        <f t="array" aca="1" ref="J87" ca="1">_FV(table1[[#This Row],[DataField]],"52 week high",TRUE)</f>
        <v>375.51</v>
      </c>
      <c r="K87" s="4" cm="1">
        <f t="array" aca="1" ref="K87" ca="1">_FV(table1[[#This Row],[DataField]],"P/E",TRUE)</f>
        <v>35.007300000000001</v>
      </c>
      <c r="L87" s="2" t="str">
        <f ca="1">IF(table1[[#This Row],[Price]] &lt; (table1[[#This Row],[52Low]] * 0.25) + table1[[#This Row],[52Low]],  "TRUE", "FALSE")</f>
        <v>TRUE</v>
      </c>
      <c r="M87" s="2" t="str">
        <f ca="1">IF(table1[[#This Row],[Price]] &lt; (table1[[#This Row],[52Low]] * 0.1) + table1[[#This Row],[52Low]],  "TRUE", "FALSE")</f>
        <v>FALSE</v>
      </c>
      <c r="N87" s="6" cm="1">
        <f t="array" aca="1" ref="N87" ca="1">_FV(table1[[#This Row],[DataField]],"Market cap",TRUE)</f>
        <v>683280882160</v>
      </c>
    </row>
    <row r="88" spans="1:14" x14ac:dyDescent="0.2">
      <c r="A88" t="e" vm="87">
        <v>#VALUE!</v>
      </c>
      <c r="B88" t="str" cm="1">
        <f t="array" aca="1" ref="B88" ca="1">_FV(table1[[#This Row],[DataField]],"Ticker symbol",TRUE)</f>
        <v>VZ</v>
      </c>
      <c r="C88" t="b">
        <v>1</v>
      </c>
      <c r="D88" t="s">
        <v>10</v>
      </c>
      <c r="E88" t="b">
        <v>1</v>
      </c>
      <c r="H88" s="2" cm="1">
        <f t="array" aca="1" ref="H88" ca="1">_FV(table1[[#This Row],[DataField]],"Price")</f>
        <v>40.055</v>
      </c>
      <c r="I88" s="2" cm="1">
        <f t="array" aca="1" ref="I88" ca="1">_FV(table1[[#This Row],[DataField]],"52 week low",TRUE)</f>
        <v>37.585000000000001</v>
      </c>
      <c r="J88" s="2" cm="1">
        <f t="array" aca="1" ref="J88" ca="1">_FV(table1[[#This Row],[DataField]],"52 week high",TRUE)</f>
        <v>47.354999999999997</v>
      </c>
      <c r="K88" s="4" cm="1">
        <f t="array" aca="1" ref="K88" ca="1">_FV(table1[[#This Row],[DataField]],"P/E",TRUE)</f>
        <v>8.5391999999999992</v>
      </c>
      <c r="L88" s="2" t="str">
        <f ca="1">IF(table1[[#This Row],[Price]] &lt; (table1[[#This Row],[52Low]] * 0.25) + table1[[#This Row],[52Low]],  "TRUE", "FALSE")</f>
        <v>TRUE</v>
      </c>
      <c r="M88" s="2" t="str">
        <f ca="1">IF(table1[[#This Row],[Price]] &lt; (table1[[#This Row],[52Low]] * 0.1) + table1[[#This Row],[52Low]],  "TRUE", "FALSE")</f>
        <v>TRUE</v>
      </c>
      <c r="N88" s="6" cm="1">
        <f t="array" aca="1" ref="N88" ca="1">_FV(table1[[#This Row],[DataField]],"Market cap",TRUE)</f>
        <v>168888903375</v>
      </c>
    </row>
    <row r="89" spans="1:14" ht="18" customHeight="1" x14ac:dyDescent="0.2">
      <c r="A89" t="e" vm="88">
        <v>#VALUE!</v>
      </c>
      <c r="B89" t="str" cm="1">
        <f t="array" aca="1" ref="B89" ca="1">_FV(table1[[#This Row],[DataField]],"Ticker symbol",TRUE)</f>
        <v>WMT</v>
      </c>
      <c r="H89" s="2" cm="1">
        <f t="array" aca="1" ref="H89" ca="1">_FV(table1[[#This Row],[DataField]],"Price")</f>
        <v>113.36499999999999</v>
      </c>
      <c r="I89" s="2" cm="1">
        <f t="array" aca="1" ref="I89" ca="1">_FV(table1[[#This Row],[DataField]],"52 week low",TRUE)</f>
        <v>79.81</v>
      </c>
      <c r="J89" s="2" cm="1">
        <f t="array" aca="1" ref="J89" ca="1">_FV(table1[[#This Row],[DataField]],"52 week high",TRUE)</f>
        <v>117.45</v>
      </c>
      <c r="K89" s="4" cm="1">
        <f t="array" aca="1" ref="K89" ca="1">_FV(table1[[#This Row],[DataField]],"P/E",TRUE)</f>
        <v>39.761800000000001</v>
      </c>
      <c r="L89" s="2" t="str">
        <f ca="1">IF(table1[[#This Row],[Price]] &lt; (table1[[#This Row],[52Low]] * 0.25) + table1[[#This Row],[52Low]],  "TRUE", "FALSE")</f>
        <v>FALSE</v>
      </c>
      <c r="M89" s="2" t="str">
        <f ca="1">IF(table1[[#This Row],[Price]] &lt; (table1[[#This Row],[52Low]] * 0.1) + table1[[#This Row],[52Low]],  "TRUE", "FALSE")</f>
        <v>FALSE</v>
      </c>
      <c r="N89" s="6" cm="1">
        <f t="array" aca="1" ref="N89" ca="1">_FV(table1[[#This Row],[DataField]],"Market cap",TRUE)</f>
        <v>903537981955</v>
      </c>
    </row>
    <row r="90" spans="1:14" x14ac:dyDescent="0.2">
      <c r="A90" t="e" vm="89">
        <v>#VALUE!</v>
      </c>
      <c r="B90" t="str" cm="1">
        <f t="array" aca="1" ref="B90" ca="1">_FV(table1[[#This Row],[DataField]],"Ticker symbol",TRUE)</f>
        <v>XOM</v>
      </c>
      <c r="H90" s="2" cm="1">
        <f t="array" aca="1" ref="H90" ca="1">_FV(table1[[#This Row],[DataField]],"Price")</f>
        <v>123.1356</v>
      </c>
      <c r="I90" s="2" cm="1">
        <f t="array" aca="1" ref="I90" ca="1">_FV(table1[[#This Row],[DataField]],"52 week low",TRUE)</f>
        <v>97.8</v>
      </c>
      <c r="J90" s="2" cm="1">
        <f t="array" aca="1" ref="J90" ca="1">_FV(table1[[#This Row],[DataField]],"52 week high",TRUE)</f>
        <v>125.93</v>
      </c>
      <c r="K90" s="4" cm="1">
        <f t="array" aca="1" ref="K90" ca="1">_FV(table1[[#This Row],[DataField]],"P/E",TRUE)</f>
        <v>17.8992</v>
      </c>
      <c r="L90" s="2" t="str">
        <f ca="1">IF(table1[[#This Row],[Price]] &lt; (table1[[#This Row],[52Low]] * 0.25) + table1[[#This Row],[52Low]],  "TRUE", "FALSE")</f>
        <v>FALSE</v>
      </c>
      <c r="M90" s="2" t="str">
        <f ca="1">IF(table1[[#This Row],[Price]] &lt; (table1[[#This Row],[52Low]] * 0.1) + table1[[#This Row],[52Low]],  "TRUE", "FALSE")</f>
        <v>FALSE</v>
      </c>
      <c r="N90" s="6" cm="1">
        <f t="array" aca="1" ref="N90" ca="1">_FV(table1[[#This Row],[DataField]],"Market cap",TRUE)</f>
        <v>519283265709</v>
      </c>
    </row>
    <row r="91" spans="1:14" x14ac:dyDescent="0.2">
      <c r="A91" t="e" vm="90">
        <v>#VALUE!</v>
      </c>
      <c r="B91" t="str" cm="1">
        <f t="array" aca="1" ref="B91" ca="1">_FV(table1[[#This Row],[DataField]],"Ticker symbol",TRUE)</f>
        <v>ZTS</v>
      </c>
      <c r="H91" s="2" cm="1">
        <f t="array" aca="1" ref="H91" ca="1">_FV(table1[[#This Row],[DataField]],"Price")</f>
        <v>129.70500000000001</v>
      </c>
      <c r="I91" s="2" cm="1">
        <f t="array" aca="1" ref="I91" ca="1">_FV(table1[[#This Row],[DataField]],"52 week low",TRUE)</f>
        <v>115.25</v>
      </c>
      <c r="J91" s="2" cm="1">
        <f t="array" aca="1" ref="J91" ca="1">_FV(table1[[#This Row],[DataField]],"52 week high",TRUE)</f>
        <v>177.4</v>
      </c>
      <c r="K91" s="4" cm="1">
        <f t="array" aca="1" ref="K91" ca="1">_FV(table1[[#This Row],[DataField]],"P/E",TRUE)</f>
        <v>21.854299999999999</v>
      </c>
      <c r="L91" s="2" t="str">
        <f ca="1">IF(table1[[#This Row],[Price]] &lt; (table1[[#This Row],[52Low]] * 0.25) + table1[[#This Row],[52Low]],  "TRUE", "FALSE")</f>
        <v>TRUE</v>
      </c>
      <c r="M91" s="2" t="str">
        <f ca="1">IF(table1[[#This Row],[Price]] &lt; (table1[[#This Row],[52Low]] * 0.1) + table1[[#This Row],[52Low]],  "TRUE", "FALSE")</f>
        <v>FALSE</v>
      </c>
      <c r="N91" s="6" cm="1">
        <f t="array" aca="1" ref="N91" ca="1">_FV(table1[[#This Row],[DataField]],"Market cap",TRUE)</f>
        <v>57160111506</v>
      </c>
    </row>
    <row r="92" spans="1:14" x14ac:dyDescent="0.2">
      <c r="A92" t="e" vm="91">
        <v>#VALUE!</v>
      </c>
      <c r="B92" t="str" cm="1">
        <f t="array" aca="1" ref="B92" ca="1">_FV(table1[[#This Row],[DataField]],"Ticker symbol",TRUE)</f>
        <v>DLR</v>
      </c>
      <c r="H92" s="2" cm="1">
        <f t="array" aca="1" ref="H92" ca="1">_FV(table1[[#This Row],[DataField]],"Price")</f>
        <v>157.5</v>
      </c>
      <c r="I92" s="2" cm="1">
        <f t="array" aca="1" ref="I92" ca="1">_FV(table1[[#This Row],[DataField]],"52 week low",TRUE)</f>
        <v>129.94999999999999</v>
      </c>
      <c r="J92" s="2" cm="1">
        <f t="array" aca="1" ref="J92" ca="1">_FV(table1[[#This Row],[DataField]],"52 week high",TRUE)</f>
        <v>187.74</v>
      </c>
      <c r="K92" s="4" cm="1">
        <f t="array" aca="1" ref="K92" ca="1">_FV(table1[[#This Row],[DataField]],"P/E",TRUE)</f>
        <v>40.803100000000001</v>
      </c>
      <c r="L92" s="2" t="str">
        <f ca="1">IF(table1[[#This Row],[Price]] &lt; (table1[[#This Row],[52Low]] * 0.25) + table1[[#This Row],[52Low]],  "TRUE", "FALSE")</f>
        <v>TRUE</v>
      </c>
      <c r="M92" s="2" t="str">
        <f ca="1">IF(table1[[#This Row],[Price]] &lt; (table1[[#This Row],[52Low]] * 0.1) + table1[[#This Row],[52Low]],  "TRUE", "FALSE")</f>
        <v>FALSE</v>
      </c>
      <c r="N92" s="6" cm="1">
        <f t="array" aca="1" ref="N92" ca="1">_FV(table1[[#This Row],[DataField]],"Market cap",TRUE)</f>
        <v>54101502000</v>
      </c>
    </row>
    <row r="93" spans="1:14" x14ac:dyDescent="0.2">
      <c r="A93" t="e" vm="92">
        <v>#VALUE!</v>
      </c>
      <c r="B93" t="str" cm="1">
        <f t="array" aca="1" ref="B93" ca="1">_FV(table1[[#This Row],[DataField]],"Ticker symbol",TRUE)</f>
        <v>EQIX</v>
      </c>
      <c r="H93" s="2" cm="1">
        <f t="array" aca="1" ref="H93" ca="1">_FV(table1[[#This Row],[DataField]],"Price")</f>
        <v>789.02499999999998</v>
      </c>
      <c r="I93" s="2" cm="1">
        <f t="array" aca="1" ref="I93" ca="1">_FV(table1[[#This Row],[DataField]],"52 week low",TRUE)</f>
        <v>701.41</v>
      </c>
      <c r="J93" s="2" cm="1">
        <f t="array" aca="1" ref="J93" ca="1">_FV(table1[[#This Row],[DataField]],"52 week high",TRUE)</f>
        <v>964.73</v>
      </c>
      <c r="K93" s="4" cm="1">
        <f t="array" aca="1" ref="K93" ca="1">_FV(table1[[#This Row],[DataField]],"P/E",TRUE)</f>
        <v>72.240499999999997</v>
      </c>
      <c r="L93" s="2" t="str">
        <f ca="1">IF(table1[[#This Row],[Price]] &lt; (table1[[#This Row],[52Low]] * 0.25) + table1[[#This Row],[52Low]],  "TRUE", "FALSE")</f>
        <v>TRUE</v>
      </c>
      <c r="M93" s="2" t="str">
        <f ca="1">IF(table1[[#This Row],[Price]] &lt; (table1[[#This Row],[52Low]] * 0.1) + table1[[#This Row],[52Low]],  "TRUE", "FALSE")</f>
        <v>FALSE</v>
      </c>
      <c r="N93" s="6" cm="1">
        <f t="array" aca="1" ref="N93" ca="1">_FV(table1[[#This Row],[DataField]],"Market cap",TRUE)</f>
        <v>77471271772</v>
      </c>
    </row>
    <row r="94" spans="1:14" x14ac:dyDescent="0.2">
      <c r="A94" t="e" vm="93">
        <v>#VALUE!</v>
      </c>
      <c r="B94" t="str" cm="1">
        <f t="array" aca="1" ref="B94" ca="1">_FV(table1[[#This Row],[DataField]],"Ticker symbol",TRUE)</f>
        <v>IRM</v>
      </c>
      <c r="H94" s="2" cm="1">
        <f t="array" aca="1" ref="H94" ca="1">_FV(table1[[#This Row],[DataField]],"Price")</f>
        <v>85.26</v>
      </c>
      <c r="I94" s="2" cm="1">
        <f t="array" aca="1" ref="I94" ca="1">_FV(table1[[#This Row],[DataField]],"52 week low",TRUE)</f>
        <v>72.33</v>
      </c>
      <c r="J94" s="2" cm="1">
        <f t="array" aca="1" ref="J94" ca="1">_FV(table1[[#This Row],[DataField]],"52 week high",TRUE)</f>
        <v>112.18</v>
      </c>
      <c r="K94" s="4" cm="1">
        <f t="array" aca="1" ref="K94" ca="1">_FV(table1[[#This Row],[DataField]],"P/E",TRUE)</f>
        <v>159.63300000000001</v>
      </c>
      <c r="L94" s="2" t="str">
        <f ca="1">IF(table1[[#This Row],[Price]] &lt; (table1[[#This Row],[52Low]] * 0.25) + table1[[#This Row],[52Low]],  "TRUE", "FALSE")</f>
        <v>TRUE</v>
      </c>
      <c r="M94" s="2" t="str">
        <f ca="1">IF(table1[[#This Row],[Price]] &lt; (table1[[#This Row],[52Low]] * 0.1) + table1[[#This Row],[52Low]],  "TRUE", "FALSE")</f>
        <v>FALSE</v>
      </c>
      <c r="N94" s="6" cm="1">
        <f t="array" aca="1" ref="N94" ca="1">_FV(table1[[#This Row],[DataField]],"Market cap",TRUE)</f>
        <v>25201960770</v>
      </c>
    </row>
  </sheetData>
  <phoneticPr fontId="2" type="noConversion"/>
  <conditionalFormatting sqref="B1:B1048576">
    <cfRule type="duplicateValues" dxfId="1" priority="1"/>
  </conditionalFormatting>
  <conditionalFormatting sqref="L1:M94 N95:N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2026-01-06T17:36:15Z</dcterms:modified>
</cp:coreProperties>
</file>