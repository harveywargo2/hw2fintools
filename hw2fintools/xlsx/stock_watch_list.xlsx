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9CB11D27-3199-A24B-9BE6-B84BC219662F}"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2" i="1" l="1" a="1"/>
  <c r="B102" i="1" s="1"/>
  <c r="H102" i="1" a="1"/>
  <c r="H102" i="1" s="1"/>
  <c r="I102" i="1" a="1"/>
  <c r="I102" i="1" s="1"/>
  <c r="J102" i="1" a="1"/>
  <c r="J102" i="1" s="1"/>
  <c r="K102" i="1" a="1"/>
  <c r="K102" i="1" s="1"/>
  <c r="N102" i="1" a="1"/>
  <c r="N102" i="1" s="1"/>
  <c r="B97" i="1" a="1"/>
  <c r="B97" i="1" s="1"/>
  <c r="H97" i="1" a="1"/>
  <c r="H97" i="1" s="1"/>
  <c r="I97" i="1" a="1"/>
  <c r="I97" i="1" s="1"/>
  <c r="J97" i="1" a="1"/>
  <c r="J97" i="1" s="1"/>
  <c r="K97" i="1" a="1"/>
  <c r="K97" i="1" s="1"/>
  <c r="N97" i="1" a="1"/>
  <c r="N97" i="1" s="1"/>
  <c r="B49" i="1" a="1"/>
  <c r="B49" i="1" s="1"/>
  <c r="H49" i="1" a="1"/>
  <c r="H49" i="1" s="1"/>
  <c r="I49" i="1" a="1"/>
  <c r="I49" i="1" s="1"/>
  <c r="J49" i="1" a="1"/>
  <c r="J49" i="1" s="1"/>
  <c r="K49" i="1" a="1"/>
  <c r="K49" i="1" s="1"/>
  <c r="N49" i="1" a="1"/>
  <c r="N49" i="1" s="1"/>
  <c r="B60" i="1" a="1"/>
  <c r="B60" i="1" s="1"/>
  <c r="H60" i="1" a="1"/>
  <c r="H60" i="1" s="1"/>
  <c r="I60" i="1" a="1"/>
  <c r="I60" i="1" s="1"/>
  <c r="J60" i="1" a="1"/>
  <c r="J60" i="1" s="1"/>
  <c r="K60" i="1" a="1"/>
  <c r="K60" i="1" s="1"/>
  <c r="N60" i="1" a="1"/>
  <c r="N60" i="1" s="1"/>
  <c r="B76" i="1" a="1"/>
  <c r="B76" i="1" s="1"/>
  <c r="H76" i="1" a="1"/>
  <c r="H76" i="1" s="1"/>
  <c r="I76" i="1" a="1"/>
  <c r="I76" i="1" s="1"/>
  <c r="J76" i="1" a="1"/>
  <c r="J76" i="1" s="1"/>
  <c r="K76" i="1" a="1"/>
  <c r="K76" i="1" s="1"/>
  <c r="N76" i="1" a="1"/>
  <c r="N76" i="1" s="1"/>
  <c r="B75" i="1" a="1"/>
  <c r="B75" i="1" s="1"/>
  <c r="H75" i="1" a="1"/>
  <c r="H75" i="1" s="1"/>
  <c r="I75" i="1" a="1"/>
  <c r="I75" i="1" s="1"/>
  <c r="J75" i="1" a="1"/>
  <c r="J75" i="1" s="1"/>
  <c r="K75" i="1" a="1"/>
  <c r="K75" i="1" s="1"/>
  <c r="N75" i="1" a="1"/>
  <c r="N75" i="1" s="1"/>
  <c r="B78" i="1" a="1"/>
  <c r="B78" i="1" s="1"/>
  <c r="H78" i="1" a="1"/>
  <c r="H78" i="1" s="1"/>
  <c r="I78" i="1" a="1"/>
  <c r="I78" i="1" s="1"/>
  <c r="J78" i="1" a="1"/>
  <c r="J78" i="1" s="1"/>
  <c r="K78" i="1" a="1"/>
  <c r="K78" i="1" s="1"/>
  <c r="N78" i="1" a="1"/>
  <c r="N78" i="1" s="1"/>
  <c r="B89" i="1" a="1"/>
  <c r="B89" i="1" s="1"/>
  <c r="H89" i="1" a="1"/>
  <c r="H89" i="1" s="1"/>
  <c r="I89" i="1" a="1"/>
  <c r="I89" i="1" s="1"/>
  <c r="J89" i="1" a="1"/>
  <c r="J89" i="1" s="1"/>
  <c r="K89" i="1" a="1"/>
  <c r="K89" i="1" s="1"/>
  <c r="N89" i="1" a="1"/>
  <c r="N89" i="1" s="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1" i="1" a="1"/>
  <c r="K31" i="1" s="1"/>
  <c r="K32" i="1" a="1"/>
  <c r="K32" i="1" s="1"/>
  <c r="K33" i="1" a="1"/>
  <c r="K33" i="1" s="1"/>
  <c r="K34" i="1" a="1"/>
  <c r="K34" i="1" s="1"/>
  <c r="K35" i="1" a="1"/>
  <c r="K35"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50" i="1" a="1"/>
  <c r="K50" i="1" s="1"/>
  <c r="K51" i="1" a="1"/>
  <c r="K51" i="1" s="1"/>
  <c r="K52" i="1" a="1"/>
  <c r="K52" i="1" s="1"/>
  <c r="K53" i="1" a="1"/>
  <c r="K53" i="1" s="1"/>
  <c r="K54" i="1" a="1"/>
  <c r="K54" i="1" s="1"/>
  <c r="K55" i="1" a="1"/>
  <c r="K55" i="1" s="1"/>
  <c r="K56" i="1" a="1"/>
  <c r="K56" i="1" s="1"/>
  <c r="K57" i="1" a="1"/>
  <c r="K57" i="1" s="1"/>
  <c r="K58" i="1" a="1"/>
  <c r="K58" i="1" s="1"/>
  <c r="K59" i="1" a="1"/>
  <c r="K59"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7" i="1" a="1"/>
  <c r="K77" i="1" s="1"/>
  <c r="K79" i="1" a="1"/>
  <c r="K79" i="1" s="1"/>
  <c r="K80" i="1" a="1"/>
  <c r="K80" i="1" s="1"/>
  <c r="K81" i="1" a="1"/>
  <c r="K81" i="1" s="1"/>
  <c r="K82" i="1" a="1"/>
  <c r="K82" i="1" s="1"/>
  <c r="K83" i="1" a="1"/>
  <c r="K83" i="1" s="1"/>
  <c r="K84" i="1" a="1"/>
  <c r="K84" i="1" s="1"/>
  <c r="K85" i="1" a="1"/>
  <c r="K85" i="1" s="1"/>
  <c r="K86" i="1" a="1"/>
  <c r="K86" i="1" s="1"/>
  <c r="K87" i="1" a="1"/>
  <c r="K87" i="1" s="1"/>
  <c r="K88" i="1" a="1"/>
  <c r="K88" i="1" s="1"/>
  <c r="K90" i="1" a="1"/>
  <c r="K90" i="1" s="1"/>
  <c r="K91" i="1" a="1"/>
  <c r="K91" i="1" s="1"/>
  <c r="K92" i="1" a="1"/>
  <c r="K92" i="1" s="1"/>
  <c r="K93" i="1" a="1"/>
  <c r="K93" i="1" s="1"/>
  <c r="K94" i="1" a="1"/>
  <c r="K94" i="1" s="1"/>
  <c r="K95" i="1" a="1"/>
  <c r="K95" i="1" s="1"/>
  <c r="K96" i="1" a="1"/>
  <c r="K96" i="1" s="1"/>
  <c r="K98" i="1" a="1"/>
  <c r="K98" i="1" s="1"/>
  <c r="K99" i="1" a="1"/>
  <c r="K99" i="1" s="1"/>
  <c r="K100" i="1" a="1"/>
  <c r="K100" i="1" s="1"/>
  <c r="K101" i="1" a="1"/>
  <c r="K101" i="1" s="1"/>
  <c r="K30" i="1" a="1"/>
  <c r="K30" i="1" s="1"/>
  <c r="K36" i="1" a="1"/>
  <c r="K36" i="1" s="1"/>
  <c r="K48" i="1" a="1"/>
  <c r="K48" i="1" s="1"/>
  <c r="K2" i="1" a="1"/>
  <c r="K2" i="1" s="1"/>
  <c r="B48" i="1" a="1"/>
  <c r="B48" i="1" s="1"/>
  <c r="H48" i="1" a="1"/>
  <c r="H48" i="1" s="1"/>
  <c r="I48" i="1" a="1"/>
  <c r="I48" i="1" s="1"/>
  <c r="J48" i="1" a="1"/>
  <c r="J48" i="1" s="1"/>
  <c r="N48" i="1" a="1"/>
  <c r="N48" i="1" s="1"/>
  <c r="B36" i="1" a="1"/>
  <c r="B36" i="1" s="1"/>
  <c r="H36" i="1" a="1"/>
  <c r="H36" i="1" s="1"/>
  <c r="I36" i="1" a="1"/>
  <c r="I36" i="1" s="1"/>
  <c r="J36" i="1" a="1"/>
  <c r="J36" i="1" s="1"/>
  <c r="N36" i="1" a="1"/>
  <c r="N36" i="1" s="1"/>
  <c r="B30" i="1" a="1"/>
  <c r="B30" i="1" s="1"/>
  <c r="H30" i="1" a="1"/>
  <c r="H30" i="1" s="1"/>
  <c r="I30" i="1" a="1"/>
  <c r="I30" i="1" s="1"/>
  <c r="J30" i="1" a="1"/>
  <c r="J30" i="1" s="1"/>
  <c r="N30" i="1" a="1"/>
  <c r="N30" i="1" s="1"/>
  <c r="B99" i="1" a="1"/>
  <c r="B99" i="1" s="1"/>
  <c r="H99" i="1" a="1"/>
  <c r="H99" i="1" s="1"/>
  <c r="I99" i="1" a="1"/>
  <c r="I99" i="1" s="1"/>
  <c r="J99" i="1" a="1"/>
  <c r="J99" i="1" s="1"/>
  <c r="N99" i="1" a="1"/>
  <c r="N99" i="1" s="1"/>
  <c r="B74" i="1" a="1"/>
  <c r="B74" i="1" s="1"/>
  <c r="H74" i="1" a="1"/>
  <c r="H74" i="1" s="1"/>
  <c r="I74" i="1" a="1"/>
  <c r="I74" i="1" s="1"/>
  <c r="J74" i="1" a="1"/>
  <c r="J74" i="1" s="1"/>
  <c r="N74" i="1" a="1"/>
  <c r="N74" i="1" s="1"/>
  <c r="B18" i="1" a="1"/>
  <c r="B18" i="1" s="1"/>
  <c r="H18" i="1" a="1"/>
  <c r="H18" i="1" s="1"/>
  <c r="I18" i="1" a="1"/>
  <c r="I18" i="1" s="1"/>
  <c r="J18" i="1" a="1"/>
  <c r="J18" i="1" s="1"/>
  <c r="N18" i="1" a="1"/>
  <c r="N18" i="1" s="1"/>
  <c r="B7" i="1" a="1"/>
  <c r="B7" i="1" s="1"/>
  <c r="H7" i="1" a="1"/>
  <c r="H7" i="1" s="1"/>
  <c r="I7" i="1" a="1"/>
  <c r="I7" i="1" s="1"/>
  <c r="J7" i="1" a="1"/>
  <c r="J7" i="1" s="1"/>
  <c r="N7" i="1" a="1"/>
  <c r="N7" i="1" s="1"/>
  <c r="B90" i="1" a="1"/>
  <c r="B90" i="1" s="1"/>
  <c r="H90" i="1" a="1"/>
  <c r="H90" i="1" s="1"/>
  <c r="I90" i="1" a="1"/>
  <c r="I90" i="1" s="1"/>
  <c r="J90" i="1" a="1"/>
  <c r="J90" i="1" s="1"/>
  <c r="N90" i="1" a="1"/>
  <c r="N90" i="1" s="1"/>
  <c r="B85" i="1" a="1"/>
  <c r="B85" i="1" s="1"/>
  <c r="H85" i="1" a="1"/>
  <c r="H85" i="1" s="1"/>
  <c r="I85" i="1" a="1"/>
  <c r="I85" i="1" s="1"/>
  <c r="J85" i="1" a="1"/>
  <c r="J85" i="1" s="1"/>
  <c r="N85" i="1" a="1"/>
  <c r="N85" i="1" s="1"/>
  <c r="B12" i="1" a="1"/>
  <c r="B12" i="1" s="1"/>
  <c r="H12" i="1" a="1"/>
  <c r="H12" i="1" s="1"/>
  <c r="I12" i="1" a="1"/>
  <c r="I12" i="1" s="1"/>
  <c r="J12" i="1" a="1"/>
  <c r="J12" i="1" s="1"/>
  <c r="N12" i="1" a="1"/>
  <c r="N12" i="1" s="1"/>
  <c r="B61" i="1" a="1"/>
  <c r="B61" i="1" s="1"/>
  <c r="H61" i="1" a="1"/>
  <c r="H61" i="1" s="1"/>
  <c r="I61" i="1" a="1"/>
  <c r="I61" i="1" s="1"/>
  <c r="J61" i="1" a="1"/>
  <c r="J61" i="1" s="1"/>
  <c r="N61" i="1" a="1"/>
  <c r="N61" i="1" s="1"/>
  <c r="B101" i="1" a="1"/>
  <c r="B101" i="1" s="1"/>
  <c r="H101" i="1" a="1"/>
  <c r="H101" i="1" s="1"/>
  <c r="I101" i="1" a="1"/>
  <c r="I101" i="1" s="1"/>
  <c r="J101" i="1" a="1"/>
  <c r="J101" i="1" s="1"/>
  <c r="N101" i="1" a="1"/>
  <c r="N101" i="1" s="1"/>
  <c r="B67" i="1" a="1"/>
  <c r="B67" i="1" s="1"/>
  <c r="H67" i="1" a="1"/>
  <c r="H67" i="1" s="1"/>
  <c r="I67" i="1" a="1"/>
  <c r="I67" i="1" s="1"/>
  <c r="J67" i="1" a="1"/>
  <c r="J67" i="1" s="1"/>
  <c r="N67" i="1" a="1"/>
  <c r="N67" i="1" s="1"/>
  <c r="B6" i="1" a="1"/>
  <c r="B6" i="1" s="1"/>
  <c r="H6" i="1" a="1"/>
  <c r="H6" i="1" s="1"/>
  <c r="I6" i="1" a="1"/>
  <c r="I6" i="1" s="1"/>
  <c r="J6" i="1" a="1"/>
  <c r="J6" i="1" s="1"/>
  <c r="N6" i="1" a="1"/>
  <c r="N6" i="1" s="1"/>
  <c r="B65" i="1" a="1"/>
  <c r="B65" i="1" s="1"/>
  <c r="H65" i="1" a="1"/>
  <c r="H65" i="1" s="1"/>
  <c r="I65" i="1" a="1"/>
  <c r="I65" i="1" s="1"/>
  <c r="J65" i="1" a="1"/>
  <c r="J65" i="1" s="1"/>
  <c r="N65" i="1" a="1"/>
  <c r="N65" i="1" s="1"/>
  <c r="B10" i="1" a="1"/>
  <c r="B10" i="1" s="1"/>
  <c r="H10" i="1" a="1"/>
  <c r="H10" i="1" s="1"/>
  <c r="I10" i="1" a="1"/>
  <c r="I10" i="1" s="1"/>
  <c r="J10" i="1" a="1"/>
  <c r="J10" i="1" s="1"/>
  <c r="N10" i="1" a="1"/>
  <c r="N10" i="1" s="1"/>
  <c r="B100" i="1" a="1"/>
  <c r="B100" i="1" s="1"/>
  <c r="H100" i="1" a="1"/>
  <c r="H100" i="1" s="1"/>
  <c r="I100" i="1" a="1"/>
  <c r="I100" i="1" s="1"/>
  <c r="J100" i="1" a="1"/>
  <c r="J100" i="1" s="1"/>
  <c r="N100" i="1" a="1"/>
  <c r="N100" i="1" s="1"/>
  <c r="B96" i="1" a="1"/>
  <c r="B96" i="1" s="1"/>
  <c r="H96" i="1" a="1"/>
  <c r="H96" i="1" s="1"/>
  <c r="I96" i="1" a="1"/>
  <c r="I96" i="1" s="1"/>
  <c r="J96" i="1" a="1"/>
  <c r="J96" i="1" s="1"/>
  <c r="N96" i="1" a="1"/>
  <c r="N96" i="1" s="1"/>
  <c r="B93" i="1" a="1"/>
  <c r="B93" i="1" s="1"/>
  <c r="H93" i="1" a="1"/>
  <c r="H93" i="1" s="1"/>
  <c r="I93" i="1" a="1"/>
  <c r="I93" i="1" s="1"/>
  <c r="J93" i="1" a="1"/>
  <c r="J93" i="1" s="1"/>
  <c r="N93" i="1" a="1"/>
  <c r="N93" i="1" s="1"/>
  <c r="B94" i="1" a="1"/>
  <c r="B94" i="1" s="1"/>
  <c r="H94" i="1" a="1"/>
  <c r="H94" i="1" s="1"/>
  <c r="I94" i="1" a="1"/>
  <c r="I94" i="1" s="1"/>
  <c r="J94" i="1" a="1"/>
  <c r="J94" i="1" s="1"/>
  <c r="N94" i="1" a="1"/>
  <c r="N94" i="1" s="1"/>
  <c r="B87" i="1" a="1"/>
  <c r="B87" i="1" s="1"/>
  <c r="H87" i="1" a="1"/>
  <c r="H87" i="1" s="1"/>
  <c r="I87" i="1" a="1"/>
  <c r="I87" i="1" s="1"/>
  <c r="J87" i="1" a="1"/>
  <c r="J87" i="1" s="1"/>
  <c r="N87" i="1" a="1"/>
  <c r="N87" i="1" s="1"/>
  <c r="B83" i="1" a="1"/>
  <c r="B83" i="1" s="1"/>
  <c r="H83" i="1" a="1"/>
  <c r="H83" i="1" s="1"/>
  <c r="I83" i="1" a="1"/>
  <c r="I83" i="1" s="1"/>
  <c r="J83" i="1" a="1"/>
  <c r="J83" i="1" s="1"/>
  <c r="N83" i="1" a="1"/>
  <c r="N83" i="1" s="1"/>
  <c r="B82" i="1" a="1"/>
  <c r="B82" i="1" s="1"/>
  <c r="H82" i="1" a="1"/>
  <c r="H82" i="1" s="1"/>
  <c r="I82" i="1" a="1"/>
  <c r="I82" i="1" s="1"/>
  <c r="J82" i="1" a="1"/>
  <c r="J82" i="1" s="1"/>
  <c r="N82" i="1" a="1"/>
  <c r="N82" i="1" s="1"/>
  <c r="B80" i="1" a="1"/>
  <c r="B80" i="1" s="1"/>
  <c r="H80" i="1" a="1"/>
  <c r="H80" i="1" s="1"/>
  <c r="I80" i="1" a="1"/>
  <c r="I80" i="1" s="1"/>
  <c r="J80" i="1" a="1"/>
  <c r="J80" i="1" s="1"/>
  <c r="N80" i="1" a="1"/>
  <c r="N80" i="1" s="1"/>
  <c r="B79" i="1" a="1"/>
  <c r="B79" i="1" s="1"/>
  <c r="H79" i="1" a="1"/>
  <c r="H79" i="1" s="1"/>
  <c r="I79" i="1" a="1"/>
  <c r="I79" i="1" s="1"/>
  <c r="J79" i="1" a="1"/>
  <c r="J79" i="1" s="1"/>
  <c r="N79" i="1" a="1"/>
  <c r="N79" i="1" s="1"/>
  <c r="B77" i="1" a="1"/>
  <c r="B77" i="1" s="1"/>
  <c r="H77" i="1" a="1"/>
  <c r="H77" i="1" s="1"/>
  <c r="I77" i="1" a="1"/>
  <c r="I77" i="1" s="1"/>
  <c r="J77" i="1" a="1"/>
  <c r="J77" i="1" s="1"/>
  <c r="N77" i="1" a="1"/>
  <c r="N77" i="1" s="1"/>
  <c r="B70" i="1" a="1"/>
  <c r="B70" i="1" s="1"/>
  <c r="H70" i="1" a="1"/>
  <c r="H70" i="1" s="1"/>
  <c r="I70" i="1" a="1"/>
  <c r="I70" i="1" s="1"/>
  <c r="J70" i="1" a="1"/>
  <c r="J70" i="1" s="1"/>
  <c r="N70" i="1" a="1"/>
  <c r="N70" i="1" s="1"/>
  <c r="B66" i="1" a="1"/>
  <c r="B66" i="1" s="1"/>
  <c r="H66" i="1" a="1"/>
  <c r="H66" i="1" s="1"/>
  <c r="I66" i="1" a="1"/>
  <c r="I66" i="1" s="1"/>
  <c r="J66" i="1" a="1"/>
  <c r="J66" i="1" s="1"/>
  <c r="N66" i="1" a="1"/>
  <c r="N66" i="1" s="1"/>
  <c r="B58" i="1" a="1"/>
  <c r="B58" i="1" s="1"/>
  <c r="H58" i="1" a="1"/>
  <c r="H58" i="1" s="1"/>
  <c r="I58" i="1" a="1"/>
  <c r="I58" i="1" s="1"/>
  <c r="J58" i="1" a="1"/>
  <c r="J58" i="1" s="1"/>
  <c r="N58" i="1" a="1"/>
  <c r="N58" i="1" s="1"/>
  <c r="B53" i="1" a="1"/>
  <c r="B53" i="1" s="1"/>
  <c r="H53" i="1" a="1"/>
  <c r="H53" i="1" s="1"/>
  <c r="I53" i="1" a="1"/>
  <c r="I53" i="1" s="1"/>
  <c r="J53" i="1" a="1"/>
  <c r="J53" i="1" s="1"/>
  <c r="N53" i="1" a="1"/>
  <c r="N53" i="1" s="1"/>
  <c r="B52" i="1" a="1"/>
  <c r="B52" i="1" s="1"/>
  <c r="H52" i="1" a="1"/>
  <c r="H52" i="1" s="1"/>
  <c r="I52" i="1" a="1"/>
  <c r="I52" i="1" s="1"/>
  <c r="J52" i="1" a="1"/>
  <c r="J52" i="1" s="1"/>
  <c r="N52" i="1" a="1"/>
  <c r="N52" i="1" s="1"/>
  <c r="B47" i="1" a="1"/>
  <c r="B47" i="1" s="1"/>
  <c r="H47" i="1" a="1"/>
  <c r="H47" i="1" s="1"/>
  <c r="I47" i="1" a="1"/>
  <c r="I47" i="1" s="1"/>
  <c r="J47" i="1" a="1"/>
  <c r="J47" i="1" s="1"/>
  <c r="N47" i="1" a="1"/>
  <c r="N47" i="1" s="1"/>
  <c r="B46" i="1" a="1"/>
  <c r="B46" i="1" s="1"/>
  <c r="H46" i="1" a="1"/>
  <c r="H46" i="1" s="1"/>
  <c r="I46" i="1" a="1"/>
  <c r="I46" i="1" s="1"/>
  <c r="J46" i="1" a="1"/>
  <c r="J46" i="1" s="1"/>
  <c r="N46" i="1" a="1"/>
  <c r="N46" i="1" s="1"/>
  <c r="B44" i="1" a="1"/>
  <c r="B44" i="1" s="1"/>
  <c r="H44" i="1" a="1"/>
  <c r="H44" i="1" s="1"/>
  <c r="I44" i="1" a="1"/>
  <c r="I44" i="1" s="1"/>
  <c r="J44" i="1" a="1"/>
  <c r="J44" i="1" s="1"/>
  <c r="N44" i="1" a="1"/>
  <c r="N44" i="1" s="1"/>
  <c r="B41" i="1" a="1"/>
  <c r="B41" i="1" s="1"/>
  <c r="H41" i="1" a="1"/>
  <c r="H41" i="1" s="1"/>
  <c r="I41" i="1" a="1"/>
  <c r="I41" i="1" s="1"/>
  <c r="J41" i="1" a="1"/>
  <c r="J41" i="1" s="1"/>
  <c r="N41" i="1" a="1"/>
  <c r="N41" i="1" s="1"/>
  <c r="B39" i="1" a="1"/>
  <c r="B39" i="1" s="1"/>
  <c r="H39" i="1" a="1"/>
  <c r="H39" i="1" s="1"/>
  <c r="I39" i="1" a="1"/>
  <c r="I39" i="1" s="1"/>
  <c r="J39" i="1" a="1"/>
  <c r="J39" i="1" s="1"/>
  <c r="N39" i="1" a="1"/>
  <c r="N39" i="1" s="1"/>
  <c r="B38" i="1" a="1"/>
  <c r="B38" i="1" s="1"/>
  <c r="H38" i="1" a="1"/>
  <c r="H38" i="1" s="1"/>
  <c r="I38" i="1" a="1"/>
  <c r="I38" i="1" s="1"/>
  <c r="J38" i="1" a="1"/>
  <c r="J38" i="1" s="1"/>
  <c r="N38" i="1" a="1"/>
  <c r="N38" i="1" s="1"/>
  <c r="B37" i="1" a="1"/>
  <c r="B37" i="1" s="1"/>
  <c r="H37" i="1" a="1"/>
  <c r="H37" i="1" s="1"/>
  <c r="I37" i="1" a="1"/>
  <c r="I37" i="1" s="1"/>
  <c r="J37" i="1" a="1"/>
  <c r="J37" i="1" s="1"/>
  <c r="N37" i="1" a="1"/>
  <c r="N37" i="1" s="1"/>
  <c r="B35" i="1" a="1"/>
  <c r="B35" i="1" s="1"/>
  <c r="H35" i="1" a="1"/>
  <c r="H35" i="1" s="1"/>
  <c r="I35" i="1" a="1"/>
  <c r="I35" i="1" s="1"/>
  <c r="J35" i="1" a="1"/>
  <c r="J35" i="1" s="1"/>
  <c r="N35" i="1" a="1"/>
  <c r="N35" i="1" s="1"/>
  <c r="B31" i="1" a="1"/>
  <c r="B31" i="1" s="1"/>
  <c r="H31" i="1" a="1"/>
  <c r="H31" i="1" s="1"/>
  <c r="I31" i="1" a="1"/>
  <c r="I31" i="1" s="1"/>
  <c r="J31" i="1" a="1"/>
  <c r="J31" i="1" s="1"/>
  <c r="N31" i="1" a="1"/>
  <c r="N31" i="1" s="1"/>
  <c r="B29" i="1" a="1"/>
  <c r="B29" i="1" s="1"/>
  <c r="H29" i="1" a="1"/>
  <c r="H29" i="1" s="1"/>
  <c r="I29" i="1" a="1"/>
  <c r="I29" i="1" s="1"/>
  <c r="J29" i="1" a="1"/>
  <c r="J29" i="1" s="1"/>
  <c r="N29" i="1" a="1"/>
  <c r="N29" i="1" s="1"/>
  <c r="B33" i="1" a="1"/>
  <c r="B33" i="1" s="1"/>
  <c r="H33" i="1" a="1"/>
  <c r="H33" i="1" s="1"/>
  <c r="I33" i="1" a="1"/>
  <c r="I33" i="1" s="1"/>
  <c r="J33" i="1" a="1"/>
  <c r="J33" i="1" s="1"/>
  <c r="N33" i="1" a="1"/>
  <c r="N33" i="1" s="1"/>
  <c r="B32" i="1" a="1"/>
  <c r="B32" i="1" s="1"/>
  <c r="H32" i="1" a="1"/>
  <c r="H32" i="1" s="1"/>
  <c r="I32" i="1" a="1"/>
  <c r="I32" i="1" s="1"/>
  <c r="J32" i="1" a="1"/>
  <c r="J32" i="1" s="1"/>
  <c r="N32" i="1" a="1"/>
  <c r="N32" i="1" s="1"/>
  <c r="B28" i="1" a="1"/>
  <c r="B28" i="1" s="1"/>
  <c r="H28" i="1" a="1"/>
  <c r="H28" i="1" s="1"/>
  <c r="I28" i="1" a="1"/>
  <c r="I28" i="1" s="1"/>
  <c r="J28" i="1" a="1"/>
  <c r="J28" i="1" s="1"/>
  <c r="N28" i="1" a="1"/>
  <c r="N28" i="1" s="1"/>
  <c r="B27" i="1" a="1"/>
  <c r="B27" i="1" s="1"/>
  <c r="H27" i="1" a="1"/>
  <c r="H27" i="1" s="1"/>
  <c r="I27" i="1" a="1"/>
  <c r="I27" i="1" s="1"/>
  <c r="J27" i="1" a="1"/>
  <c r="J27" i="1" s="1"/>
  <c r="N27" i="1" a="1"/>
  <c r="N27" i="1" s="1"/>
  <c r="B24" i="1" a="1"/>
  <c r="B24" i="1" s="1"/>
  <c r="H24" i="1" a="1"/>
  <c r="H24" i="1" s="1"/>
  <c r="I24" i="1" a="1"/>
  <c r="I24" i="1" s="1"/>
  <c r="J24" i="1" a="1"/>
  <c r="J24" i="1" s="1"/>
  <c r="N24" i="1" a="1"/>
  <c r="N24" i="1" s="1"/>
  <c r="B23" i="1" a="1"/>
  <c r="B23" i="1" s="1"/>
  <c r="H23" i="1" a="1"/>
  <c r="H23" i="1" s="1"/>
  <c r="I23" i="1" a="1"/>
  <c r="I23" i="1" s="1"/>
  <c r="J23" i="1" a="1"/>
  <c r="J23" i="1" s="1"/>
  <c r="N23" i="1" a="1"/>
  <c r="N23" i="1" s="1"/>
  <c r="B22" i="1" a="1"/>
  <c r="B22" i="1" s="1"/>
  <c r="H22" i="1" a="1"/>
  <c r="H22" i="1" s="1"/>
  <c r="I22" i="1" a="1"/>
  <c r="I22" i="1" s="1"/>
  <c r="J22" i="1" a="1"/>
  <c r="J22" i="1" s="1"/>
  <c r="N22" i="1" a="1"/>
  <c r="N22" i="1" s="1"/>
  <c r="B19" i="1" a="1"/>
  <c r="B19" i="1" s="1"/>
  <c r="H19" i="1" a="1"/>
  <c r="H19" i="1" s="1"/>
  <c r="I19" i="1" a="1"/>
  <c r="I19" i="1" s="1"/>
  <c r="J19" i="1" a="1"/>
  <c r="J19" i="1" s="1"/>
  <c r="N19" i="1" a="1"/>
  <c r="N19" i="1" s="1"/>
  <c r="B17" i="1" a="1"/>
  <c r="B17" i="1" s="1"/>
  <c r="H17" i="1" a="1"/>
  <c r="H17" i="1" s="1"/>
  <c r="I17" i="1" a="1"/>
  <c r="I17" i="1" s="1"/>
  <c r="J17" i="1" a="1"/>
  <c r="J17" i="1" s="1"/>
  <c r="N17" i="1" a="1"/>
  <c r="N17" i="1" s="1"/>
  <c r="B14" i="1" a="1"/>
  <c r="B14" i="1" s="1"/>
  <c r="H14" i="1" a="1"/>
  <c r="H14" i="1" s="1"/>
  <c r="I14" i="1" a="1"/>
  <c r="I14" i="1" s="1"/>
  <c r="J14" i="1" a="1"/>
  <c r="J14" i="1" s="1"/>
  <c r="N14" i="1" a="1"/>
  <c r="N14" i="1" s="1"/>
  <c r="B13" i="1" a="1"/>
  <c r="B13" i="1" s="1"/>
  <c r="H13" i="1" a="1"/>
  <c r="H13" i="1" s="1"/>
  <c r="I13" i="1" a="1"/>
  <c r="I13" i="1" s="1"/>
  <c r="J13" i="1" a="1"/>
  <c r="J13" i="1" s="1"/>
  <c r="N13" i="1" a="1"/>
  <c r="N13" i="1" s="1"/>
  <c r="B11" i="1" a="1"/>
  <c r="B11" i="1" s="1"/>
  <c r="H11" i="1" a="1"/>
  <c r="H11" i="1" s="1"/>
  <c r="I11" i="1" a="1"/>
  <c r="I11" i="1" s="1"/>
  <c r="J11" i="1" a="1"/>
  <c r="J11" i="1" s="1"/>
  <c r="N11" i="1" a="1"/>
  <c r="N11" i="1" s="1"/>
  <c r="B9" i="1" a="1"/>
  <c r="B9" i="1" s="1"/>
  <c r="H9" i="1" a="1"/>
  <c r="H9" i="1" s="1"/>
  <c r="I9" i="1" a="1"/>
  <c r="I9" i="1" s="1"/>
  <c r="J9" i="1" a="1"/>
  <c r="J9" i="1" s="1"/>
  <c r="N9" i="1" a="1"/>
  <c r="N9" i="1" s="1"/>
  <c r="B5" i="1" a="1"/>
  <c r="B5" i="1" s="1"/>
  <c r="H5" i="1" a="1"/>
  <c r="H5" i="1" s="1"/>
  <c r="I5" i="1" a="1"/>
  <c r="I5" i="1" s="1"/>
  <c r="J5" i="1" a="1"/>
  <c r="J5" i="1" s="1"/>
  <c r="N5" i="1" a="1"/>
  <c r="N5" i="1" s="1"/>
  <c r="B3" i="1" a="1"/>
  <c r="B3" i="1" s="1"/>
  <c r="H3" i="1" a="1"/>
  <c r="H3" i="1" s="1"/>
  <c r="I3" i="1" a="1"/>
  <c r="I3" i="1" s="1"/>
  <c r="J3" i="1" a="1"/>
  <c r="J3" i="1" s="1"/>
  <c r="N3" i="1" a="1"/>
  <c r="N3" i="1" s="1"/>
  <c r="L97" i="1" l="1"/>
  <c r="L102" i="1"/>
  <c r="M102" i="1"/>
  <c r="M97" i="1"/>
  <c r="L49" i="1"/>
  <c r="L60" i="1"/>
  <c r="M49" i="1"/>
  <c r="M60" i="1"/>
  <c r="L76" i="1"/>
  <c r="M76" i="1"/>
  <c r="M75" i="1"/>
  <c r="L78" i="1"/>
  <c r="L75" i="1"/>
  <c r="L89" i="1"/>
  <c r="M78" i="1"/>
  <c r="M89" i="1"/>
  <c r="L48" i="1"/>
  <c r="M48" i="1"/>
  <c r="L36" i="1"/>
  <c r="L30" i="1"/>
  <c r="M36" i="1"/>
  <c r="M30" i="1"/>
  <c r="L99" i="1"/>
  <c r="M99" i="1"/>
  <c r="L74" i="1"/>
  <c r="M74" i="1"/>
  <c r="L18" i="1"/>
  <c r="M18" i="1"/>
  <c r="L7" i="1"/>
  <c r="M90" i="1"/>
  <c r="M7" i="1"/>
  <c r="L90" i="1"/>
  <c r="L85" i="1"/>
  <c r="M85" i="1"/>
  <c r="L12" i="1"/>
  <c r="L61" i="1"/>
  <c r="M12" i="1"/>
  <c r="L101" i="1"/>
  <c r="M61" i="1"/>
  <c r="L67" i="1"/>
  <c r="M101" i="1"/>
  <c r="M67" i="1"/>
  <c r="L6" i="1"/>
  <c r="L65" i="1"/>
  <c r="M6" i="1"/>
  <c r="L10" i="1"/>
  <c r="M65" i="1"/>
  <c r="M10" i="1"/>
  <c r="M96" i="1"/>
  <c r="L100" i="1"/>
  <c r="M100" i="1"/>
  <c r="L96" i="1"/>
  <c r="L93" i="1"/>
  <c r="M93" i="1"/>
  <c r="L94" i="1"/>
  <c r="L87" i="1"/>
  <c r="M94" i="1"/>
  <c r="L83" i="1"/>
  <c r="M87" i="1"/>
  <c r="L82" i="1"/>
  <c r="M83" i="1"/>
  <c r="L80" i="1"/>
  <c r="M82" i="1"/>
  <c r="L79" i="1"/>
  <c r="M80" i="1"/>
  <c r="M79" i="1"/>
  <c r="L77" i="1"/>
  <c r="L70" i="1"/>
  <c r="M77" i="1"/>
  <c r="L66" i="1"/>
  <c r="M70" i="1"/>
  <c r="M66" i="1"/>
  <c r="L58" i="1"/>
  <c r="M58" i="1"/>
  <c r="L53" i="1"/>
  <c r="M52" i="1"/>
  <c r="M53" i="1"/>
  <c r="L52" i="1"/>
  <c r="L47" i="1"/>
  <c r="L46" i="1"/>
  <c r="M47" i="1"/>
  <c r="M46" i="1"/>
  <c r="L44" i="1"/>
  <c r="M44" i="1"/>
  <c r="L41" i="1"/>
  <c r="M41" i="1"/>
  <c r="L39" i="1"/>
  <c r="M38" i="1"/>
  <c r="M39" i="1"/>
  <c r="L38" i="1"/>
  <c r="L37" i="1"/>
  <c r="M37" i="1"/>
  <c r="L35" i="1"/>
  <c r="M35" i="1"/>
  <c r="L31" i="1"/>
  <c r="M31" i="1"/>
  <c r="L33" i="1"/>
  <c r="L29" i="1"/>
  <c r="M29" i="1"/>
  <c r="L32" i="1"/>
  <c r="M33" i="1"/>
  <c r="L28" i="1"/>
  <c r="M32" i="1"/>
  <c r="M28" i="1"/>
  <c r="L27" i="1"/>
  <c r="M27" i="1"/>
  <c r="M24" i="1"/>
  <c r="L24" i="1"/>
  <c r="L23" i="1"/>
  <c r="M23" i="1"/>
  <c r="L22" i="1"/>
  <c r="M22" i="1"/>
  <c r="L19" i="1"/>
  <c r="M19" i="1"/>
  <c r="L17" i="1"/>
  <c r="M17" i="1"/>
  <c r="L14" i="1"/>
  <c r="L13" i="1"/>
  <c r="M14" i="1"/>
  <c r="M13" i="1"/>
  <c r="L11" i="1"/>
  <c r="L9" i="1"/>
  <c r="M11" i="1"/>
  <c r="M9" i="1"/>
  <c r="L5" i="1"/>
  <c r="M5" i="1"/>
  <c r="M3" i="1"/>
  <c r="L3" i="1"/>
  <c r="B63" i="1" l="1" a="1"/>
  <c r="B63" i="1" s="1"/>
  <c r="H63" i="1" a="1"/>
  <c r="H63" i="1" s="1"/>
  <c r="I63" i="1" a="1"/>
  <c r="I63" i="1" s="1"/>
  <c r="J63" i="1" a="1"/>
  <c r="J63" i="1" s="1"/>
  <c r="N63" i="1" a="1"/>
  <c r="N63" i="1" s="1"/>
  <c r="B71" i="1" a="1"/>
  <c r="B71" i="1" s="1"/>
  <c r="H71" i="1" a="1"/>
  <c r="H71" i="1" s="1"/>
  <c r="I71" i="1" a="1"/>
  <c r="I71" i="1" s="1"/>
  <c r="J71" i="1" a="1"/>
  <c r="J71" i="1" s="1"/>
  <c r="N71" i="1" a="1"/>
  <c r="N71" i="1" s="1"/>
  <c r="B42" i="1" a="1"/>
  <c r="B42" i="1" s="1"/>
  <c r="H42" i="1" a="1"/>
  <c r="H42" i="1" s="1"/>
  <c r="I42" i="1" a="1"/>
  <c r="I42" i="1" s="1"/>
  <c r="J42" i="1" a="1"/>
  <c r="J42" i="1" s="1"/>
  <c r="N42" i="1" a="1"/>
  <c r="N42" i="1" s="1"/>
  <c r="H69" i="1" a="1"/>
  <c r="H69" i="1" s="1"/>
  <c r="H72" i="1" a="1"/>
  <c r="H72" i="1" s="1"/>
  <c r="H73" i="1" a="1"/>
  <c r="H73" i="1" s="1"/>
  <c r="H81" i="1" a="1"/>
  <c r="H81" i="1" s="1"/>
  <c r="H84" i="1" a="1"/>
  <c r="H84" i="1" s="1"/>
  <c r="H86" i="1" a="1"/>
  <c r="H86" i="1" s="1"/>
  <c r="H88" i="1" a="1"/>
  <c r="H88" i="1" s="1"/>
  <c r="H91" i="1" a="1"/>
  <c r="H91" i="1" s="1"/>
  <c r="H92" i="1" a="1"/>
  <c r="H92" i="1" s="1"/>
  <c r="H95" i="1" a="1"/>
  <c r="H95" i="1" s="1"/>
  <c r="H98" i="1" a="1"/>
  <c r="H98" i="1" s="1"/>
  <c r="H56" i="1" a="1"/>
  <c r="H56" i="1" s="1"/>
  <c r="H59" i="1" a="1"/>
  <c r="H59" i="1" s="1"/>
  <c r="H51" i="1" a="1"/>
  <c r="H51" i="1" s="1"/>
  <c r="N2" i="1" a="1"/>
  <c r="N2" i="1" s="1"/>
  <c r="N4" i="1" a="1"/>
  <c r="N4" i="1" s="1"/>
  <c r="N8" i="1" a="1"/>
  <c r="N8" i="1" s="1"/>
  <c r="N15" i="1" a="1"/>
  <c r="N15" i="1" s="1"/>
  <c r="N16" i="1" a="1"/>
  <c r="N16" i="1" s="1"/>
  <c r="N20" i="1" a="1"/>
  <c r="N20" i="1" s="1"/>
  <c r="N21" i="1" a="1"/>
  <c r="N21" i="1" s="1"/>
  <c r="N25" i="1" a="1"/>
  <c r="N25" i="1" s="1"/>
  <c r="N26" i="1" a="1"/>
  <c r="N26" i="1" s="1"/>
  <c r="N34" i="1" a="1"/>
  <c r="N34" i="1" s="1"/>
  <c r="N40" i="1" a="1"/>
  <c r="N40" i="1" s="1"/>
  <c r="N43" i="1" a="1"/>
  <c r="N43" i="1" s="1"/>
  <c r="N45" i="1" a="1"/>
  <c r="N45" i="1" s="1"/>
  <c r="N50" i="1" a="1"/>
  <c r="N50" i="1" s="1"/>
  <c r="N54" i="1" a="1"/>
  <c r="N54" i="1" s="1"/>
  <c r="N55" i="1" a="1"/>
  <c r="N55" i="1" s="1"/>
  <c r="N57" i="1" a="1"/>
  <c r="N57" i="1" s="1"/>
  <c r="N62" i="1" a="1"/>
  <c r="N62" i="1" s="1"/>
  <c r="N64" i="1" a="1"/>
  <c r="N64" i="1" s="1"/>
  <c r="N68" i="1" a="1"/>
  <c r="N68" i="1" s="1"/>
  <c r="N69" i="1" a="1"/>
  <c r="N69" i="1" s="1"/>
  <c r="N72" i="1" a="1"/>
  <c r="N72" i="1" s="1"/>
  <c r="N73" i="1" a="1"/>
  <c r="N73" i="1" s="1"/>
  <c r="N81" i="1" a="1"/>
  <c r="N81" i="1" s="1"/>
  <c r="N84" i="1" a="1"/>
  <c r="N84" i="1" s="1"/>
  <c r="N86" i="1" a="1"/>
  <c r="N86" i="1" s="1"/>
  <c r="N88" i="1" a="1"/>
  <c r="N88" i="1" s="1"/>
  <c r="N91" i="1" a="1"/>
  <c r="N91" i="1" s="1"/>
  <c r="N92" i="1" a="1"/>
  <c r="N92" i="1" s="1"/>
  <c r="N95" i="1" a="1"/>
  <c r="N95" i="1" s="1"/>
  <c r="N98" i="1" a="1"/>
  <c r="N98" i="1" s="1"/>
  <c r="N56" i="1" a="1"/>
  <c r="N56" i="1" s="1"/>
  <c r="N59" i="1" a="1"/>
  <c r="N59" i="1" s="1"/>
  <c r="N51" i="1" a="1"/>
  <c r="N51" i="1" s="1"/>
  <c r="J2" i="1" a="1"/>
  <c r="J2" i="1" s="1"/>
  <c r="J4" i="1" a="1"/>
  <c r="J4" i="1" s="1"/>
  <c r="J8" i="1" a="1"/>
  <c r="J8" i="1" s="1"/>
  <c r="J15" i="1" a="1"/>
  <c r="J15" i="1" s="1"/>
  <c r="J16" i="1" a="1"/>
  <c r="J16" i="1" s="1"/>
  <c r="J20" i="1" a="1"/>
  <c r="J20" i="1" s="1"/>
  <c r="J21" i="1" a="1"/>
  <c r="J21" i="1" s="1"/>
  <c r="J25" i="1" a="1"/>
  <c r="J25" i="1" s="1"/>
  <c r="J26" i="1" a="1"/>
  <c r="J26" i="1" s="1"/>
  <c r="J34" i="1" a="1"/>
  <c r="J34" i="1" s="1"/>
  <c r="J40" i="1" a="1"/>
  <c r="J40" i="1" s="1"/>
  <c r="J43" i="1" a="1"/>
  <c r="J43" i="1" s="1"/>
  <c r="J45" i="1" a="1"/>
  <c r="J45" i="1" s="1"/>
  <c r="J50" i="1" a="1"/>
  <c r="J50" i="1" s="1"/>
  <c r="J54" i="1" a="1"/>
  <c r="J54" i="1" s="1"/>
  <c r="J55" i="1" a="1"/>
  <c r="J55" i="1" s="1"/>
  <c r="J57" i="1" a="1"/>
  <c r="J57" i="1" s="1"/>
  <c r="J62" i="1" a="1"/>
  <c r="J62" i="1" s="1"/>
  <c r="J64" i="1" a="1"/>
  <c r="J64" i="1" s="1"/>
  <c r="J68" i="1" a="1"/>
  <c r="J68" i="1" s="1"/>
  <c r="J69" i="1" a="1"/>
  <c r="J69" i="1" s="1"/>
  <c r="J72" i="1" a="1"/>
  <c r="J72" i="1" s="1"/>
  <c r="J73" i="1" a="1"/>
  <c r="J73" i="1" s="1"/>
  <c r="J81" i="1" a="1"/>
  <c r="J81" i="1" s="1"/>
  <c r="J84" i="1" a="1"/>
  <c r="J84" i="1" s="1"/>
  <c r="J86" i="1" a="1"/>
  <c r="J86" i="1" s="1"/>
  <c r="J88" i="1" a="1"/>
  <c r="J88" i="1" s="1"/>
  <c r="J91" i="1" a="1"/>
  <c r="J91" i="1" s="1"/>
  <c r="J92" i="1" a="1"/>
  <c r="J92" i="1" s="1"/>
  <c r="J95" i="1" a="1"/>
  <c r="J95" i="1" s="1"/>
  <c r="J98" i="1" a="1"/>
  <c r="J98" i="1" s="1"/>
  <c r="J56" i="1" a="1"/>
  <c r="J56" i="1" s="1"/>
  <c r="J59" i="1" a="1"/>
  <c r="J59" i="1" s="1"/>
  <c r="J51" i="1" a="1"/>
  <c r="J51" i="1" s="1"/>
  <c r="I2" i="1" a="1"/>
  <c r="I2" i="1" s="1"/>
  <c r="I4" i="1" a="1"/>
  <c r="I4" i="1" s="1"/>
  <c r="I8" i="1" a="1"/>
  <c r="I8" i="1" s="1"/>
  <c r="I15" i="1" a="1"/>
  <c r="I15" i="1" s="1"/>
  <c r="I16" i="1" a="1"/>
  <c r="I16" i="1" s="1"/>
  <c r="I20" i="1" a="1"/>
  <c r="I20" i="1" s="1"/>
  <c r="I21" i="1" a="1"/>
  <c r="I21" i="1" s="1"/>
  <c r="I25" i="1" a="1"/>
  <c r="I25" i="1" s="1"/>
  <c r="I26" i="1" a="1"/>
  <c r="I26" i="1" s="1"/>
  <c r="I34" i="1" a="1"/>
  <c r="I34" i="1" s="1"/>
  <c r="I40" i="1" a="1"/>
  <c r="I40" i="1" s="1"/>
  <c r="I43" i="1" a="1"/>
  <c r="I43" i="1" s="1"/>
  <c r="I45" i="1" a="1"/>
  <c r="I45" i="1" s="1"/>
  <c r="I50" i="1" a="1"/>
  <c r="I50" i="1" s="1"/>
  <c r="I54" i="1" a="1"/>
  <c r="I54" i="1" s="1"/>
  <c r="I55" i="1" a="1"/>
  <c r="I55" i="1" s="1"/>
  <c r="I57" i="1" a="1"/>
  <c r="I57" i="1" s="1"/>
  <c r="I62" i="1" a="1"/>
  <c r="I62" i="1" s="1"/>
  <c r="I64" i="1" a="1"/>
  <c r="I64" i="1" s="1"/>
  <c r="I68" i="1" a="1"/>
  <c r="I68" i="1" s="1"/>
  <c r="I69" i="1" a="1"/>
  <c r="I69" i="1" s="1"/>
  <c r="I72" i="1" a="1"/>
  <c r="I72" i="1" s="1"/>
  <c r="I73" i="1" a="1"/>
  <c r="I73" i="1" s="1"/>
  <c r="I81" i="1" a="1"/>
  <c r="I81" i="1" s="1"/>
  <c r="I84" i="1" a="1"/>
  <c r="I84" i="1" s="1"/>
  <c r="I86" i="1" a="1"/>
  <c r="I86" i="1" s="1"/>
  <c r="I88" i="1" a="1"/>
  <c r="I88" i="1" s="1"/>
  <c r="I91" i="1" a="1"/>
  <c r="I91" i="1" s="1"/>
  <c r="I92" i="1" a="1"/>
  <c r="I92" i="1" s="1"/>
  <c r="I95" i="1" a="1"/>
  <c r="I95" i="1" s="1"/>
  <c r="I98" i="1" a="1"/>
  <c r="I98" i="1" s="1"/>
  <c r="I56" i="1" a="1"/>
  <c r="I56" i="1" s="1"/>
  <c r="I59" i="1" a="1"/>
  <c r="I59" i="1" s="1"/>
  <c r="I51" i="1" a="1"/>
  <c r="I51" i="1" s="1"/>
  <c r="H2" i="1" a="1"/>
  <c r="H2" i="1" s="1"/>
  <c r="H4" i="1" a="1"/>
  <c r="H4" i="1" s="1"/>
  <c r="H8" i="1" a="1"/>
  <c r="H8" i="1" s="1"/>
  <c r="H15" i="1" a="1"/>
  <c r="H15" i="1" s="1"/>
  <c r="H16" i="1" a="1"/>
  <c r="H16" i="1" s="1"/>
  <c r="H20" i="1" a="1"/>
  <c r="H20" i="1" s="1"/>
  <c r="H21" i="1" a="1"/>
  <c r="H21" i="1" s="1"/>
  <c r="H25" i="1" a="1"/>
  <c r="H25" i="1" s="1"/>
  <c r="H26" i="1" a="1"/>
  <c r="H26" i="1" s="1"/>
  <c r="H34" i="1" a="1"/>
  <c r="H34" i="1" s="1"/>
  <c r="H40" i="1" a="1"/>
  <c r="H40" i="1" s="1"/>
  <c r="H43" i="1" a="1"/>
  <c r="H43" i="1" s="1"/>
  <c r="H45" i="1" a="1"/>
  <c r="H45" i="1" s="1"/>
  <c r="H50" i="1" a="1"/>
  <c r="H50" i="1" s="1"/>
  <c r="H54" i="1" a="1"/>
  <c r="H54" i="1" s="1"/>
  <c r="H55" i="1" a="1"/>
  <c r="H55" i="1" s="1"/>
  <c r="H57" i="1" a="1"/>
  <c r="H57" i="1" s="1"/>
  <c r="H62" i="1" a="1"/>
  <c r="H62" i="1" s="1"/>
  <c r="H64" i="1" a="1"/>
  <c r="H64" i="1" s="1"/>
  <c r="H68" i="1" a="1"/>
  <c r="H68" i="1" s="1"/>
  <c r="B51" i="1" a="1"/>
  <c r="B51" i="1" s="1"/>
  <c r="B59" i="1" a="1"/>
  <c r="B59" i="1" s="1"/>
  <c r="B56" i="1" a="1"/>
  <c r="B56" i="1" s="1"/>
  <c r="B98" i="1" a="1"/>
  <c r="B98" i="1" s="1"/>
  <c r="B95" i="1" a="1"/>
  <c r="B95" i="1" s="1"/>
  <c r="B92" i="1" a="1"/>
  <c r="B92" i="1" s="1"/>
  <c r="B91" i="1" a="1"/>
  <c r="B91" i="1" s="1"/>
  <c r="B88" i="1" a="1"/>
  <c r="B88" i="1" s="1"/>
  <c r="B86" i="1" a="1"/>
  <c r="B86" i="1" s="1"/>
  <c r="B84" i="1" a="1"/>
  <c r="B84" i="1" s="1"/>
  <c r="B81" i="1" a="1"/>
  <c r="B81" i="1" s="1"/>
  <c r="B73" i="1" a="1"/>
  <c r="B73" i="1" s="1"/>
  <c r="B72" i="1" a="1"/>
  <c r="B72" i="1" s="1"/>
  <c r="B69" i="1" a="1"/>
  <c r="B69" i="1" s="1"/>
  <c r="B68" i="1" a="1"/>
  <c r="B68" i="1" s="1"/>
  <c r="B64" i="1" a="1"/>
  <c r="B64" i="1" s="1"/>
  <c r="B62" i="1" a="1"/>
  <c r="B62" i="1" s="1"/>
  <c r="B57" i="1" a="1"/>
  <c r="B57" i="1" s="1"/>
  <c r="B55" i="1" a="1"/>
  <c r="B55" i="1" s="1"/>
  <c r="B54" i="1" a="1"/>
  <c r="B54" i="1" s="1"/>
  <c r="B50" i="1" a="1"/>
  <c r="B50" i="1" s="1"/>
  <c r="B45" i="1" a="1"/>
  <c r="B45" i="1" s="1"/>
  <c r="B43" i="1" a="1"/>
  <c r="B43" i="1" s="1"/>
  <c r="B40" i="1" a="1"/>
  <c r="B40" i="1" s="1"/>
  <c r="B34" i="1" a="1"/>
  <c r="B34" i="1" s="1"/>
  <c r="B26" i="1" a="1"/>
  <c r="B26" i="1" s="1"/>
  <c r="B25" i="1" a="1"/>
  <c r="B25" i="1" s="1"/>
  <c r="B21" i="1" a="1"/>
  <c r="B21" i="1" s="1"/>
  <c r="B20" i="1" a="1"/>
  <c r="B20" i="1" s="1"/>
  <c r="B16" i="1" a="1"/>
  <c r="B16" i="1" s="1"/>
  <c r="B15" i="1" a="1"/>
  <c r="B15" i="1" s="1"/>
  <c r="B8" i="1" a="1"/>
  <c r="B8" i="1" s="1"/>
  <c r="B4" i="1" a="1"/>
  <c r="B4" i="1" s="1"/>
  <c r="B2" i="1" a="1"/>
  <c r="B2" i="1" s="1"/>
  <c r="L63" i="1" l="1"/>
  <c r="L71" i="1"/>
  <c r="M63" i="1"/>
  <c r="M71" i="1"/>
  <c r="L42" i="1"/>
  <c r="M42" i="1"/>
  <c r="M50" i="1"/>
  <c r="M16" i="1"/>
  <c r="M51" i="1"/>
  <c r="M81" i="1"/>
  <c r="M95" i="1"/>
  <c r="M68" i="1"/>
  <c r="M4" i="1"/>
  <c r="L88" i="1"/>
  <c r="L57" i="1"/>
  <c r="L25" i="1"/>
  <c r="M34" i="1"/>
  <c r="M86" i="1"/>
  <c r="M55" i="1"/>
  <c r="L21" i="1"/>
  <c r="M92" i="1"/>
  <c r="M64" i="1"/>
  <c r="M2" i="1"/>
  <c r="M84" i="1"/>
  <c r="M59" i="1"/>
  <c r="M73" i="1"/>
  <c r="M45" i="1"/>
  <c r="M15" i="1"/>
  <c r="M8" i="1"/>
  <c r="L91" i="1"/>
  <c r="L62" i="1"/>
  <c r="M56" i="1"/>
  <c r="M72" i="1"/>
  <c r="M43" i="1"/>
  <c r="L26" i="1"/>
  <c r="M54" i="1"/>
  <c r="M20" i="1"/>
  <c r="M98" i="1"/>
  <c r="M69" i="1"/>
  <c r="M40" i="1"/>
  <c r="M91" i="1"/>
  <c r="M62" i="1"/>
  <c r="M26" i="1"/>
  <c r="M88" i="1"/>
  <c r="M57" i="1"/>
  <c r="M25" i="1"/>
  <c r="L2" i="1"/>
  <c r="M21" i="1"/>
  <c r="L86" i="1"/>
  <c r="L55" i="1"/>
  <c r="L50" i="1"/>
  <c r="L51" i="1"/>
  <c r="L81" i="1"/>
  <c r="L16" i="1"/>
  <c r="L92" i="1"/>
  <c r="L64" i="1"/>
  <c r="L34" i="1"/>
  <c r="L95" i="1"/>
  <c r="L68" i="1"/>
  <c r="L4" i="1"/>
  <c r="L84" i="1"/>
  <c r="L54" i="1"/>
  <c r="L20" i="1"/>
  <c r="L59" i="1"/>
  <c r="L73" i="1"/>
  <c r="L45" i="1"/>
  <c r="L15" i="1"/>
  <c r="L72" i="1"/>
  <c r="L43" i="1"/>
  <c r="L8" i="1"/>
  <c r="L56" i="1"/>
  <c r="L98" i="1"/>
  <c r="L69" i="1"/>
  <c r="L4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5"/>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futureMetadata>
  <cellMetadata count="1">
    <bk>
      <rc t="1" v="0"/>
    </bk>
  </cellMetadata>
  <valueMetadata count="10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valueMetadata>
</metadata>
</file>

<file path=xl/sharedStrings.xml><?xml version="1.0" encoding="utf-8"?>
<sst xmlns="http://schemas.openxmlformats.org/spreadsheetml/2006/main" count="56" uniqueCount="26">
  <si>
    <t>Ticker</t>
  </si>
  <si>
    <t>Sector</t>
  </si>
  <si>
    <t>Category</t>
  </si>
  <si>
    <t>DataField</t>
  </si>
  <si>
    <t>Owned</t>
  </si>
  <si>
    <t>consumer_staples</t>
  </si>
  <si>
    <t>technology</t>
  </si>
  <si>
    <t>consumer_discretionary</t>
  </si>
  <si>
    <t>financials</t>
  </si>
  <si>
    <t>health_care</t>
  </si>
  <si>
    <t>communication_services</t>
  </si>
  <si>
    <t>energy</t>
  </si>
  <si>
    <t>industrials</t>
  </si>
  <si>
    <t>materials</t>
  </si>
  <si>
    <t>reit</t>
  </si>
  <si>
    <t>FyEnd</t>
  </si>
  <si>
    <t>S&amp;P</t>
  </si>
  <si>
    <t>Price</t>
  </si>
  <si>
    <t>P/E</t>
  </si>
  <si>
    <t>52High</t>
  </si>
  <si>
    <t>52Low</t>
  </si>
  <si>
    <t>Watch</t>
  </si>
  <si>
    <t>Alert</t>
  </si>
  <si>
    <t>MarketCap</t>
  </si>
  <si>
    <t>tech_kong</t>
  </si>
  <si>
    <t>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</si>
</sst>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20">
  <rv s="0">
    <v>https://www.bing.com/financeapi/forcetrigger?t=a1mou2&amp;q=XNAS%3aAAPL&amp;form=skydnc</v>
    <v>Learn more on Bing</v>
  </rv>
  <rv s="1">
    <v>0</v>
    <v>APPLE INC. (XNAS:AAPL)</v>
    <v>2</v>
    <v>3</v>
    <v>Finance</v>
    <v>4</v>
    <v>en-US</v>
    <v>a1mou2</v>
    <v>268435456</v>
    <v>1</v>
    <v>Powered by Refinitiv</v>
    <v>288.62</v>
    <v>169.21010000000001</v>
    <v>1.1168</v>
    <v>-4.2041000000000004</v>
    <v>-1.6014E-2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261.55500000000001</v>
    <v>Computers, Phones &amp; Household Electronics</v>
    <v>Stock</v>
    <v>46086.795417383597</v>
    <v>0</v>
    <v>257.85000000000002</v>
    <v>3797941182930</v>
    <v>APPLE INC.</v>
    <v>APPLE INC.</v>
    <v>260.77999999999997</v>
    <v>32.818300000000001</v>
    <v>262.52</v>
    <v>258.3159</v>
    <v>14702700000</v>
    <v>AAPL</v>
    <v>APPLE INC. (XNAS:AAPL)</v>
    <v>24906288</v>
    <v>52404218</v>
    <v>1977</v>
  </rv>
  <rv s="2">
    <v>1</v>
  </rv>
  <rv s="0">
    <v>https://www.bing.com/financeapi/forcetrigger?t=a1mpqh&amp;q=XNYS%3aABBV&amp;form=skydnc</v>
    <v>Learn more on Bing</v>
  </rv>
  <rv s="1">
    <v>0</v>
    <v>ABBVIE INC. (XNYS:ABBV)</v>
    <v>2</v>
    <v>3</v>
    <v>Finance</v>
    <v>4</v>
    <v>en-US</v>
    <v>a1mpqh</v>
    <v>268435456</v>
    <v>1</v>
    <v>Powered by Refinitiv</v>
    <v>244.81</v>
    <v>164.39</v>
    <v>0.33379999999999999</v>
    <v>-7.15</v>
    <v>-3.0272E-2</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234.8</v>
    <v>Pharmaceuticals</v>
    <v>Stock</v>
    <v>46086.795408275</v>
    <v>3</v>
    <v>228</v>
    <v>404981427760</v>
    <v>ABBVIE INC.</v>
    <v>ABBVIE INC.</v>
    <v>233.42</v>
    <v>97.038499999999999</v>
    <v>236.19</v>
    <v>229.04</v>
    <v>1768169000</v>
    <v>ABBV</v>
    <v>ABBVIE INC. (XNYS:ABBV)</v>
    <v>4766654</v>
    <v>7074688</v>
    <v>2012</v>
  </rv>
  <rv s="2">
    <v>4</v>
  </rv>
  <rv s="0">
    <v>https://www.bing.com/financeapi/forcetrigger?t=a1mvm7&amp;q=XNYS%3aADM&amp;form=skydnc</v>
    <v>Learn more on Bing</v>
  </rv>
  <rv s="1">
    <v>0</v>
    <v>ARCHER-DANIELS-MIDLAND COMPANY. (XNYS:ADM)</v>
    <v>2</v>
    <v>3</v>
    <v>Finance</v>
    <v>4</v>
    <v>en-US</v>
    <v>a1mvm7</v>
    <v>268435456</v>
    <v>1</v>
    <v>Powered by Refinitiv</v>
    <v>70.48</v>
    <v>40.98</v>
    <v>0.68530000000000002</v>
    <v>-1.06</v>
    <v>-1.5768999999999998E-2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67.06</v>
    <v>Food &amp; Tobacco</v>
    <v>Stock</v>
    <v>46086.795380253905</v>
    <v>6</v>
    <v>65.959999999999994</v>
    <v>31836311088</v>
    <v>ARCHER-DANIELS-MIDLAND COMPANY.</v>
    <v>ARCHER-DANIELS-MIDLAND COMPANY.</v>
    <v>67</v>
    <v>29.688099999999999</v>
    <v>67.22</v>
    <v>66.16</v>
    <v>481201800</v>
    <v>ADM</v>
    <v>ARCHER-DANIELS-MIDLAND COMPANY. (XNYS:ADM)</v>
    <v>958192</v>
    <v>3803832</v>
    <v>1923</v>
  </rv>
  <rv s="2">
    <v>7</v>
  </rv>
  <rv s="0">
    <v>https://www.bing.com/financeapi/forcetrigger?t=a1mw4c&amp;q=XNAS%3aADP&amp;form=skydnc</v>
    <v>Learn more on Bing</v>
  </rv>
  <rv s="1">
    <v>0</v>
    <v>AUTOMATIC DATA PROCESSING, INC. (XNAS:ADP)</v>
    <v>2</v>
    <v>3</v>
    <v>Finance</v>
    <v>4</v>
    <v>en-US</v>
    <v>a1mw4c</v>
    <v>268435456</v>
    <v>1</v>
    <v>Powered by Refinitiv</v>
    <v>329.92950000000002</v>
    <v>203.26</v>
    <v>0.85199999999999998</v>
    <v>3.64</v>
    <v>1.6761999999999999E-2</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222</v>
    <v>Software &amp; IT Services</v>
    <v>Stock</v>
    <v>46086.795384282028</v>
    <v>9</v>
    <v>217.37</v>
    <v>88903861440</v>
    <v>AUTOMATIC DATA PROCESSING, INC.</v>
    <v>AUTOMATIC DATA PROCESSING, INC.</v>
    <v>217.49</v>
    <v>21.210799999999999</v>
    <v>217.16</v>
    <v>220.8</v>
    <v>402644300</v>
    <v>ADP</v>
    <v>AUTOMATIC DATA PROCESSING, INC. (XNAS:ADP)</v>
    <v>2921504</v>
    <v>4106671</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2.0215000000000001</v>
    <v>-5.17</v>
    <v>-2.5585E-2</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203.79</v>
    <v>Semiconductors &amp; Semiconductor Equipment</v>
    <v>Stock</v>
    <v>46086.795246654685</v>
    <v>12</v>
    <v>194.88</v>
    <v>321027925900</v>
    <v>ADVANCED MICRO DEVICES, INC.</v>
    <v>ADVANCED MICRO DEVICES, INC.</v>
    <v>197.6</v>
    <v>75.602800000000002</v>
    <v>202.07</v>
    <v>196.9</v>
    <v>1630411000</v>
    <v>AMD</v>
    <v>ADVANCED MICRO DEVICES, INC. (XNAS:AMD)</v>
    <v>22737908</v>
    <v>41308738</v>
    <v>1969</v>
  </rv>
  <rv s="2">
    <v>13</v>
  </rv>
  <rv s="0">
    <v>https://www.bing.com/financeapi/forcetrigger?t=a1ngur&amp;q=XNYS%3aAMT&amp;form=skydnc</v>
    <v>Learn more on Bing</v>
  </rv>
  <rv s="1">
    <v>0</v>
    <v>AMERICAN TOWER CORPORATION (XNYS:AMT)</v>
    <v>2</v>
    <v>3</v>
    <v>Finance</v>
    <v>4</v>
    <v>en-US</v>
    <v>a1ngur</v>
    <v>268435456</v>
    <v>1</v>
    <v>Powered by Refinitiv</v>
    <v>234.33</v>
    <v>166.88</v>
    <v>0.90639999999999998</v>
    <v>-2.5449999999999999</v>
    <v>-1.3339E-2</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4866</v>
    <v>New York Stock Exchange</v>
    <v>XNYS</v>
    <v>XNYS</v>
    <v>116 Huntington Ave, BOSTON, MA, 02116 US</v>
    <v>189.5</v>
    <v>Residential &amp; Commercial REIT</v>
    <v>Stock</v>
    <v>46086.795411388281</v>
    <v>15</v>
    <v>185.03</v>
    <v>87742794024</v>
    <v>AMERICAN TOWER CORPORATION</v>
    <v>AMERICAN TOWER CORPORATION</v>
    <v>189.5</v>
    <v>34.883400000000002</v>
    <v>190.8</v>
    <v>188.255</v>
    <v>466084800</v>
    <v>AMT</v>
    <v>AMERICAN TOWER CORPORATION (XNYS:AMT)</v>
    <v>1587871</v>
    <v>3242326</v>
    <v>1996</v>
  </rv>
  <rv s="2">
    <v>16</v>
  </rv>
  <rv s="0">
    <v>https://www.bing.com/financeapi/forcetrigger?t=a1nhlh&amp;q=XNAS%3aAMZN&amp;form=skydnc</v>
    <v>Learn more on Bing</v>
  </rv>
  <rv s="1">
    <v>0</v>
    <v>AMAZON.COM, INC. (XNAS:AMZN)</v>
    <v>2</v>
    <v>3</v>
    <v>Finance</v>
    <v>4</v>
    <v>en-US</v>
    <v>a1nhlh</v>
    <v>268435456</v>
    <v>1</v>
    <v>Powered by Refinitiv</v>
    <v>258.60000000000002</v>
    <v>161.38</v>
    <v>1.4158999999999999</v>
    <v>0.68500000000000005</v>
    <v>3.1590000000000003E-3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220.47</v>
    <v>Diversified Retail</v>
    <v>Stock</v>
    <v>46086.795333703129</v>
    <v>18</v>
    <v>215.59</v>
    <v>2334898774600</v>
    <v>AMAZON.COM, INC.</v>
    <v>AMAZON.COM, INC.</v>
    <v>216</v>
    <v>30.3261</v>
    <v>216.82</v>
    <v>217.505</v>
    <v>10734920000</v>
    <v>AMZN</v>
    <v>AMAZON.COM, INC. (XNAS:AMZN)</v>
    <v>36545330</v>
    <v>61675440</v>
    <v>1996</v>
  </rv>
  <rv s="2">
    <v>19</v>
  </rv>
  <rv s="0">
    <v>https://www.bing.com/financeapi/forcetrigger?t=a1nkm7&amp;q=XNYS%3aAOS&amp;form=skydnc</v>
    <v>Learn more on Bing</v>
  </rv>
  <rv s="1">
    <v>0</v>
    <v>A. O. SMITH CORPORATION (XNYS:AOS)</v>
    <v>2</v>
    <v>3</v>
    <v>Finance</v>
    <v>4</v>
    <v>en-US</v>
    <v>a1nkm7</v>
    <v>268435456</v>
    <v>1</v>
    <v>Powered by Refinitiv</v>
    <v>81.864999999999995</v>
    <v>58.83</v>
    <v>1.3090999999999999</v>
    <v>-1.66</v>
    <v>-2.2631000000000002E-2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73.31</v>
    <v>Machinery, Equipment &amp; Components</v>
    <v>Stock</v>
    <v>46086.795402753909</v>
    <v>21</v>
    <v>71.637500000000003</v>
    <v>9914002931</v>
    <v>A. O. SMITH CORPORATION</v>
    <v>A. O. SMITH CORPORATION</v>
    <v>72.27</v>
    <v>18.633800000000001</v>
    <v>73.349999999999994</v>
    <v>71.69</v>
    <v>138289900</v>
    <v>AOS</v>
    <v>A. O. SMITH CORPORATION (XNYS:AOS)</v>
    <v>532922</v>
    <v>1529748</v>
    <v>1986</v>
  </rv>
  <rv s="2">
    <v>22</v>
  </rv>
  <rv s="0">
    <v>https://www.bing.com/financeapi/forcetrigger?t=a1ntlh&amp;q=XNAS%3aASML&amp;form=skydnc</v>
    <v>Learn more on Bing</v>
  </rv>
  <rv s="1">
    <v>0</v>
    <v>ASML Holding NV (XNAS:ASML)</v>
    <v>2</v>
    <v>3</v>
    <v>Finance</v>
    <v>4</v>
    <v>en-US</v>
    <v>a1ntlh</v>
    <v>268435456</v>
    <v>1</v>
    <v>Powered by Refinitiv</v>
    <v>1547.22</v>
    <v>578.51</v>
    <v>1.8851</v>
    <v>-46.920099999999998</v>
    <v>-3.3529000000000003E-2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1407.38</v>
    <v>Semiconductors &amp; Semiconductor Equipment</v>
    <v>Stock</v>
    <v>46086.795345613282</v>
    <v>24</v>
    <v>1339.4501</v>
    <v>524950318050</v>
    <v>ASML Holding NV</v>
    <v>ASML Holding NV</v>
    <v>1381.12</v>
    <v>46.5944</v>
    <v>1399.37</v>
    <v>1352.4499000000001</v>
    <v>388147700</v>
    <v>ASML</v>
    <v>ASML Holding NV (XNAS:ASML)</v>
    <v>1249733</v>
    <v>1759450</v>
    <v>1994</v>
  </rv>
  <rv s="2">
    <v>25</v>
  </rv>
  <rv s="0">
    <v>https://www.bing.com/financeapi/forcetrigger?t=a1nz8m&amp;q=XNAS%3aAVGO&amp;form=skydnc</v>
    <v>Learn more on Bing</v>
  </rv>
  <rv s="1">
    <v>0</v>
    <v>BROADCOM INC. (XNAS:AVGO)</v>
    <v>2</v>
    <v>3</v>
    <v>Finance</v>
    <v>4</v>
    <v>en-US</v>
    <v>a1nz8m</v>
    <v>268435456</v>
    <v>1</v>
    <v>Powered by Refinitiv</v>
    <v>414.61</v>
    <v>138.1</v>
    <v>1.2596000000000001</v>
    <v>11.5</v>
    <v>3.6216999999999999E-2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336.12</v>
    <v>Semiconductors &amp; Semiconductor Equipment</v>
    <v>Stock</v>
    <v>46086.795292499999</v>
    <v>27</v>
    <v>323.02999999999997</v>
    <v>1558155455089</v>
    <v>BROADCOM INC.</v>
    <v>BROADCOM INC.</v>
    <v>330</v>
    <v>68.978999999999999</v>
    <v>317.52999999999997</v>
    <v>329.03</v>
    <v>4735603000</v>
    <v>AVGO</v>
    <v>BROADCOM INC. (XNAS:AVGO)</v>
    <v>39471429</v>
    <v>24782804</v>
    <v>2018</v>
  </rv>
  <rv s="2">
    <v>28</v>
  </rv>
  <rv s="0">
    <v>https://www.bing.com/financeapi/forcetrigger?t=a1o1jc&amp;q=XNYS%3aAWK&amp;form=skydnc</v>
    <v>Learn more on Bing</v>
  </rv>
  <rv s="1">
    <v>0</v>
    <v>AMERICAN WATER WORKS COMPANY, INC. (XNYS:AWK)</v>
    <v>2</v>
    <v>3</v>
    <v>Finance</v>
    <v>4</v>
    <v>en-US</v>
    <v>a1o1jc</v>
    <v>268435456</v>
    <v>1</v>
    <v>Powered by Refinitiv</v>
    <v>155.5</v>
    <v>121.27500000000001</v>
    <v>0.75790000000000002</v>
    <v>-0.72</v>
    <v>-5.2780000000000006E-3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136.88999999999999</v>
    <v>Water Utilities</v>
    <v>Stock</v>
    <v>46086.795349964843</v>
    <v>30</v>
    <v>134.47</v>
    <v>26487868503</v>
    <v>AMERICAN WATER WORKS COMPANY, INC.</v>
    <v>AMERICAN WATER WORKS COMPANY, INC.</v>
    <v>135.22999999999999</v>
    <v>23.816099999999999</v>
    <v>136.41</v>
    <v>135.69</v>
    <v>195208700</v>
    <v>AWK</v>
    <v>AMERICAN WATER WORKS COMPANY, INC. (XNYS:AWK)</v>
    <v>743867</v>
    <v>1952475</v>
    <v>1936</v>
  </rv>
  <rv s="2">
    <v>31</v>
  </rv>
  <rv s="0">
    <v>https://www.bing.com/financeapi/forcetrigger?t=a1o9gh&amp;q=XNYS%3aBBY&amp;form=skydnc</v>
    <v>Learn more on Bing</v>
  </rv>
  <rv s="1">
    <v>0</v>
    <v>Best Buy Co., Inc. (XNYS:BBY)</v>
    <v>2</v>
    <v>3</v>
    <v>Finance</v>
    <v>4</v>
    <v>en-US</v>
    <v>a1o9gh</v>
    <v>268435456</v>
    <v>1</v>
    <v>Powered by Refinitiv</v>
    <v>84.99</v>
    <v>54.99</v>
    <v>1.4317</v>
    <v>-1.92</v>
    <v>-2.8490999999999999E-2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67.22</v>
    <v>Specialty Retailers</v>
    <v>Stock</v>
    <v>46086.795340578123</v>
    <v>33</v>
    <v>65.239999999999995</v>
    <v>13718262997</v>
    <v>Best Buy Co., Inc.</v>
    <v>Best Buy Co., Inc.</v>
    <v>66.8</v>
    <v>21.6037</v>
    <v>67.39</v>
    <v>65.47</v>
    <v>209535100</v>
    <v>BBY</v>
    <v>Best Buy Co., Inc. (XNYS:BBY)</v>
    <v>2384949</v>
    <v>5174561</v>
    <v>1966</v>
  </rv>
  <rv s="2">
    <v>34</v>
  </rv>
  <rv s="0">
    <v>https://www.bing.com/financeapi/forcetrigger?t=a1odur&amp;q=XNYS%3aBF.A&amp;form=skydnc</v>
    <v>Learn more on Bing</v>
  </rv>
  <rv s="1">
    <v>0</v>
    <v>BROWN-FORMAN CORPORATION (XNYS:BF.A)</v>
    <v>2</v>
    <v>3</v>
    <v>Finance</v>
    <v>4</v>
    <v>en-US</v>
    <v>a1odur</v>
    <v>268435456</v>
    <v>1</v>
    <v>Powered by Refinitiv</v>
    <v>38.21</v>
    <v>25.53</v>
    <v>0.40849999999999997</v>
    <v>0.02</v>
    <v>7.4520000000000001E-4</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27.25</v>
    <v>Beverages</v>
    <v>Stock</v>
    <v>46086.795144189062</v>
    <v>36</v>
    <v>26.35</v>
    <v>12441804484</v>
    <v>BROWN-FORMAN CORPORATION</v>
    <v>BROWN-FORMAN CORPORATION</v>
    <v>26.725000000000001</v>
    <v>0</v>
    <v>26.84</v>
    <v>26.86</v>
    <v>463209400</v>
    <v>BF.A</v>
    <v>BROWN-FORMAN CORPORATION (XNYS:BF.A)</v>
    <v>101936</v>
    <v>223808</v>
    <v>1933</v>
  </rv>
  <rv s="2">
    <v>37</v>
  </rv>
  <rv s="0">
    <v>https://www.bing.com/financeapi/forcetrigger?t=a1om4c&amp;q=XNYS%3aBLK&amp;form=skydnc</v>
    <v>Learn more on Bing</v>
  </rv>
  <rv s="1">
    <v>0</v>
    <v>BLACKROCK, INC. (XNYS:BLK)</v>
    <v>2</v>
    <v>3</v>
    <v>Finance</v>
    <v>4</v>
    <v>en-US</v>
    <v>a1om4c</v>
    <v>268435456</v>
    <v>1</v>
    <v>Powered by Refinitiv</v>
    <v>1219.9399000000001</v>
    <v>773.74009999999998</v>
    <v>1.4867999999999999</v>
    <v>-23.635899999999999</v>
    <v>-2.2526999999999998E-2</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1045.8800000000001</v>
    <v>Investment Banking &amp; Investment Services</v>
    <v>Stock</v>
    <v>46086.79539622656</v>
    <v>39</v>
    <v>1024.0201</v>
    <v>159522444705</v>
    <v>BLACKROCK, INC.</v>
    <v>BLACKROCK, INC.</v>
    <v>1039.19</v>
    <v>29.593</v>
    <v>1049.23</v>
    <v>1025.5941</v>
    <v>155541500</v>
    <v>BLK</v>
    <v>BLACKROCK, INC. (XNYS:BLK)</v>
    <v>316243</v>
    <v>798618</v>
    <v>2024</v>
  </rv>
  <rv s="2">
    <v>40</v>
  </rv>
  <rv s="0">
    <v>https://www.bing.com/financeapi/forcetrigger?t=a1ook2&amp;q=XNYS%3aBMY&amp;form=skydnc</v>
    <v>Learn more on Bing</v>
  </rv>
  <rv s="1">
    <v>0</v>
    <v>BRISTOL-MYERS SQUIBB COMPANY (XNYS:BMY)</v>
    <v>2</v>
    <v>3</v>
    <v>Finance</v>
    <v>4</v>
    <v>en-US</v>
    <v>a1ook2</v>
    <v>268435456</v>
    <v>1</v>
    <v>Powered by Refinitiv</v>
    <v>63.33</v>
    <v>42.52</v>
    <v>0.26579999999999998</v>
    <v>-1.32</v>
    <v>-2.1177999999999999E-2</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61.88</v>
    <v>Pharmaceuticals</v>
    <v>Stock</v>
    <v>46086.795347615625</v>
    <v>42</v>
    <v>60.255000000000003</v>
    <v>124245278740</v>
    <v>BRISTOL-MYERS SQUIBB COMPANY</v>
    <v>BRISTOL-MYERS SQUIBB COMPANY</v>
    <v>61.82</v>
    <v>17.668199999999999</v>
    <v>62.33</v>
    <v>61.01</v>
    <v>2036474000</v>
    <v>BMY</v>
    <v>BRISTOL-MYERS SQUIBB COMPANY (XNYS:BMY)</v>
    <v>6301973</v>
    <v>13853282</v>
    <v>1933</v>
  </rv>
  <rv s="2">
    <v>43</v>
  </rv>
  <rv s="0">
    <v>https://www.bing.com/financeapi/forcetrigger?t=a1p7zr&amp;q=XNYS%3aCAT&amp;form=skydnc</v>
    <v>Learn more on Bing</v>
  </rv>
  <rv s="1">
    <v>0</v>
    <v>CATERPILLAR INC. (XNYS:CAT)</v>
    <v>2</v>
    <v>3</v>
    <v>Finance</v>
    <v>4</v>
    <v>en-US</v>
    <v>a1p7zr</v>
    <v>268435456</v>
    <v>1</v>
    <v>Powered by Refinitiv</v>
    <v>789.81</v>
    <v>267.3</v>
    <v>1.5331999999999999</v>
    <v>-34.14</v>
    <v>-4.6641000000000002E-2</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727.88</v>
    <v>Machinery, Equipment &amp; Components</v>
    <v>Stock</v>
    <v>46086.795266724221</v>
    <v>45</v>
    <v>693.57640000000004</v>
    <v>324691436559</v>
    <v>CATERPILLAR INC.</v>
    <v>CATERPILLAR INC.</v>
    <v>720.93</v>
    <v>37.066400000000002</v>
    <v>731.97</v>
    <v>697.83</v>
    <v>465287300</v>
    <v>CAT</v>
    <v>CATERPILLAR INC. (XNYS:CAT)</v>
    <v>1947478</v>
    <v>3369812</v>
    <v>1986</v>
  </rv>
  <rv s="2">
    <v>46</v>
  </rv>
  <rv s="0">
    <v>https://www.bing.com/financeapi/forcetrigger?t=a1pcf2&amp;q=XNYS%3aCCI&amp;form=skydnc</v>
    <v>Learn more on Bing</v>
  </rv>
  <rv s="1">
    <v>0</v>
    <v>CROWN CASTLE INC. (XNYS:CCI)</v>
    <v>2</v>
    <v>3</v>
    <v>Finance</v>
    <v>4</v>
    <v>en-US</v>
    <v>a1pcf2</v>
    <v>268435456</v>
    <v>1</v>
    <v>Powered by Refinitiv</v>
    <v>115.76</v>
    <v>77.010000000000005</v>
    <v>0.94730000000000003</v>
    <v>-1.28</v>
    <v>-1.4043000000000002E-2</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4000</v>
    <v>New York Stock Exchange</v>
    <v>XNYS</v>
    <v>XNYS</v>
    <v>8020 Katy Freeway, HOUSTON, TX, 77024 US</v>
    <v>90.484999999999999</v>
    <v>Residential &amp; Commercial REIT</v>
    <v>Stock</v>
    <v>46086.795406284378</v>
    <v>48</v>
    <v>88.894999999999996</v>
    <v>39189646848</v>
    <v>CROWN CASTLE INC.</v>
    <v>CROWN CASTLE INC.</v>
    <v>90.35</v>
    <v>35.606200000000001</v>
    <v>91.15</v>
    <v>89.87</v>
    <v>436070400</v>
    <v>CCI</v>
    <v>CROWN CASTLE INC. (XNYS:CCI)</v>
    <v>1057734</v>
    <v>4106784</v>
    <v>2014</v>
  </rv>
  <rv s="2">
    <v>49</v>
  </rv>
  <rv s="0">
    <v>https://www.bing.com/financeapi/forcetrigger?t=a1pshw&amp;q=XNYS%3aCL&amp;form=skydnc</v>
    <v>Learn more on Bing</v>
  </rv>
  <rv s="1">
    <v>0</v>
    <v>COLGATE-PALMOLIVE COMPANY (XNYS:CL)</v>
    <v>2</v>
    <v>3</v>
    <v>Finance</v>
    <v>4</v>
    <v>en-US</v>
    <v>a1pshw</v>
    <v>268435456</v>
    <v>1</v>
    <v>Powered by Refinitiv</v>
    <v>100.18</v>
    <v>74.545000000000002</v>
    <v>0.26779999999999998</v>
    <v>-2.19</v>
    <v>-2.2985000000000002E-2</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94.84</v>
    <v>Personal &amp; Household Products &amp; Services</v>
    <v>Stock</v>
    <v>46086.795358298441</v>
    <v>51</v>
    <v>92.9</v>
    <v>74616103320</v>
    <v>COLGATE-PALMOLIVE COMPANY</v>
    <v>COLGATE-PALMOLIVE COMPANY</v>
    <v>94.84</v>
    <v>35.511600000000001</v>
    <v>95.28</v>
    <v>93.09</v>
    <v>801548000</v>
    <v>CL</v>
    <v>COLGATE-PALMOLIVE COMPANY (XNYS:CL)</v>
    <v>3018788</v>
    <v>7072236</v>
    <v>1923</v>
  </rv>
  <rv s="2">
    <v>52</v>
  </rv>
  <rv s="0">
    <v>https://www.bing.com/financeapi/forcetrigger?t=a1pvu2&amp;q=XNYS%3aCLX&amp;form=skydnc</v>
    <v>Learn more on Bing</v>
  </rv>
  <rv s="1">
    <v>0</v>
    <v>THE CLOROX COMPANY (XNYS:CLX)</v>
    <v>2</v>
    <v>3</v>
    <v>Finance</v>
    <v>4</v>
    <v>en-US</v>
    <v>a1pvu2</v>
    <v>268435456</v>
    <v>1</v>
    <v>Powered by Refinitiv</v>
    <v>153.89699999999999</v>
    <v>96.6601</v>
    <v>0.57489999999999997</v>
    <v>-2.4750000000000001</v>
    <v>-2.1076000000000001E-2</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116.35</v>
    <v>Personal &amp; Household Products &amp; Services</v>
    <v>Stock</v>
    <v>46086.795308321096</v>
    <v>54</v>
    <v>113.69</v>
    <v>13899427464</v>
    <v>THE CLOROX COMPANY</v>
    <v>THE CLOROX COMPANY</v>
    <v>116.35</v>
    <v>18.782599999999999</v>
    <v>117.43</v>
    <v>114.955</v>
    <v>120911900</v>
    <v>CLX</v>
    <v>THE CLOROX COMPANY (XNYS:CLX)</v>
    <v>1147016</v>
    <v>2246070</v>
    <v>1986</v>
  </rv>
  <rv s="2">
    <v>55</v>
  </rv>
  <rv s="0">
    <v>https://www.bing.com/financeapi/forcetrigger?t=a1pwqh&amp;q=XNAS%3aCMCSA&amp;form=skydnc</v>
    <v>Learn more on Bing</v>
  </rv>
  <rv s="1">
    <v>0</v>
    <v>COMCAST CORPORATION (XNAS:CMCSA)</v>
    <v>2</v>
    <v>3</v>
    <v>Finance</v>
    <v>4</v>
    <v>en-US</v>
    <v>a1pwqh</v>
    <v>268435456</v>
    <v>1</v>
    <v>Powered by Refinitiv</v>
    <v>35.5762</v>
    <v>24.1234</v>
    <v>0.77690000000000003</v>
    <v>-0.36499999999999999</v>
    <v>-1.1374E-2</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32.4</v>
    <v>Telecommunications Services</v>
    <v>Stock</v>
    <v>46086.795389443752</v>
    <v>57</v>
    <v>31.625</v>
    <v>114141664350</v>
    <v>COMCAST CORPORATION</v>
    <v>COMCAST CORPORATION</v>
    <v>31.98</v>
    <v>5.9016000000000002</v>
    <v>32.090000000000003</v>
    <v>31.725000000000001</v>
    <v>3597846000</v>
    <v>CMCSA</v>
    <v>COMCAST CORPORATION (XNAS:CMCSA)</v>
    <v>11302605</v>
    <v>31673845</v>
    <v>2001</v>
  </rv>
  <rv s="2">
    <v>58</v>
  </rv>
  <rv s="0">
    <v>https://www.bing.com/financeapi/forcetrigger?t=a1q19c&amp;q=XNYS%3aCNI&amp;form=skydnc</v>
    <v>Learn more on Bing</v>
  </rv>
  <rv s="1">
    <v>0</v>
    <v>Canadian National Railway Company (XNYS:CNI)</v>
    <v>2</v>
    <v>5</v>
    <v>Finance</v>
    <v>4</v>
    <v>en-US</v>
    <v>a1q19c</v>
    <v>268435456</v>
    <v>1</v>
    <v>Powered by Refinitiv</v>
    <v>113.08499999999999</v>
    <v>90.74</v>
    <v>0.94730000000000003</v>
    <v>-1.8149999999999999</v>
    <v>-1.6382000000000001E-2</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110.35</v>
    <v>Freight &amp; Logistics Services</v>
    <v>Stock</v>
    <v>46086.795328251559</v>
    <v>60</v>
    <v>108.14</v>
    <v>68586852000</v>
    <v>Canadian National Railway Company</v>
    <v>Canadian National Railway Company</v>
    <v>109.64</v>
    <v>19.762599999999999</v>
    <v>110.79</v>
    <v>108.97499999999999</v>
    <v>611400000</v>
    <v>CNI</v>
    <v>Canadian National Railway Company (XNYS:CNI)</v>
    <v>491473</v>
    <v>2021689</v>
    <v>1995</v>
  </rv>
  <rv s="2">
    <v>61</v>
  </rv>
  <rv s="0">
    <v>https://www.bing.com/financeapi/forcetrigger?t=a1q6k2&amp;q=XNAS%3aCOST&amp;form=skydnc</v>
    <v>Learn more on Bing</v>
  </rv>
  <rv s="1">
    <v>0</v>
    <v>COSTCO WHOLESALE CORPORATION (XNAS:COST)</v>
    <v>2</v>
    <v>3</v>
    <v>Finance</v>
    <v>4</v>
    <v>en-US</v>
    <v>a1q6k2</v>
    <v>268435456</v>
    <v>1</v>
    <v>Powered by Refinitiv</v>
    <v>1067.08</v>
    <v>844.06</v>
    <v>1.0015000000000001</v>
    <v>-26.36</v>
    <v>-2.6183999999999999E-2</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999.25</v>
    <v>Diversified Retail</v>
    <v>Stock</v>
    <v>46086.795310902344</v>
    <v>63</v>
    <v>978.81</v>
    <v>435160682372</v>
    <v>COSTCO WHOLESALE CORPORATION</v>
    <v>COSTCO WHOLESALE CORPORATION</v>
    <v>995.59</v>
    <v>52.515999999999998</v>
    <v>1006.74</v>
    <v>980.38</v>
    <v>443869400</v>
    <v>COST</v>
    <v>COSTCO WHOLESALE CORPORATION (XNAS:COST)</v>
    <v>1278829</v>
    <v>2175921</v>
    <v>1987</v>
  </rv>
  <rv s="2">
    <v>64</v>
  </rv>
  <rv s="0">
    <v>https://www.bing.com/financeapi/forcetrigger?t=a1q7jc&amp;q=XNYS%3aCPB&amp;form=skydnc</v>
    <v>Learn more on Bing</v>
  </rv>
  <rv s="1">
    <v>0</v>
    <v>THE CAMPBELL'S COMPANY (XNAS:CPB)</v>
    <v>2</v>
    <v>3</v>
    <v>Finance</v>
    <v>4</v>
    <v>en-US</v>
    <v>a1q7jc</v>
    <v>268435456</v>
    <v>1</v>
    <v>Powered by Refinitiv</v>
    <v>43.85</v>
    <v>24.91</v>
    <v>-5.7599999999999998E-2</v>
    <v>0.215</v>
    <v>8.5690000000000002E-3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25.58</v>
    <v>Food &amp; Tobacco</v>
    <v>Stock</v>
    <v>46086.79535697891</v>
    <v>66</v>
    <v>24.91</v>
    <v>7544285931</v>
    <v>THE CAMPBELL'S COMPANY</v>
    <v>THE CAMPBELL'S COMPANY</v>
    <v>25.02</v>
    <v>13.102600000000001</v>
    <v>25.09</v>
    <v>25.305</v>
    <v>298134200</v>
    <v>CPB</v>
    <v>THE CAMPBELL'S COMPANY (XNAS:CPB)</v>
    <v>5979646</v>
    <v>7114941</v>
    <v>1922</v>
  </rv>
  <rv s="2">
    <v>67</v>
  </rv>
  <rv s="0">
    <v>https://www.bing.com/financeapi/forcetrigger?t=a1qlnm&amp;q=XNYS%3aCVS&amp;form=skydnc</v>
    <v>Learn more on Bing</v>
  </rv>
  <rv s="1">
    <v>0</v>
    <v>CVS HEALTH CORPORATION (XNYS:CVS)</v>
    <v>2</v>
    <v>3</v>
    <v>Finance</v>
    <v>4</v>
    <v>en-US</v>
    <v>a1qlnm</v>
    <v>268435456</v>
    <v>1</v>
    <v>Powered by Refinitiv</v>
    <v>85.15</v>
    <v>58.35</v>
    <v>0.4632</v>
    <v>-1.01</v>
    <v>-1.2536E-2</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80.319999999999993</v>
    <v>Healthcare Providers &amp; Services</v>
    <v>Stock</v>
    <v>46086.795243517969</v>
    <v>69</v>
    <v>78.790000000000006</v>
    <v>101217107160</v>
    <v>CVS HEALTH CORPORATION</v>
    <v>CVS HEALTH CORPORATION</v>
    <v>79.97</v>
    <v>58.179200000000002</v>
    <v>80.569999999999993</v>
    <v>79.56</v>
    <v>1272211000</v>
    <v>CVS</v>
    <v>CVS HEALTH CORPORATION (XNYS:CVS)</v>
    <v>4589281</v>
    <v>9004618</v>
    <v>1996</v>
  </rv>
  <rv s="2">
    <v>70</v>
  </rv>
  <rv s="0">
    <v>https://www.bing.com/financeapi/forcetrigger?t=a1qlz2&amp;q=XNYS%3aCVX&amp;form=skydnc</v>
    <v>Learn more on Bing</v>
  </rv>
  <rv s="1">
    <v>0</v>
    <v>CHEVRON CORPORATION (XNYS:CVX)</v>
    <v>2</v>
    <v>3</v>
    <v>Finance</v>
    <v>4</v>
    <v>en-US</v>
    <v>a1qlz2</v>
    <v>268435456</v>
    <v>1</v>
    <v>Powered by Refinitiv</v>
    <v>191.5599</v>
    <v>132.04</v>
    <v>0.65939999999999999</v>
    <v>3.08</v>
    <v>1.6556000000000001E-2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189.77</v>
    <v>Oil &amp; Gas</v>
    <v>Stock</v>
    <v>46086.795354154689</v>
    <v>72</v>
    <v>186.495</v>
    <v>377347257350</v>
    <v>CHEVRON CORPORATION</v>
    <v>CHEVRON CORPORATION</v>
    <v>186.6</v>
    <v>28.455100000000002</v>
    <v>186.03</v>
    <v>189.11</v>
    <v>1995385000</v>
    <v>CVX</v>
    <v>CHEVRON CORPORATION (XNYS:CVX)</v>
    <v>6372493</v>
    <v>11652373</v>
    <v>1926</v>
  </rv>
  <rv s="2">
    <v>73</v>
  </rv>
  <rv s="0">
    <v>https://www.bing.com/financeapi/forcetrigger?t=a1qpw7&amp;q=XNYS%3aD&amp;form=skydnc</v>
    <v>Learn more on Bing</v>
  </rv>
  <rv s="1">
    <v>0</v>
    <v>Dominion Energy, Inc. (XNYS:D)</v>
    <v>2</v>
    <v>3</v>
    <v>Finance</v>
    <v>4</v>
    <v>en-US</v>
    <v>a1qpw7</v>
    <v>268435456</v>
    <v>1</v>
    <v>Powered by Refinitiv</v>
    <v>67.569900000000004</v>
    <v>48.07</v>
    <v>0.66979999999999995</v>
    <v>-0.14000000000000001</v>
    <v>-2.2370000000000003E-3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62.99</v>
    <v>Electrical Utilities &amp; IPPs</v>
    <v>Stock</v>
    <v>46086.795301260936</v>
    <v>75</v>
    <v>62.07</v>
    <v>54862585008</v>
    <v>Dominion Energy, Inc.</v>
    <v>Dominion Energy, Inc.</v>
    <v>62.22</v>
    <v>18.083100000000002</v>
    <v>62.57</v>
    <v>62.43</v>
    <v>878785600</v>
    <v>D</v>
    <v>Dominion Energy, Inc. (XNYS:D)</v>
    <v>2090521</v>
    <v>6320585</v>
    <v>1983</v>
  </rv>
  <rv s="2">
    <v>76</v>
  </rv>
  <rv s="0">
    <v>https://www.bing.com/financeapi/forcetrigger?t=a1qvjc&amp;q=XNYS%3aDE&amp;form=skydnc</v>
    <v>Learn more on Bing</v>
  </rv>
  <rv s="1">
    <v>0</v>
    <v>DEERE &amp; COMPANY (XNYS:DE)</v>
    <v>2</v>
    <v>3</v>
    <v>Finance</v>
    <v>4</v>
    <v>en-US</v>
    <v>a1qvjc</v>
    <v>268435456</v>
    <v>1</v>
    <v>Powered by Refinitiv</v>
    <v>674.18989999999997</v>
    <v>404.42</v>
    <v>0.96340000000000003</v>
    <v>-25.88</v>
    <v>-4.2146999999999997E-2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610.19000000000005</v>
    <v>Machinery, Equipment &amp; Components</v>
    <v>Stock</v>
    <v>46086.795324351566</v>
    <v>78</v>
    <v>587.17999999999995</v>
    <v>158866309568</v>
    <v>DEERE &amp; COMPANY</v>
    <v>DEERE &amp; COMPANY</v>
    <v>608.39</v>
    <v>33.160600000000002</v>
    <v>614.04</v>
    <v>588.16</v>
    <v>270107300</v>
    <v>DE</v>
    <v>DEERE &amp; COMPANY (XNYS:DE)</v>
    <v>816713</v>
    <v>1957388</v>
    <v>1958</v>
  </rv>
  <rv s="2">
    <v>79</v>
  </rv>
  <rv s="0">
    <v>https://www.bing.com/financeapi/forcetrigger?t=a1qwoc&amp;q=XNYS%3aDEO&amp;form=skydnc</v>
    <v>Learn more on Bing</v>
  </rv>
  <rv s="1">
    <v>0</v>
    <v>DIAGEO PLC (XNYS:DEO)</v>
    <v>2</v>
    <v>3</v>
    <v>Finance</v>
    <v>4</v>
    <v>en-US</v>
    <v>a1qwoc</v>
    <v>268435456</v>
    <v>1</v>
    <v>Powered by Refinitiv</v>
    <v>116.69</v>
    <v>80.790000000000006</v>
    <v>0.4622</v>
    <v>-0.18</v>
    <v>-2.1879999999999998E-3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82.504999999999995</v>
    <v>Beverages</v>
    <v>Stock</v>
    <v>46086.795356770315</v>
    <v>81</v>
    <v>81.430000000000007</v>
    <v>45686795040</v>
    <v>DIAGEO PLC</v>
    <v>DIAGEO PLC</v>
    <v>81.45</v>
    <v>18.960100000000001</v>
    <v>82.26</v>
    <v>82.08</v>
    <v>556613000</v>
    <v>DEO</v>
    <v>DIAGEO PLC (XNYS:DEO)</v>
    <v>1508745</v>
    <v>2095633</v>
    <v>1886</v>
  </rv>
  <rv s="2">
    <v>82</v>
  </rv>
  <rv s="0">
    <v>https://www.bing.com/financeapi/forcetrigger?t=a1r5fr&amp;q=XNYS%3aDLR&amp;form=skydnc</v>
    <v>Learn more on Bing</v>
  </rv>
  <rv s="1">
    <v>0</v>
    <v>DIGITAL REALTY TRUST, INC. (XNYS:DLR)</v>
    <v>2</v>
    <v>3</v>
    <v>Finance</v>
    <v>4</v>
    <v>en-US</v>
    <v>a1r5fr</v>
    <v>268435456</v>
    <v>1</v>
    <v>Powered by Refinitiv</v>
    <v>184.79</v>
    <v>129.94999999999999</v>
    <v>1.129</v>
    <v>-3.085</v>
    <v>-1.6893000000000002E-2</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181.75</v>
    <v>Residential &amp; Commercial REIT</v>
    <v>Stock</v>
    <v>46086.795280705468</v>
    <v>84</v>
    <v>177.745</v>
    <v>61690990839</v>
    <v>DIGITAL REALTY TRUST, INC.</v>
    <v>DIGITAL REALTY TRUST, INC.</v>
    <v>180.38</v>
    <v>50.1494</v>
    <v>182.62</v>
    <v>179.535</v>
    <v>343615400</v>
    <v>DLR</v>
    <v>DIGITAL REALTY TRUST, INC. (XNYS:DLR)</v>
    <v>851488</v>
    <v>2097586</v>
    <v>2004</v>
  </rv>
  <rv s="2">
    <v>85</v>
  </rv>
  <rv s="0">
    <v>https://www.bing.com/financeapi/forcetrigger?t=bpifbh&amp;q=XNYS%3aDOW&amp;form=skydnc</v>
    <v>Learn more on Bing</v>
  </rv>
  <rv s="1">
    <v>0</v>
    <v>Dow Inc. (XNYS:DOW)</v>
    <v>2</v>
    <v>3</v>
    <v>Finance</v>
    <v>4</v>
    <v>en-US</v>
    <v>bpifbh</v>
    <v>268435456</v>
    <v>1</v>
    <v>Powered by Refinitiv</v>
    <v>38.363599999999998</v>
    <v>20.401900000000001</v>
    <v>0.70299999999999996</v>
    <v>1.6103000000000001</v>
    <v>4.9793000000000004E-2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34.591999999999999</v>
    <v>Chemicals</v>
    <v>Stock</v>
    <v>46086.795343807811</v>
    <v>87</v>
    <v>33.21</v>
    <v>24431294515</v>
    <v>Dow Inc.</v>
    <v>Dow Inc.</v>
    <v>33.5</v>
    <v>0</v>
    <v>32.340000000000003</v>
    <v>33.950299999999999</v>
    <v>719619400</v>
    <v>DOW</v>
    <v>Dow Inc. (XNYS:DOW)</v>
    <v>16172531</v>
    <v>14162321</v>
    <v>2018</v>
  </rv>
  <rv s="2">
    <v>88</v>
  </rv>
  <rv s="0">
    <v>https://www.bing.com/financeapi/forcetrigger?t=a1rdzr&amp;q=XNYS%3aDUK&amp;form=skydnc</v>
    <v>Learn more on Bing</v>
  </rv>
  <rv s="1">
    <v>0</v>
    <v>DUKE ENERGY CORPORATION (XNYS:DUK)</v>
    <v>2</v>
    <v>3</v>
    <v>Finance</v>
    <v>4</v>
    <v>en-US</v>
    <v>a1rdzr</v>
    <v>268435456</v>
    <v>1</v>
    <v>Powered by Refinitiv</v>
    <v>132.655</v>
    <v>111.22</v>
    <v>0.4657</v>
    <v>-0.94</v>
    <v>-7.1279999999999998E-3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131.709</v>
    <v>Electrical Utilities &amp; IPPs</v>
    <v>Stock</v>
    <v>46086.795349745313</v>
    <v>90</v>
    <v>129.53</v>
    <v>101828227646</v>
    <v>DUKE ENERGY CORPORATION</v>
    <v>DUKE ENERGY CORPORATION</v>
    <v>131.04</v>
    <v>20.713799999999999</v>
    <v>131.88</v>
    <v>130.94</v>
    <v>777670900</v>
    <v>DUK</v>
    <v>DUKE ENERGY CORPORATION (XNYS:DUK)</v>
    <v>2138509</v>
    <v>4771130</v>
    <v>2005</v>
  </rv>
  <rv s="2">
    <v>91</v>
  </rv>
  <rv s="0">
    <v>https://www.bing.com/financeapi/forcetrigger?t=a1rmkr&amp;q=XNYS%3aED&amp;form=skydnc</v>
    <v>Learn more on Bing</v>
  </rv>
  <rv s="1">
    <v>0</v>
    <v>CONSOLIDATED EDISON, INC. (XNYS:ED)</v>
    <v>2</v>
    <v>3</v>
    <v>Finance</v>
    <v>4</v>
    <v>en-US</v>
    <v>a1rmkr</v>
    <v>268435456</v>
    <v>1</v>
    <v>Powered by Refinitiv</v>
    <v>115.25</v>
    <v>94.96</v>
    <v>0.34560000000000002</v>
    <v>-1.57</v>
    <v>-1.3956999999999999E-2</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112.2</v>
    <v>Electrical Utilities &amp; IPPs</v>
    <v>Stock</v>
    <v>46086.795313460156</v>
    <v>93</v>
    <v>110.255</v>
    <v>40075695484</v>
    <v>CONSOLIDATED EDISON, INC.</v>
    <v>CONSOLIDATED EDISON, INC.</v>
    <v>111.75</v>
    <v>19.6204</v>
    <v>112.49</v>
    <v>110.92</v>
    <v>361302700</v>
    <v>ED</v>
    <v>CONSOLIDATED EDISON, INC. (XNYS:ED)</v>
    <v>887989</v>
    <v>2550467</v>
    <v>1997</v>
  </rv>
  <rv s="2">
    <v>94</v>
  </rv>
  <rv s="0">
    <v>https://www.bing.com/financeapi/forcetrigger?t=a1rxu2&amp;q=XNYS%3aEMN&amp;form=skydnc</v>
    <v>Learn more on Bing</v>
  </rv>
  <rv s="1">
    <v>0</v>
    <v>EASTMAN CHEMICAL COMPANY (XNYS:EMN)</v>
    <v>2</v>
    <v>3</v>
    <v>Finance</v>
    <v>4</v>
    <v>en-US</v>
    <v>a1rxu2</v>
    <v>268435456</v>
    <v>1</v>
    <v>Powered by Refinitiv</v>
    <v>99.89</v>
    <v>56.11</v>
    <v>1.2216</v>
    <v>-1.1599999999999999</v>
    <v>-1.5792999999999998E-2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75.34</v>
    <v>Chemicals</v>
    <v>Stock</v>
    <v>46086.795313055467</v>
    <v>96</v>
    <v>72.075000000000003</v>
    <v>8248093817</v>
    <v>EASTMAN CHEMICAL COMPANY</v>
    <v>EASTMAN CHEMICAL COMPANY</v>
    <v>73.864999999999995</v>
    <v>19.005199999999999</v>
    <v>73.45</v>
    <v>72.290000000000006</v>
    <v>114097300</v>
    <v>EMN</v>
    <v>EASTMAN CHEMICAL COMPANY (XNYS:EMN)</v>
    <v>637336</v>
    <v>1843582</v>
    <v>1993</v>
  </rv>
  <rv s="2">
    <v>97</v>
  </rv>
  <rv s="0">
    <v>https://www.bing.com/financeapi/forcetrigger?t=a1s24c&amp;q=XNYS%3aEOG&amp;form=skydnc</v>
    <v>Learn more on Bing</v>
  </rv>
  <rv s="1">
    <v>0</v>
    <v>EOG RESOURCES, INC. (XNYS:EOG)</v>
    <v>2</v>
    <v>3</v>
    <v>Finance</v>
    <v>4</v>
    <v>en-US</v>
    <v>a1s24c</v>
    <v>268435456</v>
    <v>1</v>
    <v>Powered by Refinitiv</v>
    <v>131.9</v>
    <v>101.5936</v>
    <v>0.41420000000000001</v>
    <v>3.29</v>
    <v>2.5739000000000001E-2</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131.9</v>
    <v>Oil &amp; Gas</v>
    <v>Stock</v>
    <v>46086.795355635935</v>
    <v>99</v>
    <v>128.97499999999999</v>
    <v>70339400565</v>
    <v>EOG RESOURCES, INC.</v>
    <v>EOG RESOURCES, INC.</v>
    <v>128.97499999999999</v>
    <v>14.3901</v>
    <v>127.82</v>
    <v>131.11000000000001</v>
    <v>536491500</v>
    <v>EOG</v>
    <v>EOG RESOURCES, INC. (XNYS:EOG)</v>
    <v>2898090</v>
    <v>5867746</v>
    <v>1985</v>
  </rv>
  <rv s="2">
    <v>100</v>
  </rv>
  <rv s="0">
    <v>https://www.bing.com/financeapi/forcetrigger?t=a1s4mw&amp;q=XNAS%3aEQIX&amp;form=skydnc</v>
    <v>Learn more on Bing</v>
  </rv>
  <rv s="1">
    <v>0</v>
    <v>EQUINIX, INC. (XNAS:EQIX)</v>
    <v>2</v>
    <v>3</v>
    <v>Finance</v>
    <v>4</v>
    <v>en-US</v>
    <v>a1s4mw</v>
    <v>268435456</v>
    <v>1</v>
    <v>Powered by Refinitiv</v>
    <v>992.9</v>
    <v>701.41</v>
    <v>1.0307999999999999</v>
    <v>-15.04</v>
    <v>-1.5521E-2</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962.53</v>
    <v>Residential &amp; Commercial REIT</v>
    <v>Stock</v>
    <v>46086.795334941409</v>
    <v>102</v>
    <v>946.06</v>
    <v>93735203220</v>
    <v>EQUINIX, INC.</v>
    <v>EQUINIX, INC.</v>
    <v>954.6</v>
    <v>69.329400000000007</v>
    <v>969.04</v>
    <v>954</v>
    <v>98254930</v>
    <v>EQIX</v>
    <v>EQUINIX, INC. (XNAS:EQIX)</v>
    <v>358759</v>
    <v>748677</v>
    <v>1998</v>
  </rv>
  <rv s="2">
    <v>103</v>
  </rv>
  <rv s="0">
    <v>https://www.bing.com/financeapi/forcetrigger?t=a1sl52&amp;q=XNAS%3aFAST&amp;form=skydnc</v>
    <v>Learn more on Bing</v>
  </rv>
  <rv s="1">
    <v>0</v>
    <v>FASTENAL COMPANY (XNAS:FAST)</v>
    <v>2</v>
    <v>3</v>
    <v>Finance</v>
    <v>4</v>
    <v>en-US</v>
    <v>a1sl52</v>
    <v>268435456</v>
    <v>1</v>
    <v>Powered by Refinitiv</v>
    <v>50.63</v>
    <v>35.305</v>
    <v>0.86350000000000005</v>
    <v>0.76</v>
    <v>1.6369000000000002E-2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48.414999999999999</v>
    <v>Machinery, Equipment &amp; Components</v>
    <v>Stock</v>
    <v>46086.795291388284</v>
    <v>105</v>
    <v>46.99</v>
    <v>54189598320</v>
    <v>FASTENAL COMPANY</v>
    <v>FASTENAL COMPANY</v>
    <v>47.8</v>
    <v>43.131300000000003</v>
    <v>46.43</v>
    <v>47.19</v>
    <v>1148328000</v>
    <v>FAST</v>
    <v>FASTENAL COMPANY (XNAS:FAST)</v>
    <v>6061330</v>
    <v>8557614</v>
    <v>1968</v>
  </rv>
  <rv s="2">
    <v>106</v>
  </rv>
  <rv s="0">
    <v>https://www.bing.com/financeapi/forcetrigger?t=a1sqr7&amp;q=XNYS%3aFDX&amp;form=skydnc</v>
    <v>Learn more on Bing</v>
  </rv>
  <rv s="1">
    <v>0</v>
    <v>FEDEX CORPORATION (XNYS:FDX)</v>
    <v>2</v>
    <v>3</v>
    <v>Finance</v>
    <v>4</v>
    <v>en-US</v>
    <v>a1sqr7</v>
    <v>268435456</v>
    <v>1</v>
    <v>Powered by Refinitiv</v>
    <v>392.86</v>
    <v>194.29499999999999</v>
    <v>1.2807999999999999</v>
    <v>-10.35</v>
    <v>-2.6947000000000002E-2</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384.20499999999998</v>
    <v>Freight &amp; Logistics Services</v>
    <v>Stock</v>
    <v>46086.795377001559</v>
    <v>108</v>
    <v>373.59</v>
    <v>87874795272</v>
    <v>FEDEX CORPORATION</v>
    <v>FEDEX CORPORATION</v>
    <v>382.94</v>
    <v>20.631499999999999</v>
    <v>384.09</v>
    <v>373.74</v>
    <v>235122800</v>
    <v>FDX</v>
    <v>FEDEX CORPORATION (XNYS:FDX)</v>
    <v>816312</v>
    <v>1938948</v>
    <v>1997</v>
  </rv>
  <rv s="2">
    <v>109</v>
  </rv>
  <rv s="0">
    <v>https://www.bing.com/financeapi/forcetrigger?t=a1t227&amp;q=XNYS%3aFLO&amp;form=skydnc</v>
    <v>Learn more on Bing</v>
  </rv>
  <rv s="1">
    <v>0</v>
    <v>FLOWERS FOODS, INC. (XNYS:FLO)</v>
    <v>2</v>
    <v>3</v>
    <v>Finance</v>
    <v>4</v>
    <v>en-US</v>
    <v>a1t227</v>
    <v>268435456</v>
    <v>1</v>
    <v>Powered by Refinitiv</v>
    <v>20.23</v>
    <v>8.9450000000000003</v>
    <v>0.32579999999999998</v>
    <v>0.245</v>
    <v>2.7102000000000001E-2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9.3800000000000008</v>
    <v>Food &amp; Tobacco</v>
    <v>Stock</v>
    <v>46086.795220126565</v>
    <v>111</v>
    <v>9</v>
    <v>1964281675</v>
    <v>FLOWERS FOODS, INC.</v>
    <v>FLOWERS FOODS, INC.</v>
    <v>9.01</v>
    <v>23.494399999999999</v>
    <v>9.0399999999999991</v>
    <v>9.2850000000000001</v>
    <v>211554300</v>
    <v>FLO</v>
    <v>FLOWERS FOODS, INC. (XNYS:FLO)</v>
    <v>2851961</v>
    <v>5641668</v>
    <v>2000</v>
  </rv>
  <rv s="2">
    <v>112</v>
  </rv>
  <rv s="0">
    <v>https://www.bing.com/financeapi/forcetrigger?t=a1tppr&amp;q=XNYS%3aGD&amp;form=skydnc</v>
    <v>Learn more on Bing</v>
  </rv>
  <rv s="1">
    <v>0</v>
    <v>GENERAL DYNAMICS CORPORATION (XNYS:GD)</v>
    <v>2</v>
    <v>3</v>
    <v>Finance</v>
    <v>4</v>
    <v>en-US</v>
    <v>a1tppr</v>
    <v>268435456</v>
    <v>1</v>
    <v>Powered by Refinitiv</v>
    <v>369.7</v>
    <v>239.2</v>
    <v>0.37040000000000001</v>
    <v>-8.7095000000000002</v>
    <v>-2.3788999999999998E-2</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365.94</v>
    <v>Aerospace &amp; Defense</v>
    <v>Stock</v>
    <v>46086.795257175778</v>
    <v>114</v>
    <v>354.54</v>
    <v>96640153612</v>
    <v>GENERAL DYNAMICS CORPORATION</v>
    <v>GENERAL DYNAMICS CORPORATION</v>
    <v>364.6</v>
    <v>23.127700000000001</v>
    <v>366.12</v>
    <v>357.41050000000001</v>
    <v>270389800</v>
    <v>GD</v>
    <v>GENERAL DYNAMICS CORPORATION (XNYS:GD)</v>
    <v>749020</v>
    <v>1401254</v>
    <v>1952</v>
  </rv>
  <rv s="2">
    <v>115</v>
  </rv>
  <rv s="0">
    <v>https://www.bing.com/financeapi/forcetrigger?t=a1tvzr&amp;q=XNYS%3aGIS&amp;form=skydnc</v>
    <v>Learn more on Bing</v>
  </rv>
  <rv s="1">
    <v>0</v>
    <v>GENERAL MILLS, INC. (XNYS:GIS)</v>
    <v>2</v>
    <v>3</v>
    <v>Finance</v>
    <v>4</v>
    <v>en-US</v>
    <v>a1tvzr</v>
    <v>268435456</v>
    <v>1</v>
    <v>Powered by Refinitiv</v>
    <v>67.349999999999994</v>
    <v>42.784999999999997</v>
    <v>-9.0700000000000003E-2</v>
    <v>0.13500000000000001</v>
    <v>3.0990000000000002E-3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44.04</v>
    <v>Food &amp; Tobacco</v>
    <v>Stock</v>
    <v>46086.795284988279</v>
    <v>117</v>
    <v>43.145000000000003</v>
    <v>23314869859</v>
    <v>GENERAL MILLS, INC.</v>
    <v>GENERAL MILLS, INC.</v>
    <v>43.56</v>
    <v>9.3743999999999996</v>
    <v>43.56</v>
    <v>43.695</v>
    <v>533582100</v>
    <v>GIS</v>
    <v>GENERAL MILLS, INC. (XNYS:GIS)</v>
    <v>3960275</v>
    <v>7854191</v>
    <v>1928</v>
  </rv>
  <rv s="2">
    <v>118</v>
  </rv>
  <rv s="0">
    <v>https://www.bing.com/financeapi/forcetrigger?t=a1u3rw&amp;q=XNAS%3aGOOGL&amp;form=skydnc</v>
    <v>Learn more on Bing</v>
  </rv>
  <rv s="1">
    <v>0</v>
    <v>ALPHABET INC. (XNAS:GOOGL)</v>
    <v>2</v>
    <v>3</v>
    <v>Finance</v>
    <v>4</v>
    <v>en-US</v>
    <v>a1u3rw</v>
    <v>268435456</v>
    <v>1</v>
    <v>Powered by Refinitiv</v>
    <v>349</v>
    <v>140.53</v>
    <v>1.1154999999999999</v>
    <v>-4.3600000000000003</v>
    <v>-1.4383E-2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303.27</v>
    <v>Software &amp; IT Services</v>
    <v>Stock</v>
    <v>46086.795322673439</v>
    <v>120</v>
    <v>297.99</v>
    <v>3614220690000</v>
    <v>ALPHABET INC.</v>
    <v>ALPHABET INC.</v>
    <v>303</v>
    <v>27.638300000000001</v>
    <v>303.13</v>
    <v>298.77</v>
    <v>12097000000</v>
    <v>GOOGL</v>
    <v>ALPHABET INC. (XNAS:GOOGL)</v>
    <v>21350948</v>
    <v>40284451</v>
    <v>2015</v>
  </rv>
  <rv s="2">
    <v>121</v>
  </rv>
  <rv s="0">
    <v>https://www.bing.com/financeapi/forcetrigger?t=a1uj52&amp;q=XNYS%3aHD&amp;form=skydnc</v>
    <v>Learn more on Bing</v>
  </rv>
  <rv s="1">
    <v>0</v>
    <v>THE HOME DEPOT, INC. (XNYS:HD)</v>
    <v>2</v>
    <v>3</v>
    <v>Finance</v>
    <v>4</v>
    <v>en-US</v>
    <v>a1uj52</v>
    <v>268435456</v>
    <v>1</v>
    <v>Powered by Refinitiv</v>
    <v>426.75</v>
    <v>326.31</v>
    <v>1.0468</v>
    <v>-8.7325999999999997</v>
    <v>-2.3658999999999999E-2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366.98</v>
    <v>Specialty Retailers</v>
    <v>Stock</v>
    <v>46086.795415914065</v>
    <v>123</v>
    <v>360.07</v>
    <v>358759846040</v>
    <v>THE HOME DEPOT, INC.</v>
    <v>THE HOME DEPOT, INC.</v>
    <v>365.58</v>
    <v>25.315899999999999</v>
    <v>369.11</v>
    <v>360.37740000000002</v>
    <v>995511500</v>
    <v>HD</v>
    <v>THE HOME DEPOT, INC. (XNYS:HD)</v>
    <v>1349833</v>
    <v>4122779</v>
    <v>1978</v>
  </rv>
  <rv s="2">
    <v>124</v>
  </rv>
  <rv s="0">
    <v>https://www.bing.com/financeapi/forcetrigger?t=a1uv7w&amp;q=XNYS%3aHRL&amp;form=skydnc</v>
    <v>Learn more on Bing</v>
  </rv>
  <rv s="1">
    <v>0</v>
    <v>HORMEL FOODS CORPORATION (XNYS:HRL)</v>
    <v>2</v>
    <v>3</v>
    <v>Finance</v>
    <v>4</v>
    <v>en-US</v>
    <v>a1uv7w</v>
    <v>268435456</v>
    <v>1</v>
    <v>Powered by Refinitiv</v>
    <v>32.07</v>
    <v>21.03</v>
    <v>0.3155</v>
    <v>-0.16</v>
    <v>-6.5469999999999999E-3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24.55</v>
    <v>Food &amp; Tobacco</v>
    <v>Stock</v>
    <v>46086.795268714843</v>
    <v>126</v>
    <v>24.16</v>
    <v>13360900376</v>
    <v>HORMEL FOODS CORPORATION</v>
    <v>HORMEL FOODS CORPORATION</v>
    <v>24.33</v>
    <v>27.320799999999998</v>
    <v>24.44</v>
    <v>24.28</v>
    <v>550284200</v>
    <v>HRL</v>
    <v>HORMEL FOODS CORPORATION (XNYS:HRL)</v>
    <v>1528533</v>
    <v>5109090</v>
    <v>1928</v>
  </rv>
  <rv s="2">
    <v>127</v>
  </rv>
  <rv s="0">
    <v>https://www.bing.com/financeapi/forcetrigger?t=a1uwu2&amp;q=XNYS%3aHSY&amp;form=skydnc</v>
    <v>Learn more on Bing</v>
  </rv>
  <rv s="1">
    <v>0</v>
    <v>THE HERSHEY COMPANY (XNYS:HSY)</v>
    <v>2</v>
    <v>3</v>
    <v>Finance</v>
    <v>4</v>
    <v>en-US</v>
    <v>a1uwu2</v>
    <v>268435456</v>
    <v>1</v>
    <v>Powered by Refinitiv</v>
    <v>239.48</v>
    <v>150.04</v>
    <v>0.11409999999999999</v>
    <v>-5.76</v>
    <v>-2.4822E-2</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229.84</v>
    <v>Food &amp; Tobacco</v>
    <v>Stock</v>
    <v>46086.795306423439</v>
    <v>129</v>
    <v>225.24</v>
    <v>45866923761</v>
    <v>THE HERSHEY COMPANY</v>
    <v>THE HERSHEY COMPANY</v>
    <v>228.51</v>
    <v>52.120100000000001</v>
    <v>232.05</v>
    <v>226.29</v>
    <v>202690900</v>
    <v>HSY</v>
    <v>THE HERSHEY COMPANY (XNYS:HSY)</v>
    <v>590747</v>
    <v>2260541</v>
    <v>1927</v>
  </rv>
  <rv s="2">
    <v>130</v>
  </rv>
  <rv s="0">
    <v>https://www.bing.com/financeapi/forcetrigger?t=a1vmf2&amp;q=XNAS%3aINTC&amp;form=skydnc</v>
    <v>Learn more on Bing</v>
  </rv>
  <rv s="1">
    <v>0</v>
    <v>INTEL CORPORATION (XNAS:INTC)</v>
    <v>2</v>
    <v>3</v>
    <v>Finance</v>
    <v>4</v>
    <v>en-US</v>
    <v>a1vmf2</v>
    <v>268435456</v>
    <v>1</v>
    <v>Powered by Refinitiv</v>
    <v>54.6</v>
    <v>17.664999999999999</v>
    <v>1.3736999999999999</v>
    <v>-0.17</v>
    <v>-3.7299999999999998E-3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46.48</v>
    <v>Semiconductors &amp; Semiconductor Equipment</v>
    <v>Stock</v>
    <v>46086.795249628907</v>
    <v>132</v>
    <v>44.7</v>
    <v>226822949999</v>
    <v>INTEL CORPORATION</v>
    <v>INTEL CORPORATION</v>
    <v>44.86</v>
    <v>0</v>
    <v>45.58</v>
    <v>45.41</v>
    <v>4995000000</v>
    <v>INTC</v>
    <v>INTEL CORPORATION (XNAS:INTC)</v>
    <v>50587433</v>
    <v>96085321</v>
    <v>1989</v>
  </rv>
  <rv s="2">
    <v>133</v>
  </rv>
  <rv s="0">
    <v>https://www.bing.com/financeapi/forcetrigger?t=a1vmtc&amp;q=XNAS%3aINTU&amp;form=skydnc</v>
    <v>Learn more on Bing</v>
  </rv>
  <rv s="1">
    <v>0</v>
    <v>INTUIT INC. (XNAS:INTU)</v>
    <v>2</v>
    <v>3</v>
    <v>Finance</v>
    <v>4</v>
    <v>en-US</v>
    <v>a1vmtc</v>
    <v>268435456</v>
    <v>1</v>
    <v>Powered by Refinitiv</v>
    <v>813.7</v>
    <v>349</v>
    <v>1.2729999999999999</v>
    <v>27.79</v>
    <v>6.3139000000000001E-2</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470.78989999999999</v>
    <v>Financial Technology (Fintech) &amp; Infrastructure</v>
    <v>Stock</v>
    <v>46086.795360404685</v>
    <v>135</v>
    <v>438.93</v>
    <v>129406041500</v>
    <v>INTUIT INC.</v>
    <v>INTUIT INC.</v>
    <v>438.93</v>
    <v>30.437999999999999</v>
    <v>440.14</v>
    <v>467.93</v>
    <v>276550000</v>
    <v>INTU</v>
    <v>INTUIT INC. (XNAS:INTU)</v>
    <v>4810304</v>
    <v>5232379</v>
    <v>1993</v>
  </rv>
  <rv s="2">
    <v>136</v>
  </rv>
  <rv s="0">
    <v>https://www.bing.com/financeapi/forcetrigger?t=a1vrec&amp;q=XNYS%3aIRM&amp;form=skydnc</v>
    <v>Learn more on Bing</v>
  </rv>
  <rv s="1">
    <v>0</v>
    <v>IRON MOUNTAIN INCORPORATED (XNYS:IRM)</v>
    <v>2</v>
    <v>3</v>
    <v>Finance</v>
    <v>4</v>
    <v>en-US</v>
    <v>a1vrec</v>
    <v>268435456</v>
    <v>1</v>
    <v>Powered by Refinitiv</v>
    <v>115.24</v>
    <v>72.33</v>
    <v>1.1485000000000001</v>
    <v>-0.94</v>
    <v>-8.7170000000000008E-3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29400</v>
    <v>New York Stock Exchange</v>
    <v>XNYS</v>
    <v>XNYS</v>
    <v>85 New Hampshire Avenue, Suite 150, Pease International Tradeport, PORTSMOUTH, NH, 03801 US</v>
    <v>106.9</v>
    <v>Residential &amp; Commercial REIT</v>
    <v>Stock</v>
    <v>46086.795425856253</v>
    <v>138</v>
    <v>104.62</v>
    <v>31624782880</v>
    <v>IRON MOUNTAIN INCORPORATED</v>
    <v>IRON MOUNTAIN INCORPORATED</v>
    <v>106.12</v>
    <v>221.0505</v>
    <v>107.84</v>
    <v>106.9</v>
    <v>295835200</v>
    <v>IRM</v>
    <v>IRON MOUNTAIN INCORPORATED (XNYS:IRM)</v>
    <v>622603</v>
    <v>2167095</v>
    <v>2014</v>
  </rv>
  <rv s="2">
    <v>139</v>
  </rv>
  <rv s="0">
    <v>https://www.bing.com/financeapi/forcetrigger?t=a1vv8m&amp;q=XNYS%3aITW&amp;form=skydnc</v>
    <v>Learn more on Bing</v>
  </rv>
  <rv s="1">
    <v>0</v>
    <v>ILLINOIS TOOL WORKS INC. (XNYS:ITW)</v>
    <v>2</v>
    <v>3</v>
    <v>Finance</v>
    <v>4</v>
    <v>en-US</v>
    <v>a1vv8m</v>
    <v>268435456</v>
    <v>1</v>
    <v>Powered by Refinitiv</v>
    <v>303.15499999999997</v>
    <v>214.66</v>
    <v>1.1229</v>
    <v>-6.5483000000000002</v>
    <v>-2.2803E-2</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286.5</v>
    <v>Consumer Goods Conglomerates</v>
    <v>Stock</v>
    <v>46086.795247881251</v>
    <v>141</v>
    <v>280.54500000000002</v>
    <v>80875173940</v>
    <v>ILLINOIS TOOL WORKS INC.</v>
    <v>ILLINOIS TOOL WORKS INC.</v>
    <v>285.41000000000003</v>
    <v>26.747800000000002</v>
    <v>287.17</v>
    <v>280.62169999999998</v>
    <v>288200000</v>
    <v>ITW</v>
    <v>ILLINOIS TOOL WORKS INC. (XNYS:ITW)</v>
    <v>451716</v>
    <v>1688045</v>
    <v>1961</v>
  </rv>
  <rv s="2">
    <v>142</v>
  </rv>
  <rv s="0">
    <v>https://www.bing.com/financeapi/forcetrigger?t=a1w8ec&amp;q=XNYS%3aJNJ&amp;form=skydnc</v>
    <v>Learn more on Bing</v>
  </rv>
  <rv s="1">
    <v>0</v>
    <v>JOHNSON &amp; JOHNSON (XNYS:JNJ)</v>
    <v>2</v>
    <v>3</v>
    <v>Finance</v>
    <v>4</v>
    <v>en-US</v>
    <v>a1w8ec</v>
    <v>268435456</v>
    <v>1</v>
    <v>Powered by Refinitiv</v>
    <v>251.71</v>
    <v>141.5</v>
    <v>0.32829999999999998</v>
    <v>-8.4149999999999991</v>
    <v>-3.4305000000000002E-2</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242.99</v>
    <v>Pharmaceuticals</v>
    <v>Stock</v>
    <v>46086.79525703672</v>
    <v>144</v>
    <v>235.93</v>
    <v>570868924615</v>
    <v>JOHNSON &amp; JOHNSON</v>
    <v>JOHNSON &amp; JOHNSON</v>
    <v>242.63</v>
    <v>21.4527</v>
    <v>245.3</v>
    <v>236.88499999999999</v>
    <v>2409899000</v>
    <v>JNJ</v>
    <v>JOHNSON &amp; JOHNSON (XNYS:JNJ)</v>
    <v>4802136</v>
    <v>9278914</v>
    <v>1887</v>
  </rv>
  <rv s="2">
    <v>145</v>
  </rv>
  <rv s="0">
    <v>https://www.bing.com/financeapi/forcetrigger?t=a1wjz2&amp;q=XNYS%3aKMB&amp;form=skydnc</v>
    <v>Learn more on Bing</v>
  </rv>
  <rv s="1">
    <v>0</v>
    <v>KIMBERLY-CLARK CORPORATION (XNAS:KMB)</v>
    <v>2</v>
    <v>3</v>
    <v>Finance</v>
    <v>4</v>
    <v>en-US</v>
    <v>a1wjz2</v>
    <v>268435456</v>
    <v>1</v>
    <v>Powered by Refinitiv</v>
    <v>150.44999999999999</v>
    <v>96.26</v>
    <v>0.23949999999999999</v>
    <v>-1.26</v>
    <v>-1.2031E-2</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104.34</v>
    <v>Personal &amp; Household Products &amp; Services</v>
    <v>Stock</v>
    <v>46086.795245775</v>
    <v>147</v>
    <v>103.01</v>
    <v>34344010728</v>
    <v>KIMBERLY-CLARK CORPORATION</v>
    <v>KIMBERLY-CLARK CORPORATION</v>
    <v>104.16</v>
    <v>21.1799</v>
    <v>104.73</v>
    <v>103.47</v>
    <v>331922400</v>
    <v>KMB</v>
    <v>KIMBERLY-CLARK CORPORATION (XNAS:KMB)</v>
    <v>2651912</v>
    <v>5756357</v>
    <v>1928</v>
  </rv>
  <rv s="2">
    <v>148</v>
  </rv>
  <rv s="0">
    <v>https://www.bing.com/financeapi/forcetrigger?t=a1wljc&amp;q=XNYS%3aKO&amp;form=skydnc</v>
    <v>Learn more on Bing</v>
  </rv>
  <rv s="1">
    <v>0</v>
    <v>THE COCA-COLA COMPANY (XNYS:KO)</v>
    <v>2</v>
    <v>3</v>
    <v>Finance</v>
    <v>4</v>
    <v>en-US</v>
    <v>a1wljc</v>
    <v>268435456</v>
    <v>1</v>
    <v>Powered by Refinitiv</v>
    <v>82</v>
    <v>65.353800000000007</v>
    <v>0.33710000000000001</v>
    <v>-1.34</v>
    <v>-1.7156999999999999E-2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77.72</v>
    <v>Beverages</v>
    <v>Stock</v>
    <v>46086.795296562501</v>
    <v>150</v>
    <v>76.73</v>
    <v>330123497480</v>
    <v>THE COCA-COLA COMPANY</v>
    <v>THE COCA-COLA COMPANY</v>
    <v>77.72</v>
    <v>25.258299999999998</v>
    <v>78.099999999999994</v>
    <v>76.760000000000005</v>
    <v>4300723000</v>
    <v>KO</v>
    <v>THE COCA-COLA COMPANY (XNYS:KO)</v>
    <v>8967024</v>
    <v>20481189</v>
    <v>1919</v>
  </rv>
  <rv s="2">
    <v>151</v>
  </rv>
  <rv s="0">
    <v>https://www.bing.com/financeapi/forcetrigger?t=a1wyu2&amp;q=XNYS%3aLLY&amp;form=skydnc</v>
    <v>Learn more on Bing</v>
  </rv>
  <rv s="1">
    <v>0</v>
    <v>ELI LILLY AND COMPANY (XNYS:LLY)</v>
    <v>2</v>
    <v>3</v>
    <v>Finance</v>
    <v>4</v>
    <v>en-US</v>
    <v>a1wyu2</v>
    <v>268435456</v>
    <v>1</v>
    <v>Powered by Refinitiv</v>
    <v>1133.95</v>
    <v>623.78</v>
    <v>0.44159999999999999</v>
    <v>-33.14</v>
    <v>-3.3022000000000003E-2</v>
    <v>USD</v>
    <v>Eli Lilly and Company is a medicine company, which discovers, develops, manufactures and markets products in the human pharmaceutical products segment.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through its subsidiary, POINT Biopharma Global Inc., is engaged in radiopharmaceutical discovery, development, and manufacturing efforts, as well as clinical and pre-clinical radioligand therapies in development for the treatment of cancer. It is also developing an oral small molecule inhibitor of a4b7 integrin for inflammatory bowel disease (IBD).</v>
    <v>50000</v>
    <v>New York Stock Exchange</v>
    <v>XNYS</v>
    <v>XNYS</v>
    <v>Lilly Corporate Ctr, Drop Code 1094, INDIANAPOLIS, IN, 46285 US</v>
    <v>993.5</v>
    <v>Pharmaceuticals</v>
    <v>Stock</v>
    <v>46086.795275693752</v>
    <v>153</v>
    <v>965.6</v>
    <v>915462321682</v>
    <v>ELI LILLY AND COMPANY</v>
    <v>ELI LILLY AND COMPANY</v>
    <v>993.5</v>
    <v>42.272399999999998</v>
    <v>1003.57</v>
    <v>970.43</v>
    <v>943357400</v>
    <v>LLY</v>
    <v>ELI LILLY AND COMPANY (XNYS:LLY)</v>
    <v>1991397</v>
    <v>3572306</v>
    <v>1901</v>
  </rv>
  <rv s="2">
    <v>154</v>
  </rv>
  <rv s="0">
    <v>https://www.bing.com/financeapi/forcetrigger?t=a1wzw7&amp;q=XNYS%3aLMT&amp;form=skydnc</v>
    <v>Learn more on Bing</v>
  </rv>
  <rv s="1">
    <v>0</v>
    <v>LOCKHEED MARTIN CORPORATION (XNYS:LMT)</v>
    <v>2</v>
    <v>3</v>
    <v>Finance</v>
    <v>4</v>
    <v>en-US</v>
    <v>a1wzw7</v>
    <v>268435456</v>
    <v>1</v>
    <v>Powered by Refinitiv</v>
    <v>692</v>
    <v>410.11</v>
    <v>0.1971</v>
    <v>-12.853199999999999</v>
    <v>-1.9342999999999999E-2</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663</v>
    <v>Aerospace &amp; Defense</v>
    <v>Stock</v>
    <v>46086.795322314065</v>
    <v>156</v>
    <v>647.22879999999998</v>
    <v>149926424469</v>
    <v>LOCKHEED MARTIN CORPORATION</v>
    <v>LOCKHEED MARTIN CORPORATION</v>
    <v>661.745</v>
    <v>30.3278</v>
    <v>664.48</v>
    <v>651.6268</v>
    <v>230080200</v>
    <v>LMT</v>
    <v>LOCKHEED MARTIN CORPORATION (XNYS:LMT)</v>
    <v>721133</v>
    <v>1783614</v>
    <v>1994</v>
  </rv>
  <rv s="2">
    <v>157</v>
  </rv>
  <rv s="0">
    <v>https://www.bing.com/financeapi/forcetrigger?t=a1x2ur&amp;q=XNYS%3aLOW&amp;form=skydnc</v>
    <v>Learn more on Bing</v>
  </rv>
  <rv s="1">
    <v>0</v>
    <v>LOWE'S COMPANIES, INC. (XNYS:LOW)</v>
    <v>2</v>
    <v>3</v>
    <v>Finance</v>
    <v>4</v>
    <v>en-US</v>
    <v>a1x2ur</v>
    <v>268435456</v>
    <v>1</v>
    <v>Powered by Refinitiv</v>
    <v>293.06</v>
    <v>206.38499999999999</v>
    <v>0.93730000000000002</v>
    <v>-5.34</v>
    <v>-2.0648E-2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257.02</v>
    <v>Specialty Retailers</v>
    <v>Stock</v>
    <v>46086.795279953127</v>
    <v>159</v>
    <v>252.71</v>
    <v>142090080000</v>
    <v>LOWE'S COMPANIES, INC.</v>
    <v>LOWE'S COMPANIES, INC.</v>
    <v>256.58</v>
    <v>21.3796</v>
    <v>258.62</v>
    <v>253.28</v>
    <v>561000000</v>
    <v>LOW</v>
    <v>LOWE'S COMPANIES, INC. (XNYS:LOW)</v>
    <v>973271</v>
    <v>2924646</v>
    <v>1952</v>
  </rv>
  <rv s="2">
    <v>160</v>
  </rv>
  <rv s="0">
    <v>https://www.bing.com/financeapi/forcetrigger?t=a1x4f2&amp;q=XNAS%3aLRCX&amp;form=skydnc</v>
    <v>Learn more on Bing</v>
  </rv>
  <rv s="1">
    <v>0</v>
    <v>LAM RESEARCH CORPORATION (XNAS:LRCX)</v>
    <v>2</v>
    <v>3</v>
    <v>Finance</v>
    <v>4</v>
    <v>en-US</v>
    <v>a1x4f2</v>
    <v>268435456</v>
    <v>1</v>
    <v>Powered by Refinitiv</v>
    <v>256.68</v>
    <v>56.32</v>
    <v>1.7924</v>
    <v>-12.205</v>
    <v>-5.4733000000000004E-2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222.41</v>
    <v>Semiconductors &amp; Semiconductor Equipment</v>
    <v>Stock</v>
    <v>46086.795264443746</v>
    <v>162</v>
    <v>208.13</v>
    <v>263222195235</v>
    <v>LAM RESEARCH CORPORATION</v>
    <v>LAM RESEARCH CORPORATION</v>
    <v>218.41</v>
    <v>43.199800000000003</v>
    <v>222.99</v>
    <v>210.785</v>
    <v>1248771000</v>
    <v>LRCX</v>
    <v>LAM RESEARCH CORPORATION (XNAS:LRCX)</v>
    <v>4858564</v>
    <v>11435189</v>
    <v>1989</v>
  </rv>
  <rv s="2">
    <v>163</v>
  </rv>
  <rv s="0">
    <v>https://www.bing.com/financeapi/forcetrigger?t=a1x8c7&amp;q=XNYS%3aLYB&amp;form=skydnc</v>
    <v>Learn more on Bing</v>
  </rv>
  <rv s="1">
    <v>0</v>
    <v>LyondellBasell Industries NV (XNYS:LYB)</v>
    <v>2</v>
    <v>3</v>
    <v>Finance</v>
    <v>4</v>
    <v>en-US</v>
    <v>a1x8c7</v>
    <v>268435456</v>
    <v>1</v>
    <v>Powered by Refinitiv</v>
    <v>78.41</v>
    <v>41.58</v>
    <v>0.63380000000000003</v>
    <v>4.6050000000000004</v>
    <v>7.4370000000000006E-2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67.795000000000002</v>
    <v>Chemicals</v>
    <v>Stock</v>
    <v>46086.795321793747</v>
    <v>165</v>
    <v>63.994999999999997</v>
    <v>21432359250</v>
    <v>LyondellBasell Industries NV</v>
    <v>LyondellBasell Industries NV</v>
    <v>64.22</v>
    <v>0</v>
    <v>61.92</v>
    <v>66.525000000000006</v>
    <v>322170000</v>
    <v>LYB</v>
    <v>LyondellBasell Industries NV (XNYS:LYB)</v>
    <v>11271489</v>
    <v>7505075</v>
    <v>2009</v>
  </rv>
  <rv s="2">
    <v>166</v>
  </rv>
  <rv s="0">
    <v>https://www.bing.com/financeapi/forcetrigger?t=a1x9yc&amp;q=XNYS%3aMAN&amp;form=skydnc</v>
    <v>Learn more on Bing</v>
  </rv>
  <rv s="1">
    <v>0</v>
    <v>MANPOWERGROUP INC. (XNYS:MAN)</v>
    <v>2</v>
    <v>3</v>
    <v>Finance</v>
    <v>4</v>
    <v>en-US</v>
    <v>a1x9yc</v>
    <v>268435456</v>
    <v>1</v>
    <v>Powered by Refinitiv</v>
    <v>63.344999999999999</v>
    <v>25.15</v>
    <v>0.88180000000000003</v>
    <v>0.62</v>
    <v>2.2174999999999997E-2</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25400</v>
    <v>New York Stock Exchange</v>
    <v>XNYS</v>
    <v>XNYS</v>
    <v>100 Manpower Place, MILWAUKEE, WI, 53212 US</v>
    <v>28.87</v>
    <v>Professional &amp; Commercial Services</v>
    <v>Stock</v>
    <v>46086.795227765622</v>
    <v>168</v>
    <v>27.635000000000002</v>
    <v>1326673597</v>
    <v>MANPOWERGROUP INC.</v>
    <v>MANPOWERGROUP INC.</v>
    <v>27.81</v>
    <v>0</v>
    <v>27.96</v>
    <v>28.58</v>
    <v>46419650</v>
    <v>MAN</v>
    <v>MANPOWERGROUP INC. (XNYS:MAN)</v>
    <v>470789</v>
    <v>1804437</v>
    <v>1990</v>
  </rv>
  <rv s="2">
    <v>169</v>
  </rv>
  <rv s="0">
    <v>http://en.wikipedia.org/wiki/Public_domain</v>
    <v>Public domain</v>
  </rv>
  <rv s="0">
    <v>http://en.wikipedia.org/wiki/McDonald's</v>
    <v>Wikipedia</v>
  </rv>
  <rv s="3">
    <v>171</v>
    <v>172</v>
  </rv>
  <rv s="4">
    <v>10</v>
    <v>https://www.bing.com/th?id=AMMS_7d8255243964a8970376f8dd41121106&amp;qlt=95</v>
    <v>173</v>
    <v>0</v>
    <v>https://www.bing.com/images/search?form=xlimg&amp;q=mcdonald%27s</v>
    <v>Image of MCDONALD'S CORPORATION</v>
  </rv>
  <rv s="0">
    <v>https://www.bing.com/financeapi/forcetrigger?t=a1xdec&amp;q=XNYS%3aMCD&amp;form=skydnc</v>
    <v>Learn more on Bing</v>
  </rv>
  <rv s="5">
    <v>6</v>
    <v>MCDONALD'S CORPORATION (XNYS:MCD)</v>
    <v>8</v>
    <v>9</v>
    <v>Finance</v>
    <v>4</v>
    <v>en-US</v>
    <v>a1xdec</v>
    <v>268435456</v>
    <v>1</v>
    <v>Powered by Refinitiv</v>
    <v>341.75</v>
    <v>283.47000000000003</v>
    <v>0.49930000000000002</v>
    <v>-6.39</v>
    <v>-1.9261999999999998E-2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330.81</v>
    <v>174</v>
    <v>Hotels &amp; Entertainment Services</v>
    <v>Stock</v>
    <v>46086.795232580465</v>
    <v>175</v>
    <v>324.69940000000003</v>
    <v>231128184510</v>
    <v>MCDONALD'S CORPORATION</v>
    <v>MCDONALD'S CORPORATION</v>
    <v>329.8</v>
    <v>27.2182</v>
    <v>331.74</v>
    <v>325.35000000000002</v>
    <v>710398600</v>
    <v>MCD</v>
    <v>MCDONALD'S CORPORATION (XNYS:MCD)</v>
    <v>2128639</v>
    <v>3561320</v>
    <v>1964</v>
  </rv>
  <rv s="2">
    <v>176</v>
  </rv>
  <rv s="0">
    <v>https://www.bing.com/financeapi/forcetrigger?t=a1xear&amp;q=XNYS%3aMCO&amp;form=skydnc</v>
    <v>Learn more on Bing</v>
  </rv>
  <rv s="1">
    <v>0</v>
    <v>MOODY'S CORPORATION (XNYS:MCO)</v>
    <v>2</v>
    <v>3</v>
    <v>Finance</v>
    <v>4</v>
    <v>en-US</v>
    <v>a1xear</v>
    <v>268435456</v>
    <v>1</v>
    <v>Powered by Refinitiv</v>
    <v>546.88</v>
    <v>378.71</v>
    <v>1.4422999999999999</v>
    <v>-2.5099</v>
    <v>-5.3290000000000004E-3</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477.29500000000002</v>
    <v>Professional &amp; Commercial Services</v>
    <v>Stock</v>
    <v>46086.795245277346</v>
    <v>178</v>
    <v>466.23</v>
    <v>83065067730</v>
    <v>MOODY'S CORPORATION</v>
    <v>MOODY'S CORPORATION</v>
    <v>467.68</v>
    <v>34.275399999999998</v>
    <v>471.01</v>
    <v>468.50009999999997</v>
    <v>177300000</v>
    <v>MCO</v>
    <v>MOODY'S CORPORATION (XNYS:MCO)</v>
    <v>938895</v>
    <v>1817516</v>
    <v>2000</v>
  </rv>
  <rv s="2">
    <v>179</v>
  </rv>
  <rv s="0">
    <v>https://www.bing.com/financeapi/forcetrigger?t=a1xfoc&amp;q=XNAS%3aMDLZ&amp;form=skydnc</v>
    <v>Learn more on Bing</v>
  </rv>
  <rv s="1">
    <v>0</v>
    <v>Mondelez International, Inc. (XNAS:MDLZ)</v>
    <v>2</v>
    <v>3</v>
    <v>Finance</v>
    <v>4</v>
    <v>en-US</v>
    <v>a1xfoc</v>
    <v>268435456</v>
    <v>1</v>
    <v>Powered by Refinitiv</v>
    <v>71.150000000000006</v>
    <v>51.200800000000001</v>
    <v>0.37109999999999999</v>
    <v>-0.54</v>
    <v>-9.2010000000000008E-3</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58.6</v>
    <v>Food &amp; Tobacco</v>
    <v>Stock</v>
    <v>46086.795343182814</v>
    <v>181</v>
    <v>57.655000000000001</v>
    <v>74539344900</v>
    <v>Mondelez International, Inc.</v>
    <v>Mondelez International, Inc.</v>
    <v>58.31</v>
    <v>30.775300000000001</v>
    <v>58.69</v>
    <v>58.15</v>
    <v>1281846000</v>
    <v>MDLZ</v>
    <v>Mondelez International, Inc. (XNAS:MDLZ)</v>
    <v>5558600</v>
    <v>11142040</v>
    <v>2000</v>
  </rv>
  <rv s="2">
    <v>182</v>
  </rv>
  <rv s="0">
    <v>https://www.bing.com/financeapi/forcetrigger?t=a1xg3m&amp;q=XNYS%3aMDT&amp;form=skydnc</v>
    <v>Learn more on Bing</v>
  </rv>
  <rv s="1">
    <v>0</v>
    <v>MEDTRONIC PUBLIC LIMITED COMPANY (XNYS:MDT)</v>
    <v>2</v>
    <v>3</v>
    <v>Finance</v>
    <v>4</v>
    <v>en-US</v>
    <v>a1xg3m</v>
    <v>268435456</v>
    <v>1</v>
    <v>Powered by Refinitiv</v>
    <v>106.33</v>
    <v>79.55</v>
    <v>0.73</v>
    <v>-3.07</v>
    <v>-3.2113000000000003E-2</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95</v>
    <v>Healthcare Equipment &amp; Supplies</v>
    <v>Stock</v>
    <v>46086.795264039065</v>
    <v>184</v>
    <v>92.44</v>
    <v>118797879050</v>
    <v>MEDTRONIC PUBLIC LIMITED COMPANY</v>
    <v>MEDTRONIC PUBLIC LIMITED COMPANY</v>
    <v>95</v>
    <v>25.837700000000002</v>
    <v>95.6</v>
    <v>92.53</v>
    <v>1283885000</v>
    <v>MDT</v>
    <v>MEDTRONIC PUBLIC LIMITED COMPANY (XNYS:MDT)</v>
    <v>4493387</v>
    <v>8889198</v>
    <v>2014</v>
  </rv>
  <rv s="2">
    <v>185</v>
  </rv>
  <rv s="0">
    <v>https://www.bing.com/financeapi/forcetrigger?t=a1slm7&amp;q=XNAS%3aMETA&amp;form=skydnc</v>
    <v>Learn more on Bing</v>
  </rv>
  <rv s="1">
    <v>0</v>
    <v>META PLATFORMS, INC. (XNAS:META)</v>
    <v>2</v>
    <v>3</v>
    <v>Finance</v>
    <v>4</v>
    <v>en-US</v>
    <v>a1slm7</v>
    <v>268435456</v>
    <v>1</v>
    <v>Powered by Refinitiv</v>
    <v>796.25</v>
    <v>479.8</v>
    <v>1.2755000000000001</v>
    <v>-15.182600000000001</v>
    <v>-2.2738000000000001E-2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670.7</v>
    <v>Software &amp; IT Services</v>
    <v>Stock</v>
    <v>46086.795340103905</v>
    <v>187</v>
    <v>650.30999999999995</v>
    <v>1650654538407</v>
    <v>META PLATFORMS, INC.</v>
    <v>META PLATFORMS, INC.</v>
    <v>661.35</v>
    <v>22.324100000000001</v>
    <v>667.73</v>
    <v>652.54740000000004</v>
    <v>2529555000</v>
    <v>META</v>
    <v>META PLATFORMS, INC. (XNAS:META)</v>
    <v>6564335</v>
    <v>15894660</v>
    <v>2004</v>
  </rv>
  <rv s="2">
    <v>188</v>
  </rv>
  <rv s="0">
    <v>http://zh.wikipedia.org/wiki/味可美</v>
    <v>Wikipedia</v>
  </rv>
  <rv s="3">
    <v>171</v>
    <v>190</v>
  </rv>
  <rv s="4">
    <v>10</v>
    <v>https://www.bing.com/th?id=AMMS_8d96836a886471f7120ce0135f3ca8bd&amp;qlt=95</v>
    <v>191</v>
    <v>0</v>
    <v>https://www.bing.com/images/search?form=xlimg&amp;q=mccormick+%26+company</v>
    <v>Image of MCCORMICK &amp; COMPANY, INCORPORATED</v>
  </rv>
  <rv s="0">
    <v>https://www.bing.com/financeapi/forcetrigger?t=a1xof2&amp;q=XNYS%3aMKC.V&amp;form=skydnc</v>
    <v>Learn more on Bing</v>
  </rv>
  <rv s="6">
    <v>11</v>
    <v>MCCORMICK &amp; COMPANY, INCORPORATED (XNYS:MKC.V)</v>
    <v>8</v>
    <v>12</v>
    <v>Finance</v>
    <v>13</v>
    <v>en-US</v>
    <v>a1xof2</v>
    <v>268435456</v>
    <v>1</v>
    <v>Powered by Refinitiv</v>
    <v>85.46</v>
    <v>59.564999999999998</v>
    <v>0.58050000000000002</v>
    <v>-0.1</v>
    <v>-1.5310000000000002E-3</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65.22</v>
    <v>192</v>
    <v>Food &amp; Tobacco</v>
    <v>Stock</v>
    <v>46086.755814096876</v>
    <v>193</v>
    <v>65</v>
    <v>17507539404</v>
    <v>MCCORMICK &amp; COMPANY, INCORPORATED</v>
    <v>MCCORMICK &amp; COMPANY, INCORPORATED</v>
    <v>65.010000000000005</v>
    <v>65.319999999999993</v>
    <v>65.22</v>
    <v>268438200</v>
    <v>MKC.V</v>
    <v>MCCORMICK &amp; COMPANY, INCORPORATED (XNYS:MKC.V)</v>
    <v>976</v>
    <v>7437</v>
    <v>1915</v>
  </rv>
  <rv s="2">
    <v>194</v>
  </rv>
  <rv s="7">
    <v>12</v>
    <v>P/E</v>
    <v>0</v>
  </rv>
  <rv s="0">
    <v>https://www.bing.com/financeapi/forcetrigger?t=a1xroc&amp;q=XNYS%3aMMM&amp;form=skydnc</v>
    <v>Learn more on Bing</v>
  </rv>
  <rv s="1">
    <v>0</v>
    <v>3M COMPANY (XNYS:MMM)</v>
    <v>2</v>
    <v>3</v>
    <v>Finance</v>
    <v>4</v>
    <v>en-US</v>
    <v>a1xroc</v>
    <v>268435456</v>
    <v>1</v>
    <v>Powered by Refinitiv</v>
    <v>177.41</v>
    <v>121.97709999999999</v>
    <v>1.0487</v>
    <v>-4.9800000000000004</v>
    <v>-3.0952999999999998E-2</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160.97</v>
    <v>Consumer Goods Conglomerates</v>
    <v>Stock</v>
    <v>46086.795350786721</v>
    <v>197</v>
    <v>155.29</v>
    <v>82117797000</v>
    <v>3M COMPANY</v>
    <v>3M COMPANY</v>
    <v>159.5</v>
    <v>26.004100000000001</v>
    <v>160.88999999999999</v>
    <v>155.91</v>
    <v>526700000</v>
    <v>MMM</v>
    <v>3M COMPANY (XNYS:MMM)</v>
    <v>2267469</v>
    <v>4136715</v>
    <v>1929</v>
  </rv>
  <rv s="2">
    <v>198</v>
  </rv>
  <rv s="0">
    <v>https://www.bing.com/financeapi/forcetrigger?t=a1xtpr&amp;q=XNYS%3aMO&amp;form=skydnc</v>
    <v>Learn more on Bing</v>
  </rv>
  <rv s="1">
    <v>0</v>
    <v>Altria Group, Inc. (XNYS:MO)</v>
    <v>2</v>
    <v>3</v>
    <v>Finance</v>
    <v>4</v>
    <v>en-US</v>
    <v>a1xtpr</v>
    <v>268435456</v>
    <v>1</v>
    <v>Powered by Refinitiv</v>
    <v>70.510000000000005</v>
    <v>52.82</v>
    <v>0.43540000000000001</v>
    <v>-1.51</v>
    <v>-2.2166999999999999E-2</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67.69</v>
    <v>Food &amp; Tobacco</v>
    <v>Stock</v>
    <v>46086.795308135937</v>
    <v>200</v>
    <v>66.16</v>
    <v>111365125780</v>
    <v>Altria Group, Inc.</v>
    <v>Altria Group, Inc.</v>
    <v>67.680000000000007</v>
    <v>16.180399999999999</v>
    <v>68.12</v>
    <v>66.61</v>
    <v>1671898000</v>
    <v>MO</v>
    <v>Altria Group, Inc. (XNYS:MO)</v>
    <v>6090009</v>
    <v>10191524</v>
    <v>1985</v>
  </rv>
  <rv s="2">
    <v>201</v>
  </rv>
  <rv s="0">
    <v>https://www.bing.com/financeapi/forcetrigger?t=a1xxmw&amp;q=XNYS%3aMRK&amp;form=skydnc</v>
    <v>Learn more on Bing</v>
  </rv>
  <rv s="1">
    <v>0</v>
    <v>MERCK &amp; CO., INC. (XNYS:MRK)</v>
    <v>2</v>
    <v>3</v>
    <v>Finance</v>
    <v>4</v>
    <v>en-US</v>
    <v>a1xxmw</v>
    <v>268435456</v>
    <v>1</v>
    <v>Powered by Refinitiv</v>
    <v>125.14</v>
    <v>73.31</v>
    <v>0.27289999999999998</v>
    <v>-4.6500000000000004</v>
    <v>-3.866E-2</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119.39</v>
    <v>Pharmaceuticals</v>
    <v>Stock</v>
    <v>46086.795273796095</v>
    <v>203</v>
    <v>114.45</v>
    <v>285882686960</v>
    <v>MERCK &amp; CO., INC.</v>
    <v>MERCK &amp; CO., INC.</v>
    <v>119.14</v>
    <v>15.8918</v>
    <v>120.28</v>
    <v>115.63</v>
    <v>2472392000</v>
    <v>MRK</v>
    <v>MERCK &amp; CO., INC. (XNYS:MRK)</v>
    <v>6786515</v>
    <v>13050529</v>
    <v>1970</v>
  </rv>
  <rv s="2">
    <v>204</v>
  </rv>
  <rv s="0">
    <v>https://en.wikipedia.org/wiki/Microsoft</v>
    <v>Wikipedia</v>
  </rv>
  <rv s="3">
    <v>171</v>
    <v>206</v>
  </rv>
  <rv s="4">
    <v>10</v>
    <v>https://www.bing.com/th?id=AMMS_e6e837c7bf3a77408619758b7447855a&amp;qlt=95</v>
    <v>207</v>
    <v>0</v>
    <v>https://www.bing.com/images/search?form=xlimg&amp;q=microsoft</v>
    <v>Image of MICROSOFT CORPORATION</v>
  </rv>
  <rv s="0">
    <v>https://www.bing.com/financeapi/forcetrigger?t=a1xzim&amp;q=XNAS%3aMSFT&amp;form=skydnc</v>
    <v>Learn more on Bing</v>
  </rv>
  <rv s="5">
    <v>6</v>
    <v>MICROSOFT CORPORATION (XNAS:MSFT)</v>
    <v>8</v>
    <v>9</v>
    <v>Finance</v>
    <v>4</v>
    <v>en-US</v>
    <v>a1xzim</v>
    <v>268435456</v>
    <v>1</v>
    <v>Powered by Refinitiv</v>
    <v>555.45000000000005</v>
    <v>344.79</v>
    <v>1.1039000000000001</v>
    <v>3.08</v>
    <v>7.6010000000000001E-3</v>
    <v>USD</v>
    <v>Microsoft Corporation is a technology company that develops and supports software, services, devices, and solutions. Its Productivity and Business Processes segment consists of products and services in its portfolio of productivity, communication, and information services, spanning a variety of devices and platforms. It comprises Microsoft 365 Commercial products and cloud services; Microsoft 365 Consumer products and cloud services; LinkedIn, and Dynamics products and cloud services. The Intelligent Cloud segment consists of its public, private, and hybrid server products and cloud services. It comprises server products and cloud services, including Azure, and enterprise and partner services, including Enterprise Support Services. Its More Personal Computing segment primarily comprises Windows and Devices, including Windows OEM licensing; Gaming, including Xbox hardware and Xbox content; Search and news advertising, comprising Bing and Copilot, Microsoft News, and Microsoft Edge.</v>
    <v>228000</v>
    <v>Nasdaq Stock Market</v>
    <v>XNAS</v>
    <v>XNAS</v>
    <v>One Microsoft Way, REDMOND, WA, 98052 US</v>
    <v>411.61</v>
    <v>208</v>
    <v>Software &amp; IT Services</v>
    <v>Stock</v>
    <v>46086.795250428127</v>
    <v>209</v>
    <v>404.4</v>
    <v>3031735808120</v>
    <v>MICROSOFT CORPORATION</v>
    <v>MICROSOFT CORPORATION</v>
    <v>404.44</v>
    <v>25.5456</v>
    <v>405.2</v>
    <v>408.28</v>
    <v>7425629000</v>
    <v>MSFT</v>
    <v>MICROSOFT CORPORATION (XNAS:MSFT)</v>
    <v>21454074</v>
    <v>45361472</v>
    <v>1993</v>
  </rv>
  <rv s="2">
    <v>210</v>
  </rv>
  <rv s="0">
    <v>https://www.bing.com/financeapi/forcetrigger?t=a1yjxm&amp;q=XNYS%3aNKE&amp;form=skydnc</v>
    <v>Learn more on Bing</v>
  </rv>
  <rv s="1">
    <v>0</v>
    <v>NIKE, INC. (XNYS:NKE)</v>
    <v>2</v>
    <v>3</v>
    <v>Finance</v>
    <v>4</v>
    <v>en-US</v>
    <v>a1yjxm</v>
    <v>268435456</v>
    <v>1</v>
    <v>Powered by Refinitiv</v>
    <v>80.19</v>
    <v>52.28</v>
    <v>1.2894000000000001</v>
    <v>-1.1599999999999999</v>
    <v>-1.9782000000000001E-2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58.789900000000003</v>
    <v>Textiles &amp; Apparel</v>
    <v>Stock</v>
    <v>46086.795265057815</v>
    <v>212</v>
    <v>57.43</v>
    <v>85092414840</v>
    <v>NIKE, INC.</v>
    <v>NIKE, INC.</v>
    <v>58.74</v>
    <v>33.704700000000003</v>
    <v>58.64</v>
    <v>57.48</v>
    <v>1480383000</v>
    <v>NKE</v>
    <v>NIKE, INC. (XNYS:NKE)</v>
    <v>15142932</v>
    <v>14911474</v>
    <v>1969</v>
  </rv>
  <rv s="2">
    <v>213</v>
  </rv>
  <rv s="0">
    <v>https://www.bing.com/financeapi/forcetrigger?t=a1yngh&amp;q=XNYS%3aNOC&amp;form=skydnc</v>
    <v>Learn more on Bing</v>
  </rv>
  <rv s="1">
    <v>0</v>
    <v>NORTHROP GRUMMAN CORPORATION (XNYS:NOC)</v>
    <v>2</v>
    <v>3</v>
    <v>Finance</v>
    <v>4</v>
    <v>en-US</v>
    <v>a1yngh</v>
    <v>268435456</v>
    <v>1</v>
    <v>Powered by Refinitiv</v>
    <v>774</v>
    <v>450.13</v>
    <v>5.1000000000000004E-3</v>
    <v>-13.0951</v>
    <v>-1.7371000000000001E-2</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751.94</v>
    <v>Aerospace &amp; Defense</v>
    <v>Stock</v>
    <v>46086.795238599218</v>
    <v>215</v>
    <v>734.35500000000002</v>
    <v>105127701399</v>
    <v>NORTHROP GRUMMAN CORPORATION</v>
    <v>NORTHROP GRUMMAN CORPORATION</v>
    <v>749.25</v>
    <v>25.470800000000001</v>
    <v>753.84</v>
    <v>740.74490000000003</v>
    <v>141921600</v>
    <v>NOC</v>
    <v>NORTHROP GRUMMAN CORPORATION (XNYS:NOC)</v>
    <v>338668</v>
    <v>984924</v>
    <v>2010</v>
  </rv>
  <rv s="2">
    <v>216</v>
  </rv>
  <rv s="0">
    <v>https://www.bing.com/financeapi/forcetrigger?t=a1yv52&amp;q=XNAS%3aNVDA&amp;form=skydnc</v>
    <v>Learn more on Bing</v>
  </rv>
  <rv s="1">
    <v>0</v>
    <v>NVIDIA CORPORATION (XNAS:NVDA)</v>
    <v>2</v>
    <v>3</v>
    <v>Finance</v>
    <v>4</v>
    <v>en-US</v>
    <v>a1yv52</v>
    <v>268435456</v>
    <v>1</v>
    <v>Powered by Refinitiv</v>
    <v>212.18989999999999</v>
    <v>86.62</v>
    <v>2.3733</v>
    <v>-2.79</v>
    <v>-1.5243E-2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184.06</v>
    <v>Semiconductors &amp; Semiconductor Equipment</v>
    <v>Stock</v>
    <v>46086.795255821096</v>
    <v>218</v>
    <v>177.89</v>
    <v>4380075000000</v>
    <v>NVIDIA CORPORATION</v>
    <v>NVIDIA CORPORATION</v>
    <v>181.16</v>
    <v>36.772199999999998</v>
    <v>183.04</v>
    <v>180.25</v>
    <v>24300000000</v>
    <v>NVDA</v>
    <v>NVIDIA CORPORATION (XNAS:NVDA)</v>
    <v>130534946</v>
    <v>192407101</v>
    <v>1998</v>
  </rv>
  <rv s="2">
    <v>219</v>
  </rv>
  <rv s="0">
    <v>https://www.bing.com/financeapi/forcetrigger?t=a1z11h&amp;q=XNYS%3aO&amp;form=skydnc</v>
    <v>Learn more on Bing</v>
  </rv>
  <rv s="1">
    <v>0</v>
    <v>REALTY INCOME CORPORATION (XNYS:O)</v>
    <v>2</v>
    <v>3</v>
    <v>Finance</v>
    <v>4</v>
    <v>en-US</v>
    <v>a1z11h</v>
    <v>268435456</v>
    <v>1</v>
    <v>Powered by Refinitiv</v>
    <v>67.935000000000002</v>
    <v>50.71</v>
    <v>0.77</v>
    <v>-1.29</v>
    <v>-1.9545E-2</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544</v>
    <v>New York Stock Exchange</v>
    <v>XNYS</v>
    <v>XNYS</v>
    <v>11995 El Camino Real, SAN DIEGO, CA, 92130 US</v>
    <v>65.554599999999994</v>
    <v>Residential &amp; Commercial REIT</v>
    <v>Stock</v>
    <v>46086.795244316403</v>
    <v>221</v>
    <v>64.510000000000005</v>
    <v>60338205341</v>
    <v>REALTY INCOME CORPORATION</v>
    <v>REALTY INCOME CORPORATION</v>
    <v>65.42</v>
    <v>55.578499999999998</v>
    <v>66</v>
    <v>64.709999999999994</v>
    <v>932440200</v>
    <v>O</v>
    <v>REALTY INCOME CORPORATION (XNYS:O)</v>
    <v>3943476</v>
    <v>6879164</v>
    <v>1997</v>
  </rv>
  <rv s="2">
    <v>222</v>
  </rv>
  <rv s="0">
    <v>https://www.bing.com/financeapi/forcetrigger?t=axyhnm&amp;q=XNAS%3aPEP&amp;form=skydnc</v>
    <v>Learn more on Bing</v>
  </rv>
  <rv s="1">
    <v>0</v>
    <v>PEPSICO, INC. (XNAS:PEP)</v>
    <v>2</v>
    <v>3</v>
    <v>Finance</v>
    <v>4</v>
    <v>en-US</v>
    <v>axyhnm</v>
    <v>268435456</v>
    <v>1</v>
    <v>Powered by Refinitiv</v>
    <v>171.48</v>
    <v>127.6</v>
    <v>0.3785</v>
    <v>-2.37</v>
    <v>-1.4458E-2</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163.38999999999999</v>
    <v>Beverages</v>
    <v>Stock</v>
    <v>46086.79524738359</v>
    <v>224</v>
    <v>161.32</v>
    <v>220782145950</v>
    <v>PEPSICO, INC.</v>
    <v>PEPSICO, INC.</v>
    <v>162.16</v>
    <v>26.918299999999999</v>
    <v>163.92</v>
    <v>161.55000000000001</v>
    <v>1366649000</v>
    <v>PEP</v>
    <v>PEPSICO, INC. (XNAS:PEP)</v>
    <v>2748095</v>
    <v>9139828</v>
    <v>1986</v>
  </rv>
  <rv s="2">
    <v>225</v>
  </rv>
  <rv s="0">
    <v>https://www.bing.com/financeapi/forcetrigger?t=a1zqnm&amp;q=XNYS%3aPFE&amp;form=skydnc</v>
    <v>Learn more on Bing</v>
  </rv>
  <rv s="1">
    <v>0</v>
    <v>PFIZER INC. (XNYS:PFE)</v>
    <v>2</v>
    <v>3</v>
    <v>Finance</v>
    <v>4</v>
    <v>en-US</v>
    <v>a1zqnm</v>
    <v>268435456</v>
    <v>1</v>
    <v>Powered by Refinitiv</v>
    <v>27.94</v>
    <v>20.914999999999999</v>
    <v>0.41449999999999998</v>
    <v>-7.4999999999999997E-2</v>
    <v>-2.8170000000000001E-3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26.71</v>
    <v>Pharmaceuticals</v>
    <v>Stock</v>
    <v>46086.795370474218</v>
    <v>227</v>
    <v>26.2</v>
    <v>150941984060</v>
    <v>PFIZER INC.</v>
    <v>PFIZER INC.</v>
    <v>26.37</v>
    <v>19.577400000000001</v>
    <v>26.62</v>
    <v>26.545000000000002</v>
    <v>5686268000</v>
    <v>PFE</v>
    <v>PFIZER INC. (XNYS:PFE)</v>
    <v>22895623</v>
    <v>46063101</v>
    <v>1942</v>
  </rv>
  <rv s="2">
    <v>228</v>
  </rv>
  <rv s="0">
    <v>https://www.bing.com/financeapi/forcetrigger?t=a1zzmw&amp;q=XNYS%3aPM&amp;form=skydnc</v>
    <v>Learn more on Bing</v>
  </rv>
  <rv s="1">
    <v>0</v>
    <v>Philip Morris International Inc. (XNYS:PM)</v>
    <v>2</v>
    <v>3</v>
    <v>Finance</v>
    <v>4</v>
    <v>en-US</v>
    <v>a1zzmw</v>
    <v>268435456</v>
    <v>1</v>
    <v>Powered by Refinitiv</v>
    <v>191.3</v>
    <v>142.11000000000001</v>
    <v>0.40050000000000002</v>
    <v>-8.89</v>
    <v>-4.9653999999999997E-2</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176.9</v>
    <v>Food &amp; Tobacco</v>
    <v>Stock</v>
    <v>46086.795401885938</v>
    <v>230</v>
    <v>169.97</v>
    <v>264869102000</v>
    <v>Philip Morris International Inc.</v>
    <v>Philip Morris International Inc.</v>
    <v>176.69</v>
    <v>23.426300000000001</v>
    <v>179.04</v>
    <v>170.15</v>
    <v>1556680000</v>
    <v>PM</v>
    <v>Philip Morris International Inc. (XNYS:PM)</v>
    <v>2844259</v>
    <v>5620909</v>
    <v>2007</v>
  </rv>
  <rv s="2">
    <v>231</v>
  </rv>
  <rv s="0">
    <v>https://www.bing.com/financeapi/forcetrigger?t=a214h7&amp;q=XNYS%3aPPG&amp;form=skydnc</v>
    <v>Learn more on Bing</v>
  </rv>
  <rv s="1">
    <v>0</v>
    <v>PPG INDUSTRIES, INC. (XNYS:PPG)</v>
    <v>2</v>
    <v>3</v>
    <v>Finance</v>
    <v>4</v>
    <v>en-US</v>
    <v>a214h7</v>
    <v>268435456</v>
    <v>1</v>
    <v>Powered by Refinitiv</v>
    <v>133.43</v>
    <v>90.24</v>
    <v>1.1258999999999999</v>
    <v>-6.13</v>
    <v>-5.2081999999999996E-2</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117</v>
    <v>Chemicals</v>
    <v>Stock</v>
    <v>46086.795310844529</v>
    <v>233</v>
    <v>111.565</v>
    <v>24935303679</v>
    <v>PPG INDUSTRIES, INC.</v>
    <v>PPG INDUSTRIES, INC.</v>
    <v>116.59</v>
    <v>16.134</v>
    <v>117.7</v>
    <v>111.57</v>
    <v>223494700</v>
    <v>PPG</v>
    <v>PPG INDUSTRIES, INC. (XNYS:PPG)</v>
    <v>875317</v>
    <v>2308021</v>
    <v>1883</v>
  </rv>
  <rv s="2">
    <v>234</v>
  </rv>
  <rv s="0">
    <v>http://en.wikipedia.org/wiki/Qualcomm</v>
    <v>Wikipedia</v>
  </rv>
  <rv s="3">
    <v>171</v>
    <v>236</v>
  </rv>
  <rv s="4">
    <v>10</v>
    <v>https://www.bing.com/th?id=AMMS_2b1c176dae370ecc0d55a1517537f595&amp;qlt=95</v>
    <v>237</v>
    <v>0</v>
    <v>https://www.bing.com/images/search?form=xlimg&amp;q=qualcomm</v>
    <v>Image of QUALCOMM INCORPORATED</v>
  </rv>
  <rv s="0">
    <v>https://www.bing.com/financeapi/forcetrigger?t=a21k2w&amp;q=XNAS%3aQCOM&amp;form=skydnc</v>
    <v>Learn more on Bing</v>
  </rv>
  <rv s="5">
    <v>6</v>
    <v>QUALCOMM INCORPORATED (XNAS:QCOM)</v>
    <v>8</v>
    <v>9</v>
    <v>Finance</v>
    <v>4</v>
    <v>en-US</v>
    <v>a21k2w</v>
    <v>268435456</v>
    <v>1</v>
    <v>Powered by Refinitiv</v>
    <v>205.95</v>
    <v>120.8019</v>
    <v>1.2682</v>
    <v>-2.2850000000000001</v>
    <v>-1.6484000000000002E-2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139.66</v>
    <v>238</v>
    <v>Semiconductors &amp; Semiconductor Equipment</v>
    <v>Stock</v>
    <v>46086.795244560155</v>
    <v>239</v>
    <v>135.80000000000001</v>
    <v>145469445000</v>
    <v>QUALCOMM INCORPORATED</v>
    <v>QUALCOMM INCORPORATED</v>
    <v>137.59</v>
    <v>28.1661</v>
    <v>138.62</v>
    <v>136.33500000000001</v>
    <v>1067000000</v>
    <v>QCOM</v>
    <v>QUALCOMM INCORPORATED (XNAS:QCOM)</v>
    <v>4257686</v>
    <v>11363525</v>
    <v>1991</v>
  </rv>
  <rv s="2">
    <v>240</v>
  </rv>
  <rv s="0">
    <v>https://www.bing.com/financeapi/forcetrigger?t=a22k9c&amp;q=XNAS%3aSBUX&amp;form=skydnc</v>
    <v>Learn more on Bing</v>
  </rv>
  <rv s="1">
    <v>0</v>
    <v>STARBUCKS CORPORATION (XNAS:SBUX)</v>
    <v>2</v>
    <v>3</v>
    <v>Finance</v>
    <v>4</v>
    <v>en-US</v>
    <v>a22k9c</v>
    <v>268435456</v>
    <v>1</v>
    <v>Powered by Refinitiv</v>
    <v>112.5194</v>
    <v>75.5</v>
    <v>0.92830000000000001</v>
    <v>0.44500000000000001</v>
    <v>4.581E-3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98.93</v>
    <v>Hotels &amp; Entertainment Services</v>
    <v>Stock</v>
    <v>46086.79541143516</v>
    <v>242</v>
    <v>96.935000000000002</v>
    <v>111189983500</v>
    <v>STARBUCKS CORPORATION</v>
    <v>STARBUCKS CORPORATION</v>
    <v>97.12</v>
    <v>81.302099999999996</v>
    <v>97.15</v>
    <v>97.594999999999999</v>
    <v>1139300000</v>
    <v>SBUX</v>
    <v>STARBUCKS CORPORATION (XNAS:SBUX)</v>
    <v>5347071</v>
    <v>8773408</v>
    <v>1985</v>
  </rv>
  <rv s="2">
    <v>243</v>
  </rv>
  <rv s="0">
    <v>https://www.bing.com/financeapi/forcetrigger?t=a22n4c&amp;q=XNYS%3aSCHW&amp;form=skydnc</v>
    <v>Learn more on Bing</v>
  </rv>
  <rv s="1">
    <v>0</v>
    <v>THE CHARLES SCHWAB CORPORATION (XNYS:SCHW)</v>
    <v>2</v>
    <v>3</v>
    <v>Finance</v>
    <v>4</v>
    <v>en-US</v>
    <v>a22n4c</v>
    <v>268435456</v>
    <v>1</v>
    <v>Powered by Refinitiv</v>
    <v>107.5</v>
    <v>65.88</v>
    <v>0.91810000000000003</v>
    <v>-1.4</v>
    <v>-1.4577E-2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96.84</v>
    <v>Investment Banking &amp; Investment Services</v>
    <v>Stock</v>
    <v>46086.795229189062</v>
    <v>245</v>
    <v>94.38</v>
    <v>165829154400</v>
    <v>THE CHARLES SCHWAB CORPORATION</v>
    <v>THE CHARLES SCHWAB CORPORATION</v>
    <v>95.6</v>
    <v>20.296800000000001</v>
    <v>96.04</v>
    <v>94.64</v>
    <v>1752210000</v>
    <v>SCHW</v>
    <v>THE CHARLES SCHWAB CORPORATION (XNYS:SCHW)</v>
    <v>5082650</v>
    <v>13100262</v>
    <v>1986</v>
  </rv>
  <rv s="2">
    <v>246</v>
  </rv>
  <rv s="0">
    <v>https://www.bing.com/financeapi/forcetrigger?t=a22xk2&amp;q=XNYS%3aSHW&amp;form=skydnc</v>
    <v>Learn more on Bing</v>
  </rv>
  <rv s="1">
    <v>0</v>
    <v>THE SHERWIN-WILLIAMS COMPANY (XNYS:SHW)</v>
    <v>2</v>
    <v>3</v>
    <v>Finance</v>
    <v>4</v>
    <v>en-US</v>
    <v>a22xk2</v>
    <v>268435456</v>
    <v>1</v>
    <v>Powered by Refinitiv</v>
    <v>379.65</v>
    <v>308.83999999999997</v>
    <v>1.2473000000000001</v>
    <v>-13.6</v>
    <v>-3.9118E-2</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343.42500000000001</v>
    <v>Chemicals</v>
    <v>Stock</v>
    <v>46086.795200150002</v>
    <v>248</v>
    <v>333.9</v>
    <v>82774127436</v>
    <v>THE SHERWIN-WILLIAMS COMPANY</v>
    <v>THE SHERWIN-WILLIAMS COMPANY</v>
    <v>343</v>
    <v>32.567999999999998</v>
    <v>347.67</v>
    <v>334.07</v>
    <v>247774800</v>
    <v>SHW</v>
    <v>THE SHERWIN-WILLIAMS COMPANY (XNYS:SHW)</v>
    <v>758722</v>
    <v>1867951</v>
    <v>1884</v>
  </rv>
  <rv s="2">
    <v>249</v>
  </rv>
  <rv s="0">
    <v>https://www.bing.com/financeapi/forcetrigger?t=a2319c&amp;q=XNYS%3aSJM&amp;form=skydnc</v>
    <v>Learn more on Bing</v>
  </rv>
  <rv s="1">
    <v>0</v>
    <v>THE J. M. SMUCKER COMPANY (XNYS:SJM)</v>
    <v>2</v>
    <v>3</v>
    <v>Finance</v>
    <v>4</v>
    <v>en-US</v>
    <v>a2319c</v>
    <v>268435456</v>
    <v>1</v>
    <v>Powered by Refinitiv</v>
    <v>121.48</v>
    <v>93.3</v>
    <v>0.1769</v>
    <v>-3.16</v>
    <v>-2.7543000000000002E-2</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113.685</v>
    <v>Food &amp; Tobacco</v>
    <v>Stock</v>
    <v>46086.795413356253</v>
    <v>251</v>
    <v>111.505</v>
    <v>11898750831</v>
    <v>THE J. M. SMUCKER COMPANY</v>
    <v>THE J. M. SMUCKER COMPANY</v>
    <v>113.685</v>
    <v>0</v>
    <v>114.73</v>
    <v>111.57</v>
    <v>106648300</v>
    <v>SJM</v>
    <v>THE J. M. SMUCKER COMPANY (XNYS:SJM)</v>
    <v>1085562</v>
    <v>2533830</v>
    <v>1921</v>
  </rv>
  <rv s="2">
    <v>252</v>
  </rv>
  <rv s="0">
    <v>https://www.bing.com/financeapi/forcetrigger?t=a237gh&amp;q=XNYS%3aSNA&amp;form=skydnc</v>
    <v>Learn more on Bing</v>
  </rv>
  <rv s="1">
    <v>0</v>
    <v>SNAP-ON INCORPORATED (XNYS:SNA)</v>
    <v>2</v>
    <v>3</v>
    <v>Finance</v>
    <v>4</v>
    <v>en-US</v>
    <v>a237gh</v>
    <v>268435456</v>
    <v>1</v>
    <v>Powered by Refinitiv</v>
    <v>390.13</v>
    <v>289.81</v>
    <v>0.74950000000000006</v>
    <v>-1.9550000000000001</v>
    <v>-5.0980000000000001E-3</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382.5</v>
    <v>Machinery, Equipment &amp; Components</v>
    <v>Stock</v>
    <v>46086.795252291406</v>
    <v>254</v>
    <v>377.32499999999999</v>
    <v>19807191370</v>
    <v>SNAP-ON INCORPORATED</v>
    <v>SNAP-ON INCORPORATED</v>
    <v>381.76</v>
    <v>19.8858</v>
    <v>383.5</v>
    <v>381.54500000000002</v>
    <v>51913120</v>
    <v>SNA</v>
    <v>SNAP-ON INCORPORATED (XNYS:SNA)</v>
    <v>212846</v>
    <v>403417</v>
    <v>1930</v>
  </rv>
  <rv s="2">
    <v>255</v>
  </rv>
  <rv s="0">
    <v>https://www.bing.com/financeapi/forcetrigger?t=a23a5r&amp;q=XNYS%3aSO&amp;form=skydnc</v>
    <v>Learn more on Bing</v>
  </rv>
  <rv s="1">
    <v>0</v>
    <v>THE SOUTHERN COMPANY (XNYS:SO)</v>
    <v>2</v>
    <v>3</v>
    <v>Finance</v>
    <v>4</v>
    <v>en-US</v>
    <v>a23a5r</v>
    <v>268435456</v>
    <v>1</v>
    <v>Powered by Refinitiv</v>
    <v>100.83499999999999</v>
    <v>83.09</v>
    <v>0.41010000000000002</v>
    <v>-0.92</v>
    <v>-9.4230000000000008E-3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97.63</v>
    <v>Electrical Utilities &amp; IPPs</v>
    <v>Stock</v>
    <v>46086.795189293749</v>
    <v>257</v>
    <v>95.9</v>
    <v>108256303610</v>
    <v>THE SOUTHERN COMPANY</v>
    <v>THE SOUTHERN COMPANY</v>
    <v>97.32</v>
    <v>24.689800000000002</v>
    <v>97.63</v>
    <v>96.71</v>
    <v>1119391000</v>
    <v>SO</v>
    <v>THE SOUTHERN COMPANY (XNYS:SO)</v>
    <v>2471129</v>
    <v>7125894</v>
    <v>1945</v>
  </rv>
  <rv s="2">
    <v>258</v>
  </rv>
  <rv s="0">
    <v>https://www.bing.com/financeapi/forcetrigger?t=a23d6h&amp;q=XNYS%3aSPG&amp;form=skydnc</v>
    <v>Learn more on Bing</v>
  </rv>
  <rv s="1">
    <v>0</v>
    <v>SIMON PROPERTY GROUP, INC. (XNYS:SPG)</v>
    <v>2</v>
    <v>3</v>
    <v>Finance</v>
    <v>4</v>
    <v>en-US</v>
    <v>a23d6h</v>
    <v>268435456</v>
    <v>1</v>
    <v>Powered by Refinitiv</v>
    <v>205.11500000000001</v>
    <v>136.34</v>
    <v>1.3963000000000001</v>
    <v>-2.0699999999999998</v>
    <v>-1.0192000000000001E-2</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201.62</v>
    <v>Residential &amp; Commercial REIT</v>
    <v>Stock</v>
    <v>46086.795206168747</v>
    <v>260</v>
    <v>199.7</v>
    <v>65325361899</v>
    <v>SIMON PROPERTY GROUP, INC.</v>
    <v>SIMON PROPERTY GROUP, INC.</v>
    <v>201.41</v>
    <v>14.1837</v>
    <v>203.1</v>
    <v>201.03</v>
    <v>324953300</v>
    <v>SPG</v>
    <v>SIMON PROPERTY GROUP, INC. (XNYS:SPG)</v>
    <v>414052</v>
    <v>1695896</v>
    <v>2025</v>
  </rv>
  <rv s="2">
    <v>261</v>
  </rv>
  <rv s="0">
    <v>https://www.bing.com/financeapi/forcetrigger?t=a23d9c&amp;q=XNYS%3aSPGI&amp;form=skydnc</v>
    <v>Learn more on Bing</v>
  </rv>
  <rv s="1">
    <v>0</v>
    <v>S&amp;P GLOBAL INC. (XNYS:SPGI)</v>
    <v>2</v>
    <v>3</v>
    <v>Finance</v>
    <v>4</v>
    <v>en-US</v>
    <v>a23d9c</v>
    <v>268435456</v>
    <v>1</v>
    <v>Powered by Refinitiv</v>
    <v>579.04999999999995</v>
    <v>381.60500000000002</v>
    <v>1.2185999999999999</v>
    <v>4.8899999999999997</v>
    <v>1.0976E-2</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451.66</v>
    <v>Professional &amp; Commercial Services</v>
    <v>Stock</v>
    <v>46086.795226296097</v>
    <v>263</v>
    <v>442.97500000000002</v>
    <v>134576532000</v>
    <v>S&amp;P GLOBAL INC.</v>
    <v>S&amp;P GLOBAL INC.</v>
    <v>443.27</v>
    <v>30.721699999999998</v>
    <v>445.5</v>
    <v>450.39</v>
    <v>298800000</v>
    <v>SPGI</v>
    <v>S&amp;P GLOBAL INC. (XNYS:SPGI)</v>
    <v>1358892</v>
    <v>3762304</v>
    <v>1925</v>
  </rv>
  <rv s="2">
    <v>264</v>
  </rv>
  <rv s="0">
    <v>https://www.bing.com/financeapi/forcetrigger?t=a23www&amp;q=XNYS%3aT&amp;form=skydnc</v>
    <v>Learn more on Bing</v>
  </rv>
  <rv s="1">
    <v>0</v>
    <v>AT&amp;T INC. (XNYS:T)</v>
    <v>2</v>
    <v>3</v>
    <v>Finance</v>
    <v>4</v>
    <v>en-US</v>
    <v>a23www</v>
    <v>268435456</v>
    <v>1</v>
    <v>Powered by Refinitiv</v>
    <v>29.79</v>
    <v>22.95</v>
    <v>0.34239999999999998</v>
    <v>-6.5000000000000002E-2</v>
    <v>-2.2430000000000002E-3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29.02</v>
    <v>Telecommunications Services</v>
    <v>Stock</v>
    <v>46086.795358089847</v>
    <v>266</v>
    <v>28.715</v>
    <v>202421683955</v>
    <v>AT&amp;T INC.</v>
    <v>AT&amp;T INC.</v>
    <v>28.93</v>
    <v>9.4754000000000005</v>
    <v>28.98</v>
    <v>28.914999999999999</v>
    <v>7000577000</v>
    <v>T</v>
    <v>AT&amp;T INC. (XNYS:T)</v>
    <v>19341725</v>
    <v>48004020</v>
    <v>1983</v>
  </rv>
  <rv s="2">
    <v>267</v>
  </rv>
  <rv s="0">
    <v>https://www.bing.com/financeapi/forcetrigger?t=a246z2&amp;q=XNYS%3aTGT&amp;form=skydnc</v>
    <v>Learn more on Bing</v>
  </rv>
  <rv s="1">
    <v>0</v>
    <v>TARGET CORPORATION (XNYS:TGT)</v>
    <v>2</v>
    <v>3</v>
    <v>Finance</v>
    <v>4</v>
    <v>en-US</v>
    <v>a246z2</v>
    <v>268435456</v>
    <v>1</v>
    <v>Powered by Refinitiv</v>
    <v>126</v>
    <v>83.44</v>
    <v>1.0966</v>
    <v>-1.8</v>
    <v>-1.4990000000000002E-2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120.88</v>
    <v>Diversified Retail</v>
    <v>Stock</v>
    <v>46086.795206307812</v>
    <v>269</v>
    <v>118.13</v>
    <v>53561938856</v>
    <v>TARGET CORPORATION</v>
    <v>TARGET CORPORATION</v>
    <v>119.79</v>
    <v>14.3521</v>
    <v>120.08</v>
    <v>118.28</v>
    <v>452840200</v>
    <v>TGT</v>
    <v>TARGET CORPORATION (XNYS:TGT)</v>
    <v>2754673</v>
    <v>6831398</v>
    <v>1902</v>
  </rv>
  <rv s="2">
    <v>270</v>
  </rv>
  <rv s="0">
    <v>http://it.wikipedia.org/wiki/T._Rowe_Price</v>
    <v>Wikipedia</v>
  </rv>
  <rv s="3">
    <v>171</v>
    <v>272</v>
  </rv>
  <rv s="4">
    <v>10</v>
    <v>https://www.bing.com/th?id=AMMS_4c600be848f66590834841f27e6f786d&amp;qlt=95</v>
    <v>273</v>
    <v>0</v>
    <v>https://www.bing.com/images/search?form=xlimg&amp;q=t.+rowe+price</v>
    <v>Image of T. ROWE PRICE GROUP, INC.</v>
  </rv>
  <rv s="0">
    <v>https://www.bing.com/financeapi/forcetrigger?t=a24i3m&amp;q=XNAS%3aTROW&amp;form=skydnc</v>
    <v>Learn more on Bing</v>
  </rv>
  <rv s="5">
    <v>6</v>
    <v>T. ROWE PRICE GROUP, INC. (XNAS:TROW)</v>
    <v>8</v>
    <v>9</v>
    <v>Finance</v>
    <v>4</v>
    <v>en-US</v>
    <v>a24i3m</v>
    <v>268435456</v>
    <v>1</v>
    <v>Powered by Refinitiv</v>
    <v>118.22</v>
    <v>77.849999999999994</v>
    <v>1.5541</v>
    <v>-0.37</v>
    <v>-4.0220000000000004E-3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93.04</v>
    <v>274</v>
    <v>Investment Banking &amp; Investment Services</v>
    <v>Stock</v>
    <v>46086.795396191403</v>
    <v>275</v>
    <v>91.233400000000003</v>
    <v>19979839098</v>
    <v>T. ROWE PRICE GROUP, INC.</v>
    <v>T. ROWE PRICE GROUP, INC.</v>
    <v>91.6</v>
    <v>9.9103999999999992</v>
    <v>91.99</v>
    <v>91.62</v>
    <v>218072900</v>
    <v>TROW</v>
    <v>T. ROWE PRICE GROUP, INC. (XNAS:TROW)</v>
    <v>792871</v>
    <v>2422772</v>
    <v>2000</v>
  </rv>
  <rv s="2">
    <v>276</v>
  </rv>
  <rv s="0">
    <v>https://www.bing.com/financeapi/forcetrigger?t=a24jvh&amp;q=XNAS%3aTSCO&amp;form=skydnc</v>
    <v>Learn more on Bing</v>
  </rv>
  <rv s="1">
    <v>0</v>
    <v>TRACTOR SUPPLY COMPANY (XNAS:TSCO)</v>
    <v>2</v>
    <v>3</v>
    <v>Finance</v>
    <v>4</v>
    <v>en-US</v>
    <v>a24jvh</v>
    <v>268435456</v>
    <v>1</v>
    <v>Powered by Refinitiv</v>
    <v>63.989899999999999</v>
    <v>46.8504</v>
    <v>0.70069999999999999</v>
    <v>-0.28000000000000003</v>
    <v>-5.535E-3</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50.634999999999998</v>
    <v>Specialty Retailers</v>
    <v>Stock</v>
    <v>46086.795279478909</v>
    <v>278</v>
    <v>49.42</v>
    <v>26480733903</v>
    <v>TRACTOR SUPPLY COMPANY</v>
    <v>TRACTOR SUPPLY COMPANY</v>
    <v>50.01</v>
    <v>24.423500000000001</v>
    <v>50.59</v>
    <v>50.31</v>
    <v>526351300</v>
    <v>TSCO</v>
    <v>TRACTOR SUPPLY COMPANY (XNAS:TSCO)</v>
    <v>4221628</v>
    <v>7241970</v>
    <v>1982</v>
  </rv>
  <rv s="2">
    <v>279</v>
  </rv>
  <rv s="0">
    <v>https://www.bing.com/financeapi/forcetrigger?t=a24kjc&amp;q=XNYS%3aTSM&amp;form=skydnc</v>
    <v>Learn more on Bing</v>
  </rv>
  <rv s="1">
    <v>0</v>
    <v>Taiwan Semiconductor Manufacturing Co., Ltd. (XNYS:TSM)</v>
    <v>2</v>
    <v>3</v>
    <v>Finance</v>
    <v>4</v>
    <v>en-US</v>
    <v>a24kjc</v>
    <v>268435456</v>
    <v>1</v>
    <v>Powered by Refinitiv</v>
    <v>390.20499999999998</v>
    <v>134.25</v>
    <v>1.3365</v>
    <v>-10.220000000000001</v>
    <v>-2.8591999999999999E-2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359.47</v>
    <v>Semiconductors &amp; Semiconductor Equipment</v>
    <v>Stock</v>
    <v>46086.795371099215</v>
    <v>281</v>
    <v>343.8</v>
    <v>1800858266100</v>
    <v>Taiwan Semiconductor Manufacturing Co., Ltd.</v>
    <v>Taiwan Semiconductor Manufacturing Co., Ltd.</v>
    <v>354.9</v>
    <v>32.843699999999998</v>
    <v>357.44</v>
    <v>347.22</v>
    <v>5186505000</v>
    <v>TSM</v>
    <v>Taiwan Semiconductor Manufacturing Co., Ltd. (XNYS:TSM)</v>
    <v>11368363</v>
    <v>12868028</v>
    <v>1987</v>
  </rv>
  <rv s="2">
    <v>282</v>
  </rv>
  <rv s="0">
    <v>https://www.bing.com/financeapi/forcetrigger?t=a24km7&amp;q=XNYS%3aTSN&amp;form=skydnc</v>
    <v>Learn more on Bing</v>
  </rv>
  <rv s="1">
    <v>0</v>
    <v>TYSON FOODS, INCORPORATED (XNYS:TSN)</v>
    <v>2</v>
    <v>3</v>
    <v>Finance</v>
    <v>4</v>
    <v>en-US</v>
    <v>a24km7</v>
    <v>268435456</v>
    <v>1</v>
    <v>Powered by Refinitiv</v>
    <v>66.41</v>
    <v>50.56</v>
    <v>0.44400000000000001</v>
    <v>-0.92</v>
    <v>-1.4622E-2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62.564999999999998</v>
    <v>Food &amp; Tobacco</v>
    <v>Stock</v>
    <v>46086.795325346873</v>
    <v>284</v>
    <v>61.75</v>
    <v>21828898000</v>
    <v>TYSON FOODS, INCORPORATED</v>
    <v>TYSON FOODS, INCORPORATED</v>
    <v>62.38</v>
    <v>108.71469999999999</v>
    <v>62.92</v>
    <v>62</v>
    <v>352079000</v>
    <v>TSN</v>
    <v>TYSON FOODS, INCORPORATED (XNYS:TSN)</v>
    <v>908783</v>
    <v>3103641</v>
    <v>1986</v>
  </rv>
  <rv s="2">
    <v>285</v>
  </rv>
  <rv s="0">
    <v>https://www.bing.com/financeapi/forcetrigger?t=a24p1h&amp;q=XNAS%3aTXN&amp;form=skydnc</v>
    <v>Learn more on Bing</v>
  </rv>
  <rv s="1">
    <v>0</v>
    <v>TEXAS INSTRUMENTS INCORPORATED (XNAS:TXN)</v>
    <v>2</v>
    <v>3</v>
    <v>Finance</v>
    <v>4</v>
    <v>en-US</v>
    <v>a24p1h</v>
    <v>268435456</v>
    <v>1</v>
    <v>Powered by Refinitiv</v>
    <v>231.32</v>
    <v>139.94999999999999</v>
    <v>0.98299999999999998</v>
    <v>-6.29</v>
    <v>-3.1078999999999999E-2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201.94</v>
    <v>Semiconductors &amp; Semiconductor Equipment</v>
    <v>Stock</v>
    <v>46086.795392546097</v>
    <v>287</v>
    <v>195.26</v>
    <v>177970711880</v>
    <v>TEXAS INSTRUMENTS INCORPORATED</v>
    <v>TEXAS INSTRUMENTS INCORPORATED</v>
    <v>200.75</v>
    <v>35.783999999999999</v>
    <v>202.39</v>
    <v>196.1</v>
    <v>907550800</v>
    <v>TXN</v>
    <v>TEXAS INSTRUMENTS INCORPORATED (XNAS:TXN)</v>
    <v>4063227</v>
    <v>8887680</v>
    <v>1938</v>
  </rv>
  <rv s="2">
    <v>288</v>
  </rv>
  <rv s="0">
    <v>https://www.bing.com/financeapi/forcetrigger?t=afn5yc&amp;q=XFRA%3aUNH&amp;form=skydnc</v>
    <v>Learn more on Bing</v>
  </rv>
  <rv s="1">
    <v>0</v>
    <v>UNITEDHEALTH GROUP INCORPORATED (XFRA:UNH)</v>
    <v>2</v>
    <v>14</v>
    <v>Finance</v>
    <v>15</v>
    <v>en-US</v>
    <v>afn5yc</v>
    <v>268435456</v>
    <v>1</v>
    <v>Powered by Refinitiv</v>
    <v>589.70000000000005</v>
    <v>168.42</v>
    <v>0.38019999999999998</v>
    <v>1.75</v>
    <v>7.0559999999999998E-3</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Deutsche Boerse AG</v>
    <v>XFRA</v>
    <v>XFRA</v>
    <v>1 HEALTH DRIVE, EDEN PRAIRIE, MN, 55344 US</v>
    <v>250.45</v>
    <v>Healthcare Providers &amp; Services</v>
    <v>Stock</v>
    <v>46086.784722222219</v>
    <v>290</v>
    <v>249.75</v>
    <v>302486700000</v>
    <v>UNITEDHEALTH GROUP INCORPORATED</v>
    <v>UNITEDHEALTH GROUP INCORPORATED</v>
    <v>250.1</v>
    <v>22.2395</v>
    <v>248</v>
    <v>249.75</v>
    <v>907675800</v>
    <v>UNH</v>
    <v>UNITEDHEALTH GROUP INCORPORATED (XFRA:UNH)</v>
    <v>22</v>
    <v>8197650</v>
    <v>2015</v>
  </rv>
  <rv s="2">
    <v>291</v>
  </rv>
  <rv s="0">
    <v>https://www.bing.com/financeapi/forcetrigger?t=a24xww&amp;q=XNYS%3aUNP&amp;form=skydnc</v>
    <v>Learn more on Bing</v>
  </rv>
  <rv s="1">
    <v>0</v>
    <v>UNION PACIFIC CORPORATION (XNYS:UNP)</v>
    <v>2</v>
    <v>3</v>
    <v>Finance</v>
    <v>4</v>
    <v>en-US</v>
    <v>a24xww</v>
    <v>268435456</v>
    <v>1</v>
    <v>Powered by Refinitiv</v>
    <v>268.14</v>
    <v>204.66</v>
    <v>0.95089999999999997</v>
    <v>-5.56</v>
    <v>-2.0847000000000001E-2</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266.89</v>
    <v>Freight &amp; Logistics Services</v>
    <v>Stock</v>
    <v>46086.795212175784</v>
    <v>293</v>
    <v>260.255</v>
    <v>154958256310</v>
    <v>UNION PACIFIC CORPORATION</v>
    <v>UNION PACIFIC CORPORATION</v>
    <v>265.495</v>
    <v>21.792000000000002</v>
    <v>266.7</v>
    <v>261.14</v>
    <v>593391500</v>
    <v>UNP</v>
    <v>UNION PACIFIC CORPORATION (XNYS:UNP)</v>
    <v>1220347</v>
    <v>3855688</v>
    <v>1969</v>
  </rv>
  <rv s="2">
    <v>294</v>
  </rv>
  <rv s="0">
    <v>https://www.bing.com/financeapi/forcetrigger?t=a24ynm&amp;q=XNYS%3aUPS&amp;form=skydnc</v>
    <v>Learn more on Bing</v>
  </rv>
  <rv s="1">
    <v>0</v>
    <v>UNITED PARCEL SERVICE, INC. (XNYS:UPS)</v>
    <v>2</v>
    <v>3</v>
    <v>Finance</v>
    <v>4</v>
    <v>en-US</v>
    <v>a24ynm</v>
    <v>268435456</v>
    <v>1</v>
    <v>Powered by Refinitiv</v>
    <v>123.7</v>
    <v>82</v>
    <v>1.0572999999999999</v>
    <v>-5.9550000000000001</v>
    <v>-5.3891000000000001E-2</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110.45</v>
    <v>Freight &amp; Logistics Services</v>
    <v>Stock</v>
    <v>46086.795391250002</v>
    <v>296</v>
    <v>104.38</v>
    <v>88769337226</v>
    <v>UNITED PARCEL SERVICE, INC.</v>
    <v>UNITED PARCEL SERVICE, INC.</v>
    <v>110.1</v>
    <v>15.9358</v>
    <v>110.5</v>
    <v>104.545</v>
    <v>849101700</v>
    <v>UPS</v>
    <v>UNITED PARCEL SERVICE, INC. (XNYS:UPS)</v>
    <v>6219519</v>
    <v>6577214</v>
    <v>1999</v>
  </rv>
  <rv s="2">
    <v>297</v>
  </rv>
  <rv s="0">
    <v>https://www.bing.com/financeapi/forcetrigger?t=a256cw&amp;q=XNYS%3aV&amp;form=skydnc</v>
    <v>Learn more on Bing</v>
  </rv>
  <rv s="1">
    <v>0</v>
    <v>VISA INC. (XNYS:V)</v>
    <v>2</v>
    <v>3</v>
    <v>Finance</v>
    <v>4</v>
    <v>en-US</v>
    <v>a256cw</v>
    <v>268435456</v>
    <v>1</v>
    <v>Powered by Refinitiv</v>
    <v>375.51</v>
    <v>299</v>
    <v>0.79039999999999999</v>
    <v>-2.33</v>
    <v>-7.2709999999999997E-3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322.79000000000002</v>
    <v>Professional &amp; Commercial Services</v>
    <v>Stock</v>
    <v>46086.795223390625</v>
    <v>299</v>
    <v>314.79000000000002</v>
    <v>606377703260</v>
    <v>VISA INC.</v>
    <v>VISA INC.</v>
    <v>319.20999999999998</v>
    <v>29.852699999999999</v>
    <v>320.47000000000003</v>
    <v>318.14</v>
    <v>1906009000</v>
    <v>V</v>
    <v>VISA INC. (XNYS:V)</v>
    <v>4078322</v>
    <v>8486399</v>
    <v>2007</v>
  </rv>
  <rv s="2">
    <v>300</v>
  </rv>
  <rv s="0">
    <v>https://www.bing.com/financeapi/forcetrigger?t=aythxm&amp;q=XNYS%3aVICI&amp;form=skydnc</v>
    <v>Learn more on Bing</v>
  </rv>
  <rv s="1">
    <v>0</v>
    <v>VICI PROPERTIES INC. (XNYS:VICI)</v>
    <v>2</v>
    <v>3</v>
    <v>Finance</v>
    <v>4</v>
    <v>en-US</v>
    <v>aythxm</v>
    <v>268435456</v>
    <v>1</v>
    <v>Powered by Refinitiv</v>
    <v>34.03</v>
    <v>27.48</v>
    <v>0.69969999999999999</v>
    <v>-0.26</v>
    <v>-8.6990000000000001E-3</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29.8</v>
    <v>Residential &amp; Commercial REIT</v>
    <v>Stock</v>
    <v>46086.795321388279</v>
    <v>302</v>
    <v>29.495000000000001</v>
    <v>31666677310</v>
    <v>VICI PROPERTIES INC.</v>
    <v>VICI PROPERTIES INC.</v>
    <v>29.635000000000002</v>
    <v>11.3438</v>
    <v>29.89</v>
    <v>29.63</v>
    <v>1068737000</v>
    <v>VICI</v>
    <v>VICI PROPERTIES INC. (XNYS:VICI)</v>
    <v>2757030</v>
    <v>10178259</v>
    <v>2017</v>
  </rv>
  <rv s="2">
    <v>303</v>
  </rv>
  <rv s="0">
    <v>https://www.bing.com/financeapi/forcetrigger?t=a25obh&amp;q=XNYS%3aVZ&amp;form=skydnc</v>
    <v>Learn more on Bing</v>
  </rv>
  <rv s="1">
    <v>0</v>
    <v>VERIZON COMMUNICATIONS INC. (XNYS:VZ)</v>
    <v>2</v>
    <v>3</v>
    <v>Finance</v>
    <v>4</v>
    <v>en-US</v>
    <v>a25obh</v>
    <v>268435456</v>
    <v>1</v>
    <v>Powered by Refinitiv</v>
    <v>51.41</v>
    <v>38.39</v>
    <v>0.27850000000000003</v>
    <v>-0.01</v>
    <v>-1.9529999999999998E-4</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51.245100000000001</v>
    <v>Telecommunications Services</v>
    <v>Stock</v>
    <v>46086.795184385941</v>
    <v>305</v>
    <v>50.34</v>
    <v>215903243960</v>
    <v>VERIZON COMMUNICATIONS INC.</v>
    <v>VERIZON COMMUNICATIONS INC.</v>
    <v>50.77</v>
    <v>12.6084</v>
    <v>51.2</v>
    <v>51.19</v>
    <v>4217684000</v>
    <v>VZ</v>
    <v>VERIZON COMMUNICATIONS INC. (XNYS:VZ)</v>
    <v>14245629</v>
    <v>38250481</v>
    <v>1983</v>
  </rv>
  <rv s="2">
    <v>306</v>
  </rv>
  <rv s="0">
    <v>https://www.bing.com/financeapi/forcetrigger?t=a25ya2&amp;q=XNYS%3aWMT&amp;form=skydnc</v>
    <v>Learn more on Bing</v>
  </rv>
  <rv s="1">
    <v>0</v>
    <v>WALMART INC. (XNAS:WMT)</v>
    <v>2</v>
    <v>3</v>
    <v>Finance</v>
    <v>4</v>
    <v>en-US</v>
    <v>a25ya2</v>
    <v>268435456</v>
    <v>1</v>
    <v>Powered by Refinitiv</v>
    <v>134.69</v>
    <v>79.81</v>
    <v>0.65880000000000005</v>
    <v>-5.5899000000000001</v>
    <v>-4.3735999999999997E-2</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125.67919999999999</v>
    <v>Food &amp; Drug Retailing</v>
    <v>Stock</v>
    <v>46086.795231318749</v>
    <v>308</v>
    <v>121.65</v>
    <v>974114607756</v>
    <v>WALMART INC.</v>
    <v>WALMART INC.</v>
    <v>125.24</v>
    <v>44.7742</v>
    <v>127.81</v>
    <v>122.2201</v>
    <v>7970167000</v>
    <v>WMT</v>
    <v>WALMART INC. (XNAS:WMT)</v>
    <v>16489570</v>
    <v>25802408</v>
    <v>1969</v>
  </rv>
  <rv s="2">
    <v>309</v>
  </rv>
  <rv s="0">
    <v>https://www.bing.com/financeapi/forcetrigger?t=a269ec&amp;q=XNYS%3aXOM&amp;form=skydnc</v>
    <v>Learn more on Bing</v>
  </rv>
  <rv s="1">
    <v>0</v>
    <v>EXXON MOBIL CORPORATION (XNYS:XOM)</v>
    <v>2</v>
    <v>3</v>
    <v>Finance</v>
    <v>4</v>
    <v>en-US</v>
    <v>a269ec</v>
    <v>268435456</v>
    <v>1</v>
    <v>Powered by Refinitiv</v>
    <v>159.60499999999999</v>
    <v>97.8</v>
    <v>0.35189999999999999</v>
    <v>9.5000000000000001E-2</v>
    <v>6.3409999999999996E-4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152.33000000000001</v>
    <v>Oil &amp; Gas</v>
    <v>Stock</v>
    <v>46086.795206399998</v>
    <v>311</v>
    <v>149.47</v>
    <v>624660425060</v>
    <v>EXXON MOBIL CORPORATION</v>
    <v>EXXON MOBIL CORPORATION</v>
    <v>151.1</v>
    <v>22.4407</v>
    <v>149.82</v>
    <v>149.91499999999999</v>
    <v>4166764000</v>
    <v>XOM</v>
    <v>EXXON MOBIL CORPORATION (XNYS:XOM)</v>
    <v>10255562</v>
    <v>22925145</v>
    <v>1882</v>
  </rv>
  <rv s="2">
    <v>312</v>
  </rv>
  <rv s="0">
    <v>https://www.bing.com/financeapi/forcetrigger?t=a26hyc&amp;q=XNYS%3aZTS&amp;form=skydnc</v>
    <v>Learn more on Bing</v>
  </rv>
  <rv s="1">
    <v>0</v>
    <v>ZOETIS INC. (XNYS:ZTS)</v>
    <v>2</v>
    <v>3</v>
    <v>Finance</v>
    <v>4</v>
    <v>en-US</v>
    <v>a26hyc</v>
    <v>268435456</v>
    <v>1</v>
    <v>Powered by Refinitiv</v>
    <v>177</v>
    <v>115.25</v>
    <v>0.95620000000000005</v>
    <v>-3.17</v>
    <v>-2.5167000000000002E-2</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125.45</v>
    <v>Pharmaceuticals</v>
    <v>Stock</v>
    <v>46086.795207881252</v>
    <v>314</v>
    <v>122.48</v>
    <v>51833060283</v>
    <v>ZOETIS INC.</v>
    <v>ZOETIS INC.</v>
    <v>124.92</v>
    <v>20.3902</v>
    <v>125.96</v>
    <v>122.79</v>
    <v>422127700</v>
    <v>ZTS</v>
    <v>ZOETIS INC. (XNYS:ZTS)</v>
    <v>1956602</v>
    <v>4679564</v>
    <v>2012</v>
  </rv>
  <rv s="2">
    <v>315</v>
  </rv>
  <rv s="0">
    <v>https://www.bing.com/financeapi/forcetrigger?t=a2qdbh&amp;q=OTCM%3aNSRGY&amp;form=skydnc</v>
    <v>Learn more on Bing</v>
  </rv>
  <rv s="1">
    <v>0</v>
    <v>Nestle Ltd. (OTCM:NSRGY)</v>
    <v>2</v>
    <v>3</v>
    <v>Finance</v>
    <v>15</v>
    <v>en-US</v>
    <v>a2qdbh</v>
    <v>268435456</v>
    <v>1</v>
    <v>Powered by Refinitiv</v>
    <v>109.59</v>
    <v>86.98</v>
    <v>0.50570000000000004</v>
    <v>-1.43</v>
    <v>-1.3762000000000002E-2</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103.11</v>
    <v>Food &amp; Tobacco</v>
    <v>Stock</v>
    <v>46086.784728888284</v>
    <v>317</v>
    <v>102.02</v>
    <v>264041769600</v>
    <v>Nestle Ltd.</v>
    <v>Nestle Ltd.</v>
    <v>102.95</v>
    <v>23.1279</v>
    <v>103.91</v>
    <v>102.48</v>
    <v>2576520000</v>
    <v>NSRGY</v>
    <v>Nestle Ltd. (OTCM:NSRGY)</v>
    <v>233999</v>
    <v>413880</v>
    <v>1905</v>
  </rv>
  <rv s="2">
    <v>318</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rvStructures>
</file>

<file path=xl/richData/rdsupportingpropertybag.xml><?xml version="1.0" encoding="utf-8"?>
<supportingPropertyBags xmlns="http://schemas.microsoft.com/office/spreadsheetml/2017/richdata2">
  <spbArrays count="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spbArrays>
  <spbData count="1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v>
      <v>2</v>
      <v>2</v>
      <v>1</v>
      <v>3</v>
      <v>1</v>
      <v>1</v>
      <v>1</v>
      <v>4</v>
      <v>4</v>
      <v>5</v>
      <v>10</v>
      <v>1</v>
      <v>1</v>
      <v>1</v>
      <v>4</v>
      <v>7</v>
      <v>8</v>
      <v>9</v>
      <v>4</v>
    </spb>
    <spb s="0">
      <v>1</v>
      <v>Name</v>
      <v>LearnMoreOnLink</v>
    </spb>
    <spb s="5">
      <v>0</v>
      <v>0</v>
    </spb>
    <spb s="6">
      <v>7</v>
      <v>1</v>
      <v>1</v>
      <v>1</v>
      <v>1</v>
    </spb>
    <spb s="7">
      <v>1</v>
      <v>2</v>
      <v>2</v>
      <v>1</v>
      <v>3</v>
      <v>1</v>
      <v>11</v>
      <v>1</v>
      <v>1</v>
      <v>4</v>
      <v>4</v>
      <v>5</v>
      <v>6</v>
      <v>1</v>
      <v>1</v>
      <v>1</v>
      <v>4</v>
      <v>7</v>
      <v>8</v>
      <v>9</v>
      <v>4</v>
    </spb>
    <spb s="8">
      <v>Powered by Refinitiv</v>
    </spb>
    <spb s="0">
      <v>2</v>
      <v>Name</v>
      <v>LearnMoreOnLink</v>
    </spb>
    <spb s="9">
      <v>1</v>
      <v>2</v>
      <v>1</v>
      <v>3</v>
      <v>1</v>
      <v>11</v>
      <v>1</v>
      <v>1</v>
      <v>4</v>
      <v>4</v>
      <v>5</v>
      <v>6</v>
      <v>1</v>
      <v>1</v>
      <v>1</v>
      <v>4</v>
      <v>7</v>
      <v>8</v>
      <v>9</v>
      <v>4</v>
    </spb>
    <spb s="4">
      <v>Delayed 15 minutes</v>
      <v>from previous close</v>
      <v>from previous close</v>
      <v>Source: Nasdaq</v>
      <v>GMT</v>
    </spb>
    <spb s="3">
      <v>12</v>
      <v>2</v>
      <v>2</v>
      <v>12</v>
      <v>3</v>
      <v>12</v>
      <v>12</v>
      <v>12</v>
      <v>4</v>
      <v>4</v>
      <v>5</v>
      <v>6</v>
      <v>12</v>
      <v>12</v>
      <v>12</v>
      <v>4</v>
      <v>7</v>
      <v>8</v>
      <v>9</v>
      <v>4</v>
    </spb>
    <spb s="10">
      <v>Delayed 15 minutes</v>
      <v>from previous close</v>
      <v>from previous close</v>
      <v>GMT</v>
    </spb>
  </spbData>
</supportingPropertyBags>
</file>

<file path=xl/richData/rdsupportingpropertybagstructure.xml><?xml version="1.0" encoding="utf-8"?>
<spbStructures xmlns="http://schemas.microsoft.com/office/spreadsheetml/2017/richdata2" count="11">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#,##0_);_([$$-en-CA]* (#,##0);_([$$-en-CA]* "-"_);_(@_)</rpv>
    </rSty>
    <rSty>
      <rpv i="2">1</rpv>
    </rSty>
    <rSty dxfid="1">
      <rpv i="0">_([$€-x-euro2] * #,##0.00_);_([$€-x-euro2] * (#,##0.00);_([$€-x-euro2] *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N102" totalsRowShown="0" headerRowDxfId="9">
  <autoFilter ref="A1:N102" xr:uid="{E0CA35FE-2F53-A347-8AD6-B5C0C701EF5E}"/>
  <sortState xmlns:xlrd2="http://schemas.microsoft.com/office/spreadsheetml/2017/richdata2" ref="A2:N101">
    <sortCondition ref="B1:B101"/>
  </sortState>
  <tableColumns count="14">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N102"/>
  <sheetViews>
    <sheetView tabSelected="1" workbookViewId="0">
      <pane ySplit="1" topLeftCell="A2" activePane="bottomLeft" state="frozen"/>
      <selection pane="bottomLeft" activeCell="H10" sqref="H10"/>
    </sheetView>
  </sheetViews>
  <sheetFormatPr baseColWidth="10" defaultRowHeight="16" x14ac:dyDescent="0.2"/>
  <cols>
    <col min="1" max="1" width="51.83203125" bestFit="1" customWidth="1"/>
    <col min="2" max="2" width="8.6640625" bestFit="1" customWidth="1"/>
    <col min="3" max="3" width="9.33203125" bestFit="1" customWidth="1"/>
    <col min="4" max="4" width="21.6640625" bestFit="1" customWidth="1"/>
    <col min="5" max="5" width="7" bestFit="1" customWidth="1"/>
    <col min="6" max="6" width="8.5" bestFit="1" customWidth="1"/>
    <col min="7" max="7" width="11.1640625" bestFit="1" customWidth="1"/>
    <col min="11" max="11" width="9" bestFit="1" customWidth="1"/>
    <col min="12" max="12" width="10.5" bestFit="1" customWidth="1"/>
    <col min="13" max="13" width="7.83203125" style="4" bestFit="1" customWidth="1"/>
    <col min="14" max="14" width="18.6640625" bestFit="1" customWidth="1"/>
  </cols>
  <sheetData>
    <row r="1" spans="1:14" x14ac:dyDescent="0.2">
      <c r="A1" s="1" t="s">
        <v>3</v>
      </c>
      <c r="B1" s="1" t="s">
        <v>0</v>
      </c>
      <c r="C1" s="1" t="s">
        <v>4</v>
      </c>
      <c r="D1" s="1" t="s">
        <v>1</v>
      </c>
      <c r="E1" s="1" t="s">
        <v>16</v>
      </c>
      <c r="F1" s="1" t="s">
        <v>15</v>
      </c>
      <c r="G1" s="1" t="s">
        <v>2</v>
      </c>
      <c r="H1" s="1" t="s">
        <v>17</v>
      </c>
      <c r="I1" s="1" t="s">
        <v>20</v>
      </c>
      <c r="J1" s="1" t="s">
        <v>19</v>
      </c>
      <c r="K1" s="3" t="s">
        <v>18</v>
      </c>
      <c r="L1" s="1" t="s">
        <v>21</v>
      </c>
      <c r="M1" s="1" t="s">
        <v>22</v>
      </c>
      <c r="N1" s="5" t="s">
        <v>23</v>
      </c>
    </row>
    <row r="2" spans="1:14" x14ac:dyDescent="0.2">
      <c r="A2" t="e" vm="1">
        <v>#VALUE!</v>
      </c>
      <c r="B2" t="str" cm="1">
        <f t="array" aca="1" ref="B2" ca="1">_FV(table1[[#This Row],[DataField]],"Ticker symbol",TRUE)</f>
        <v>AAPL</v>
      </c>
      <c r="C2" t="b">
        <v>1</v>
      </c>
      <c r="D2" t="s">
        <v>6</v>
      </c>
      <c r="E2" t="b">
        <v>1</v>
      </c>
      <c r="G2" t="s">
        <v>24</v>
      </c>
      <c r="H2" s="2" cm="1">
        <f t="array" aca="1" ref="H2" ca="1">_FV(table1[[#This Row],[DataField]],"Price")</f>
        <v>258.3159</v>
      </c>
      <c r="I2" s="2" cm="1">
        <f t="array" aca="1" ref="I2" ca="1">_FV(table1[[#This Row],[DataField]],"52 week low",TRUE)</f>
        <v>169.21010000000001</v>
      </c>
      <c r="J2" s="2" cm="1">
        <f t="array" aca="1" ref="J2" ca="1">_FV(table1[[#This Row],[DataField]],"52 week high",TRUE)</f>
        <v>288.62</v>
      </c>
      <c r="K2" s="4" cm="1">
        <f t="array" aca="1" ref="K2" ca="1">_FV(table1[[#This Row],[DataField]],"P/E",TRUE)</f>
        <v>32.818300000000001</v>
      </c>
      <c r="L2" s="2" t="str">
        <f ca="1">IF(table1[[#This Row],[Price]] &lt; (table1[[#This Row],[52Low]] * 0.25) + table1[[#This Row],[52Low]],  "TRUE", "FALSE")</f>
        <v>FALSE</v>
      </c>
      <c r="M2" s="2" t="str">
        <f ca="1">IF(table1[[#This Row],[Price]] &lt; (table1[[#This Row],[52Low]] * 0.1) + table1[[#This Row],[52Low]],  "TRUE", "FALSE")</f>
        <v>FALSE</v>
      </c>
      <c r="N2" s="6" cm="1">
        <f t="array" aca="1" ref="N2" ca="1">_FV(table1[[#This Row],[DataField]],"Market cap",TRUE)</f>
        <v>3797941182930</v>
      </c>
    </row>
    <row r="3" spans="1:14" x14ac:dyDescent="0.2">
      <c r="A3" t="e" vm="2">
        <v>#VALUE!</v>
      </c>
      <c r="B3" t="str" cm="1">
        <f t="array" aca="1" ref="B3" ca="1">_FV(table1[[#This Row],[DataField]],"Ticker symbol",TRUE)</f>
        <v>ABBV</v>
      </c>
      <c r="H3" s="2" cm="1">
        <f t="array" aca="1" ref="H3" ca="1">_FV(table1[[#This Row],[DataField]],"Price")</f>
        <v>229.04</v>
      </c>
      <c r="I3" s="2" cm="1">
        <f t="array" aca="1" ref="I3" ca="1">_FV(table1[[#This Row],[DataField]],"52 week low",TRUE)</f>
        <v>164.39</v>
      </c>
      <c r="J3" s="2" cm="1">
        <f t="array" aca="1" ref="J3" ca="1">_FV(table1[[#This Row],[DataField]],"52 week high",TRUE)</f>
        <v>244.81</v>
      </c>
      <c r="K3" s="4" cm="1">
        <f t="array" aca="1" ref="K3" ca="1">_FV(table1[[#This Row],[DataField]],"P/E",TRUE)</f>
        <v>97.038499999999999</v>
      </c>
      <c r="L3" s="2" t="str">
        <f ca="1">IF(table1[[#This Row],[Price]] &lt; (table1[[#This Row],[52Low]] * 0.25) + table1[[#This Row],[52Low]],  "TRUE", "FALSE")</f>
        <v>FALSE</v>
      </c>
      <c r="M3" s="2" t="str">
        <f ca="1">IF(table1[[#This Row],[Price]] &lt; (table1[[#This Row],[52Low]] * 0.1) + table1[[#This Row],[52Low]],  "TRUE", "FALSE")</f>
        <v>FALSE</v>
      </c>
      <c r="N3" s="6" cm="1">
        <f t="array" aca="1" ref="N3" ca="1">_FV(table1[[#This Row],[DataField]],"Market cap",TRUE)</f>
        <v>404981427760</v>
      </c>
    </row>
    <row r="4" spans="1:14" x14ac:dyDescent="0.2">
      <c r="A4" t="e" vm="3">
        <v>#VALUE!</v>
      </c>
      <c r="B4" t="str" cm="1">
        <f t="array" aca="1" ref="B4" ca="1">_FV(table1[[#This Row],[DataField]],"Ticker symbol",TRUE)</f>
        <v>ADM</v>
      </c>
      <c r="C4" t="b">
        <v>1</v>
      </c>
      <c r="D4" t="s">
        <v>5</v>
      </c>
      <c r="E4" t="b">
        <v>1</v>
      </c>
      <c r="H4" s="2" cm="1">
        <f t="array" aca="1" ref="H4" ca="1">_FV(table1[[#This Row],[DataField]],"Price")</f>
        <v>66.16</v>
      </c>
      <c r="I4" s="2" cm="1">
        <f t="array" aca="1" ref="I4" ca="1">_FV(table1[[#This Row],[DataField]],"52 week low",TRUE)</f>
        <v>40.98</v>
      </c>
      <c r="J4" s="2" cm="1">
        <f t="array" aca="1" ref="J4" ca="1">_FV(table1[[#This Row],[DataField]],"52 week high",TRUE)</f>
        <v>70.48</v>
      </c>
      <c r="K4" s="4" cm="1">
        <f t="array" aca="1" ref="K4" ca="1">_FV(table1[[#This Row],[DataField]],"P/E",TRUE)</f>
        <v>29.688099999999999</v>
      </c>
      <c r="L4" s="2" t="str">
        <f ca="1">IF(table1[[#This Row],[Price]] &lt; (table1[[#This Row],[52Low]] * 0.25) + table1[[#This Row],[52Low]],  "TRUE", "FALSE")</f>
        <v>FALSE</v>
      </c>
      <c r="M4" s="2" t="str">
        <f ca="1">IF(table1[[#This Row],[Price]] &lt; (table1[[#This Row],[52Low]] * 0.1) + table1[[#This Row],[52Low]],  "TRUE", "FALSE")</f>
        <v>FALSE</v>
      </c>
      <c r="N4" s="6" cm="1">
        <f t="array" aca="1" ref="N4" ca="1">_FV(table1[[#This Row],[DataField]],"Market cap",TRUE)</f>
        <v>31836311088</v>
      </c>
    </row>
    <row r="5" spans="1:14" x14ac:dyDescent="0.2">
      <c r="A5" t="e" vm="4">
        <v>#VALUE!</v>
      </c>
      <c r="B5" t="str" cm="1">
        <f t="array" aca="1" ref="B5" ca="1">_FV(table1[[#This Row],[DataField]],"Ticker symbol",TRUE)</f>
        <v>ADP</v>
      </c>
      <c r="H5" s="2" cm="1">
        <f t="array" aca="1" ref="H5" ca="1">_FV(table1[[#This Row],[DataField]],"Price")</f>
        <v>220.8</v>
      </c>
      <c r="I5" s="2" cm="1">
        <f t="array" aca="1" ref="I5" ca="1">_FV(table1[[#This Row],[DataField]],"52 week low",TRUE)</f>
        <v>203.26</v>
      </c>
      <c r="J5" s="2" cm="1">
        <f t="array" aca="1" ref="J5" ca="1">_FV(table1[[#This Row],[DataField]],"52 week high",TRUE)</f>
        <v>329.92950000000002</v>
      </c>
      <c r="K5" s="4" cm="1">
        <f t="array" aca="1" ref="K5" ca="1">_FV(table1[[#This Row],[DataField]],"P/E",TRUE)</f>
        <v>21.210799999999999</v>
      </c>
      <c r="L5" s="2" t="str">
        <f ca="1">IF(table1[[#This Row],[Price]] &lt; (table1[[#This Row],[52Low]] * 0.25) + table1[[#This Row],[52Low]],  "TRUE", "FALSE")</f>
        <v>TRUE</v>
      </c>
      <c r="M5" s="2" t="str">
        <f ca="1">IF(table1[[#This Row],[Price]] &lt; (table1[[#This Row],[52Low]] * 0.1) + table1[[#This Row],[52Low]],  "TRUE", "FALSE")</f>
        <v>TRUE</v>
      </c>
      <c r="N5" s="6" cm="1">
        <f t="array" aca="1" ref="N5" ca="1">_FV(table1[[#This Row],[DataField]],"Market cap",TRUE)</f>
        <v>88903861440</v>
      </c>
    </row>
    <row r="6" spans="1:14" x14ac:dyDescent="0.2">
      <c r="A6" t="e" vm="5">
        <v>#VALUE!</v>
      </c>
      <c r="B6" t="str" cm="1">
        <f t="array" aca="1" ref="B6" ca="1">_FV(table1[[#This Row],[DataField]],"Ticker symbol",TRUE)</f>
        <v>AMD</v>
      </c>
      <c r="G6" t="s">
        <v>25</v>
      </c>
      <c r="H6" s="2" cm="1">
        <f t="array" aca="1" ref="H6" ca="1">_FV(table1[[#This Row],[DataField]],"Price")</f>
        <v>196.9</v>
      </c>
      <c r="I6" s="2" cm="1">
        <f t="array" aca="1" ref="I6" ca="1">_FV(table1[[#This Row],[DataField]],"52 week low",TRUE)</f>
        <v>76.48</v>
      </c>
      <c r="J6" s="2" cm="1">
        <f t="array" aca="1" ref="J6" ca="1">_FV(table1[[#This Row],[DataField]],"52 week high",TRUE)</f>
        <v>267.07990000000001</v>
      </c>
      <c r="K6" s="4" cm="1">
        <f t="array" aca="1" ref="K6" ca="1">_FV(table1[[#This Row],[DataField]],"P/E",TRUE)</f>
        <v>75.602800000000002</v>
      </c>
      <c r="L6" s="2" t="str">
        <f ca="1">IF(table1[[#This Row],[Price]] &lt; (table1[[#This Row],[52Low]] * 0.25) + table1[[#This Row],[52Low]],  "TRUE", "FALSE")</f>
        <v>FALSE</v>
      </c>
      <c r="M6" s="2" t="str">
        <f ca="1">IF(table1[[#This Row],[Price]] &lt; (table1[[#This Row],[52Low]] * 0.1) + table1[[#This Row],[52Low]],  "TRUE", "FALSE")</f>
        <v>FALSE</v>
      </c>
      <c r="N6" s="6" cm="1">
        <f t="array" aca="1" ref="N6" ca="1">_FV(table1[[#This Row],[DataField]],"Market cap",TRUE)</f>
        <v>321027925900</v>
      </c>
    </row>
    <row r="7" spans="1:14" x14ac:dyDescent="0.2">
      <c r="A7" t="e" vm="6">
        <v>#VALUE!</v>
      </c>
      <c r="B7" t="str" cm="1">
        <f t="array" aca="1" ref="B7" ca="1">_FV(table1[[#This Row],[DataField]],"Ticker symbol",TRUE)</f>
        <v>AMT</v>
      </c>
      <c r="H7" s="2" cm="1">
        <f t="array" aca="1" ref="H7" ca="1">_FV(table1[[#This Row],[DataField]],"Price")</f>
        <v>188.255</v>
      </c>
      <c r="I7" s="2" cm="1">
        <f t="array" aca="1" ref="I7" ca="1">_FV(table1[[#This Row],[DataField]],"52 week low",TRUE)</f>
        <v>166.88</v>
      </c>
      <c r="J7" s="2" cm="1">
        <f t="array" aca="1" ref="J7" ca="1">_FV(table1[[#This Row],[DataField]],"52 week high",TRUE)</f>
        <v>234.33</v>
      </c>
      <c r="K7" s="4" cm="1">
        <f t="array" aca="1" ref="K7" ca="1">_FV(table1[[#This Row],[DataField]],"P/E",TRUE)</f>
        <v>34.883400000000002</v>
      </c>
      <c r="L7" s="2" t="str">
        <f ca="1">IF(table1[[#This Row],[Price]] &lt; (table1[[#This Row],[52Low]] * 0.25) + table1[[#This Row],[52Low]],  "TRUE", "FALSE")</f>
        <v>TRUE</v>
      </c>
      <c r="M7" s="2" t="str">
        <f ca="1">IF(table1[[#This Row],[Price]] &lt; (table1[[#This Row],[52Low]] * 0.1) + table1[[#This Row],[52Low]],  "TRUE", "FALSE")</f>
        <v>FALSE</v>
      </c>
      <c r="N7" s="6" cm="1">
        <f t="array" aca="1" ref="N7" ca="1">_FV(table1[[#This Row],[DataField]],"Market cap",TRUE)</f>
        <v>87742794024</v>
      </c>
    </row>
    <row r="8" spans="1:14" x14ac:dyDescent="0.2">
      <c r="A8" t="e" vm="7">
        <v>#VALUE!</v>
      </c>
      <c r="B8" t="str" cm="1">
        <f t="array" aca="1" ref="B8" ca="1">_FV(table1[[#This Row],[DataField]],"Ticker symbol",TRUE)</f>
        <v>AMZN</v>
      </c>
      <c r="C8" t="b">
        <v>1</v>
      </c>
      <c r="D8" t="s">
        <v>7</v>
      </c>
      <c r="E8" t="b">
        <v>1</v>
      </c>
      <c r="G8" t="s">
        <v>24</v>
      </c>
      <c r="H8" s="2" cm="1">
        <f t="array" aca="1" ref="H8" ca="1">_FV(table1[[#This Row],[DataField]],"Price")</f>
        <v>217.505</v>
      </c>
      <c r="I8" s="2" cm="1">
        <f t="array" aca="1" ref="I8" ca="1">_FV(table1[[#This Row],[DataField]],"52 week low",TRUE)</f>
        <v>161.38</v>
      </c>
      <c r="J8" s="2" cm="1">
        <f t="array" aca="1" ref="J8" ca="1">_FV(table1[[#This Row],[DataField]],"52 week high",TRUE)</f>
        <v>258.60000000000002</v>
      </c>
      <c r="K8" s="4" cm="1">
        <f t="array" aca="1" ref="K8" ca="1">_FV(table1[[#This Row],[DataField]],"P/E",TRUE)</f>
        <v>30.3261</v>
      </c>
      <c r="L8" s="2" t="str">
        <f ca="1">IF(table1[[#This Row],[Price]] &lt; (table1[[#This Row],[52Low]] * 0.25) + table1[[#This Row],[52Low]],  "TRUE", "FALSE")</f>
        <v>FALSE</v>
      </c>
      <c r="M8" s="2" t="str">
        <f ca="1">IF(table1[[#This Row],[Price]] &lt; (table1[[#This Row],[52Low]] * 0.1) + table1[[#This Row],[52Low]],  "TRUE", "FALSE")</f>
        <v>FALSE</v>
      </c>
      <c r="N8" s="6" cm="1">
        <f t="array" aca="1" ref="N8" ca="1">_FV(table1[[#This Row],[DataField]],"Market cap",TRUE)</f>
        <v>2334898774600</v>
      </c>
    </row>
    <row r="9" spans="1:14" x14ac:dyDescent="0.2">
      <c r="A9" t="e" vm="8">
        <v>#VALUE!</v>
      </c>
      <c r="B9" t="str" cm="1">
        <f t="array" aca="1" ref="B9" ca="1">_FV(table1[[#This Row],[DataField]],"Ticker symbol",TRUE)</f>
        <v>AOS</v>
      </c>
      <c r="H9" s="2" cm="1">
        <f t="array" aca="1" ref="H9" ca="1">_FV(table1[[#This Row],[DataField]],"Price")</f>
        <v>71.69</v>
      </c>
      <c r="I9" s="2" cm="1">
        <f t="array" aca="1" ref="I9" ca="1">_FV(table1[[#This Row],[DataField]],"52 week low",TRUE)</f>
        <v>58.83</v>
      </c>
      <c r="J9" s="2" cm="1">
        <f t="array" aca="1" ref="J9" ca="1">_FV(table1[[#This Row],[DataField]],"52 week high",TRUE)</f>
        <v>81.864999999999995</v>
      </c>
      <c r="K9" s="4" cm="1">
        <f t="array" aca="1" ref="K9" ca="1">_FV(table1[[#This Row],[DataField]],"P/E",TRUE)</f>
        <v>18.633800000000001</v>
      </c>
      <c r="L9" s="2" t="str">
        <f ca="1">IF(table1[[#This Row],[Price]] &lt; (table1[[#This Row],[52Low]] * 0.25) + table1[[#This Row],[52Low]],  "TRUE", "FALSE")</f>
        <v>TRUE</v>
      </c>
      <c r="M9" s="2" t="str">
        <f ca="1">IF(table1[[#This Row],[Price]] &lt; (table1[[#This Row],[52Low]] * 0.1) + table1[[#This Row],[52Low]],  "TRUE", "FALSE")</f>
        <v>FALSE</v>
      </c>
      <c r="N9" s="6" cm="1">
        <f t="array" aca="1" ref="N9" ca="1">_FV(table1[[#This Row],[DataField]],"Market cap",TRUE)</f>
        <v>9914002931</v>
      </c>
    </row>
    <row r="10" spans="1:14" x14ac:dyDescent="0.2">
      <c r="A10" t="e" vm="9">
        <v>#VALUE!</v>
      </c>
      <c r="B10" t="str" cm="1">
        <f t="array" aca="1" ref="B10" ca="1">_FV(table1[[#This Row],[DataField]],"Ticker symbol",TRUE)</f>
        <v>ASML</v>
      </c>
      <c r="G10" t="s">
        <v>25</v>
      </c>
      <c r="H10" s="2" cm="1">
        <f t="array" aca="1" ref="H10" ca="1">_FV(table1[[#This Row],[DataField]],"Price")</f>
        <v>1352.4499000000001</v>
      </c>
      <c r="I10" s="2" cm="1">
        <f t="array" aca="1" ref="I10" ca="1">_FV(table1[[#This Row],[DataField]],"52 week low",TRUE)</f>
        <v>578.51</v>
      </c>
      <c r="J10" s="2" cm="1">
        <f t="array" aca="1" ref="J10" ca="1">_FV(table1[[#This Row],[DataField]],"52 week high",TRUE)</f>
        <v>1547.22</v>
      </c>
      <c r="K10" s="4" cm="1">
        <f t="array" aca="1" ref="K10" ca="1">_FV(table1[[#This Row],[DataField]],"P/E",TRUE)</f>
        <v>46.5944</v>
      </c>
      <c r="L10" s="2" t="str">
        <f ca="1">IF(table1[[#This Row],[Price]] &lt; (table1[[#This Row],[52Low]] * 0.25) + table1[[#This Row],[52Low]],  "TRUE", "FALSE")</f>
        <v>FALSE</v>
      </c>
      <c r="M10" s="2" t="str">
        <f ca="1">IF(table1[[#This Row],[Price]] &lt; (table1[[#This Row],[52Low]] * 0.1) + table1[[#This Row],[52Low]],  "TRUE", "FALSE")</f>
        <v>FALSE</v>
      </c>
      <c r="N10" s="6" cm="1">
        <f t="array" aca="1" ref="N10" ca="1">_FV(table1[[#This Row],[DataField]],"Market cap",TRUE)</f>
        <v>524950318050</v>
      </c>
    </row>
    <row r="11" spans="1:14" x14ac:dyDescent="0.2">
      <c r="A11" t="e" vm="10">
        <v>#VALUE!</v>
      </c>
      <c r="B11" t="str" cm="1">
        <f t="array" aca="1" ref="B11" ca="1">_FV(table1[[#This Row],[DataField]],"Ticker symbol",TRUE)</f>
        <v>AVGO</v>
      </c>
      <c r="H11" s="2" cm="1">
        <f t="array" aca="1" ref="H11" ca="1">_FV(table1[[#This Row],[DataField]],"Price")</f>
        <v>329.03</v>
      </c>
      <c r="I11" s="2" cm="1">
        <f t="array" aca="1" ref="I11" ca="1">_FV(table1[[#This Row],[DataField]],"52 week low",TRUE)</f>
        <v>138.1</v>
      </c>
      <c r="J11" s="2" cm="1">
        <f t="array" aca="1" ref="J11" ca="1">_FV(table1[[#This Row],[DataField]],"52 week high",TRUE)</f>
        <v>414.61</v>
      </c>
      <c r="K11" s="4" cm="1">
        <f t="array" aca="1" ref="K11" ca="1">_FV(table1[[#This Row],[DataField]],"P/E",TRUE)</f>
        <v>68.978999999999999</v>
      </c>
      <c r="L11" s="2" t="str">
        <f ca="1">IF(table1[[#This Row],[Price]] &lt; (table1[[#This Row],[52Low]] * 0.25) + table1[[#This Row],[52Low]],  "TRUE", "FALSE")</f>
        <v>FALSE</v>
      </c>
      <c r="M11" s="2" t="str">
        <f ca="1">IF(table1[[#This Row],[Price]] &lt; (table1[[#This Row],[52Low]] * 0.1) + table1[[#This Row],[52Low]],  "TRUE", "FALSE")</f>
        <v>FALSE</v>
      </c>
      <c r="N11" s="6" cm="1">
        <f t="array" aca="1" ref="N11" ca="1">_FV(table1[[#This Row],[DataField]],"Market cap",TRUE)</f>
        <v>1558155455089</v>
      </c>
    </row>
    <row r="12" spans="1:14" x14ac:dyDescent="0.2">
      <c r="A12" t="e" vm="11">
        <v>#VALUE!</v>
      </c>
      <c r="B12" t="str" cm="1">
        <f t="array" aca="1" ref="B12" ca="1">_FV(table1[[#This Row],[DataField]],"Ticker symbol",TRUE)</f>
        <v>AWK</v>
      </c>
      <c r="H12" s="2" cm="1">
        <f t="array" aca="1" ref="H12" ca="1">_FV(table1[[#This Row],[DataField]],"Price")</f>
        <v>135.69</v>
      </c>
      <c r="I12" s="2" cm="1">
        <f t="array" aca="1" ref="I12" ca="1">_FV(table1[[#This Row],[DataField]],"52 week low",TRUE)</f>
        <v>121.27500000000001</v>
      </c>
      <c r="J12" s="2" cm="1">
        <f t="array" aca="1" ref="J12" ca="1">_FV(table1[[#This Row],[DataField]],"52 week high",TRUE)</f>
        <v>155.5</v>
      </c>
      <c r="K12" s="4" cm="1">
        <f t="array" aca="1" ref="K12" ca="1">_FV(table1[[#This Row],[DataField]],"P/E",TRUE)</f>
        <v>23.816099999999999</v>
      </c>
      <c r="L12" s="2" t="str">
        <f ca="1">IF(table1[[#This Row],[Price]] &lt; (table1[[#This Row],[52Low]] * 0.25) + table1[[#This Row],[52Low]],  "TRUE", "FALSE")</f>
        <v>TRUE</v>
      </c>
      <c r="M12" s="2" t="str">
        <f ca="1">IF(table1[[#This Row],[Price]] &lt; (table1[[#This Row],[52Low]] * 0.1) + table1[[#This Row],[52Low]],  "TRUE", "FALSE")</f>
        <v>FALSE</v>
      </c>
      <c r="N12" s="6" cm="1">
        <f t="array" aca="1" ref="N12" ca="1">_FV(table1[[#This Row],[DataField]],"Market cap",TRUE)</f>
        <v>26487868503</v>
      </c>
    </row>
    <row r="13" spans="1:14" ht="17" customHeight="1" x14ac:dyDescent="0.2">
      <c r="A13" t="e" vm="12">
        <v>#VALUE!</v>
      </c>
      <c r="B13" t="str" cm="1">
        <f t="array" aca="1" ref="B13" ca="1">_FV(table1[[#This Row],[DataField]],"Ticker symbol",TRUE)</f>
        <v>BBY</v>
      </c>
      <c r="H13" s="2" cm="1">
        <f t="array" aca="1" ref="H13" ca="1">_FV(table1[[#This Row],[DataField]],"Price")</f>
        <v>65.47</v>
      </c>
      <c r="I13" s="2" cm="1">
        <f t="array" aca="1" ref="I13" ca="1">_FV(table1[[#This Row],[DataField]],"52 week low",TRUE)</f>
        <v>54.99</v>
      </c>
      <c r="J13" s="2" cm="1">
        <f t="array" aca="1" ref="J13" ca="1">_FV(table1[[#This Row],[DataField]],"52 week high",TRUE)</f>
        <v>84.99</v>
      </c>
      <c r="K13" s="4" cm="1">
        <f t="array" aca="1" ref="K13" ca="1">_FV(table1[[#This Row],[DataField]],"P/E",TRUE)</f>
        <v>21.6037</v>
      </c>
      <c r="L13" s="2" t="str">
        <f ca="1">IF(table1[[#This Row],[Price]] &lt; (table1[[#This Row],[52Low]] * 0.25) + table1[[#This Row],[52Low]],  "TRUE", "FALSE")</f>
        <v>TRUE</v>
      </c>
      <c r="M13" s="2" t="str">
        <f ca="1">IF(table1[[#This Row],[Price]] &lt; (table1[[#This Row],[52Low]] * 0.1) + table1[[#This Row],[52Low]],  "TRUE", "FALSE")</f>
        <v>FALSE</v>
      </c>
      <c r="N13" s="6" cm="1">
        <f t="array" aca="1" ref="N13" ca="1">_FV(table1[[#This Row],[DataField]],"Market cap",TRUE)</f>
        <v>13718262997</v>
      </c>
    </row>
    <row r="14" spans="1:14" x14ac:dyDescent="0.2">
      <c r="A14" t="e" vm="13">
        <v>#VALUE!</v>
      </c>
      <c r="B14" t="str" cm="1">
        <f t="array" aca="1" ref="B14" ca="1">_FV(table1[[#This Row],[DataField]],"Ticker symbol",TRUE)</f>
        <v>BF.A</v>
      </c>
      <c r="H14" s="2" cm="1">
        <f t="array" aca="1" ref="H14" ca="1">_FV(table1[[#This Row],[DataField]],"Price")</f>
        <v>26.86</v>
      </c>
      <c r="I14" s="2" cm="1">
        <f t="array" aca="1" ref="I14" ca="1">_FV(table1[[#This Row],[DataField]],"52 week low",TRUE)</f>
        <v>25.53</v>
      </c>
      <c r="J14" s="2" cm="1">
        <f t="array" aca="1" ref="J14" ca="1">_FV(table1[[#This Row],[DataField]],"52 week high",TRUE)</f>
        <v>38.21</v>
      </c>
      <c r="K14" s="4" cm="1">
        <f t="array" aca="1" ref="K14" ca="1">_FV(table1[[#This Row],[DataField]],"P/E",TRUE)</f>
        <v>0</v>
      </c>
      <c r="L14" s="2" t="str">
        <f ca="1">IF(table1[[#This Row],[Price]] &lt; (table1[[#This Row],[52Low]] * 0.25) + table1[[#This Row],[52Low]],  "TRUE", "FALSE")</f>
        <v>TRUE</v>
      </c>
      <c r="M14" s="2" t="str">
        <f ca="1">IF(table1[[#This Row],[Price]] &lt; (table1[[#This Row],[52Low]] * 0.1) + table1[[#This Row],[52Low]],  "TRUE", "FALSE")</f>
        <v>TRUE</v>
      </c>
      <c r="N14" s="6" cm="1">
        <f t="array" aca="1" ref="N14" ca="1">_FV(table1[[#This Row],[DataField]],"Market cap",TRUE)</f>
        <v>12441804484</v>
      </c>
    </row>
    <row r="15" spans="1:14" x14ac:dyDescent="0.2">
      <c r="A15" t="e" vm="14">
        <v>#VALUE!</v>
      </c>
      <c r="B15" t="str" cm="1">
        <f t="array" aca="1" ref="B15" ca="1">_FV(table1[[#This Row],[DataField]],"Ticker symbol",TRUE)</f>
        <v>BLK</v>
      </c>
      <c r="C15" t="b">
        <v>1</v>
      </c>
      <c r="D15" t="s">
        <v>8</v>
      </c>
      <c r="E15" t="b">
        <v>1</v>
      </c>
      <c r="H15" s="2" cm="1">
        <f t="array" aca="1" ref="H15" ca="1">_FV(table1[[#This Row],[DataField]],"Price")</f>
        <v>1025.5941</v>
      </c>
      <c r="I15" s="2" cm="1">
        <f t="array" aca="1" ref="I15" ca="1">_FV(table1[[#This Row],[DataField]],"52 week low",TRUE)</f>
        <v>773.74009999999998</v>
      </c>
      <c r="J15" s="2" cm="1">
        <f t="array" aca="1" ref="J15" ca="1">_FV(table1[[#This Row],[DataField]],"52 week high",TRUE)</f>
        <v>1219.9399000000001</v>
      </c>
      <c r="K15" s="4" cm="1">
        <f t="array" aca="1" ref="K15" ca="1">_FV(table1[[#This Row],[DataField]],"P/E",TRUE)</f>
        <v>29.593</v>
      </c>
      <c r="L15" s="2" t="str">
        <f ca="1">IF(table1[[#This Row],[Price]] &lt; (table1[[#This Row],[52Low]] * 0.25) + table1[[#This Row],[52Low]],  "TRUE", "FALSE")</f>
        <v>FALSE</v>
      </c>
      <c r="M15" s="2" t="str">
        <f ca="1">IF(table1[[#This Row],[Price]] &lt; (table1[[#This Row],[52Low]] * 0.1) + table1[[#This Row],[52Low]],  "TRUE", "FALSE")</f>
        <v>FALSE</v>
      </c>
      <c r="N15" s="6" cm="1">
        <f t="array" aca="1" ref="N15" ca="1">_FV(table1[[#This Row],[DataField]],"Market cap",TRUE)</f>
        <v>159522444705</v>
      </c>
    </row>
    <row r="16" spans="1:14" x14ac:dyDescent="0.2">
      <c r="A16" t="e" vm="15">
        <v>#VALUE!</v>
      </c>
      <c r="B16" t="str" cm="1">
        <f t="array" aca="1" ref="B16" ca="1">_FV(table1[[#This Row],[DataField]],"Ticker symbol",TRUE)</f>
        <v>BMY</v>
      </c>
      <c r="C16" t="b">
        <v>1</v>
      </c>
      <c r="D16" t="s">
        <v>9</v>
      </c>
      <c r="E16" t="b">
        <v>1</v>
      </c>
      <c r="H16" s="2" cm="1">
        <f t="array" aca="1" ref="H16" ca="1">_FV(table1[[#This Row],[DataField]],"Price")</f>
        <v>61.01</v>
      </c>
      <c r="I16" s="2" cm="1">
        <f t="array" aca="1" ref="I16" ca="1">_FV(table1[[#This Row],[DataField]],"52 week low",TRUE)</f>
        <v>42.52</v>
      </c>
      <c r="J16" s="2" cm="1">
        <f t="array" aca="1" ref="J16" ca="1">_FV(table1[[#This Row],[DataField]],"52 week high",TRUE)</f>
        <v>63.33</v>
      </c>
      <c r="K16" s="4" cm="1">
        <f t="array" aca="1" ref="K16" ca="1">_FV(table1[[#This Row],[DataField]],"P/E",TRUE)</f>
        <v>17.668199999999999</v>
      </c>
      <c r="L16" s="2" t="str">
        <f ca="1">IF(table1[[#This Row],[Price]] &lt; (table1[[#This Row],[52Low]] * 0.25) + table1[[#This Row],[52Low]],  "TRUE", "FALSE")</f>
        <v>FALSE</v>
      </c>
      <c r="M16" s="2" t="str">
        <f ca="1">IF(table1[[#This Row],[Price]] &lt; (table1[[#This Row],[52Low]] * 0.1) + table1[[#This Row],[52Low]],  "TRUE", "FALSE")</f>
        <v>FALSE</v>
      </c>
      <c r="N16" s="6" cm="1">
        <f t="array" aca="1" ref="N16" ca="1">_FV(table1[[#This Row],[DataField]],"Market cap",TRUE)</f>
        <v>124245278740</v>
      </c>
    </row>
    <row r="17" spans="1:14" x14ac:dyDescent="0.2">
      <c r="A17" t="e" vm="16">
        <v>#VALUE!</v>
      </c>
      <c r="B17" t="str" cm="1">
        <f t="array" aca="1" ref="B17" ca="1">_FV(table1[[#This Row],[DataField]],"Ticker symbol",TRUE)</f>
        <v>CAT</v>
      </c>
      <c r="H17" s="2" cm="1">
        <f t="array" aca="1" ref="H17" ca="1">_FV(table1[[#This Row],[DataField]],"Price")</f>
        <v>697.83</v>
      </c>
      <c r="I17" s="2" cm="1">
        <f t="array" aca="1" ref="I17" ca="1">_FV(table1[[#This Row],[DataField]],"52 week low",TRUE)</f>
        <v>267.3</v>
      </c>
      <c r="J17" s="2" cm="1">
        <f t="array" aca="1" ref="J17" ca="1">_FV(table1[[#This Row],[DataField]],"52 week high",TRUE)</f>
        <v>789.81</v>
      </c>
      <c r="K17" s="4" cm="1">
        <f t="array" aca="1" ref="K17" ca="1">_FV(table1[[#This Row],[DataField]],"P/E",TRUE)</f>
        <v>37.066400000000002</v>
      </c>
      <c r="L17" s="2" t="str">
        <f ca="1">IF(table1[[#This Row],[Price]] &lt; (table1[[#This Row],[52Low]] * 0.25) + table1[[#This Row],[52Low]],  "TRUE", "FALSE")</f>
        <v>FALSE</v>
      </c>
      <c r="M17" s="2" t="str">
        <f ca="1">IF(table1[[#This Row],[Price]] &lt; (table1[[#This Row],[52Low]] * 0.1) + table1[[#This Row],[52Low]],  "TRUE", "FALSE")</f>
        <v>FALSE</v>
      </c>
      <c r="N17" s="6" cm="1">
        <f t="array" aca="1" ref="N17" ca="1">_FV(table1[[#This Row],[DataField]],"Market cap",TRUE)</f>
        <v>324691436559</v>
      </c>
    </row>
    <row r="18" spans="1:14" x14ac:dyDescent="0.2">
      <c r="A18" t="e" vm="17">
        <v>#VALUE!</v>
      </c>
      <c r="B18" t="str" cm="1">
        <f t="array" aca="1" ref="B18" ca="1">_FV(table1[[#This Row],[DataField]],"Ticker symbol",TRUE)</f>
        <v>CCI</v>
      </c>
      <c r="H18" s="2" cm="1">
        <f t="array" aca="1" ref="H18" ca="1">_FV(table1[[#This Row],[DataField]],"Price")</f>
        <v>89.87</v>
      </c>
      <c r="I18" s="2" cm="1">
        <f t="array" aca="1" ref="I18" ca="1">_FV(table1[[#This Row],[DataField]],"52 week low",TRUE)</f>
        <v>77.010000000000005</v>
      </c>
      <c r="J18" s="2" cm="1">
        <f t="array" aca="1" ref="J18" ca="1">_FV(table1[[#This Row],[DataField]],"52 week high",TRUE)</f>
        <v>115.76</v>
      </c>
      <c r="K18" s="4" cm="1">
        <f t="array" aca="1" ref="K18" ca="1">_FV(table1[[#This Row],[DataField]],"P/E",TRUE)</f>
        <v>35.606200000000001</v>
      </c>
      <c r="L18" s="2" t="str">
        <f ca="1">IF(table1[[#This Row],[Price]] &lt; (table1[[#This Row],[52Low]] * 0.25) + table1[[#This Row],[52Low]],  "TRUE", "FALSE")</f>
        <v>TRUE</v>
      </c>
      <c r="M18" s="2" t="str">
        <f ca="1">IF(table1[[#This Row],[Price]] &lt; (table1[[#This Row],[52Low]] * 0.1) + table1[[#This Row],[52Low]],  "TRUE", "FALSE")</f>
        <v>FALSE</v>
      </c>
      <c r="N18" s="6" cm="1">
        <f t="array" aca="1" ref="N18" ca="1">_FV(table1[[#This Row],[DataField]],"Market cap",TRUE)</f>
        <v>39189646848</v>
      </c>
    </row>
    <row r="19" spans="1:14" x14ac:dyDescent="0.2">
      <c r="A19" t="e" vm="18">
        <v>#VALUE!</v>
      </c>
      <c r="B19" t="str" cm="1">
        <f t="array" aca="1" ref="B19" ca="1">_FV(table1[[#This Row],[DataField]],"Ticker symbol",TRUE)</f>
        <v>CL</v>
      </c>
      <c r="H19" s="2" cm="1">
        <f t="array" aca="1" ref="H19" ca="1">_FV(table1[[#This Row],[DataField]],"Price")</f>
        <v>93.09</v>
      </c>
      <c r="I19" s="2" cm="1">
        <f t="array" aca="1" ref="I19" ca="1">_FV(table1[[#This Row],[DataField]],"52 week low",TRUE)</f>
        <v>74.545000000000002</v>
      </c>
      <c r="J19" s="2" cm="1">
        <f t="array" aca="1" ref="J19" ca="1">_FV(table1[[#This Row],[DataField]],"52 week high",TRUE)</f>
        <v>100.18</v>
      </c>
      <c r="K19" s="4" cm="1">
        <f t="array" aca="1" ref="K19" ca="1">_FV(table1[[#This Row],[DataField]],"P/E",TRUE)</f>
        <v>35.511600000000001</v>
      </c>
      <c r="L19" s="2" t="str">
        <f ca="1">IF(table1[[#This Row],[Price]] &lt; (table1[[#This Row],[52Low]] * 0.25) + table1[[#This Row],[52Low]],  "TRUE", "FALSE")</f>
        <v>TRUE</v>
      </c>
      <c r="M19" s="2" t="str">
        <f ca="1">IF(table1[[#This Row],[Price]] &lt; (table1[[#This Row],[52Low]] * 0.1) + table1[[#This Row],[52Low]],  "TRUE", "FALSE")</f>
        <v>FALSE</v>
      </c>
      <c r="N19" s="6" cm="1">
        <f t="array" aca="1" ref="N19" ca="1">_FV(table1[[#This Row],[DataField]],"Market cap",TRUE)</f>
        <v>74616103320</v>
      </c>
    </row>
    <row r="20" spans="1:14" x14ac:dyDescent="0.2">
      <c r="A20" t="e" vm="19">
        <v>#VALUE!</v>
      </c>
      <c r="B20" t="str" cm="1">
        <f t="array" aca="1" ref="B20" ca="1">_FV(table1[[#This Row],[DataField]],"Ticker symbol",TRUE)</f>
        <v>CLX</v>
      </c>
      <c r="C20" t="b">
        <v>1</v>
      </c>
      <c r="D20" t="s">
        <v>5</v>
      </c>
      <c r="E20" t="b">
        <v>1</v>
      </c>
      <c r="H20" s="2" cm="1">
        <f t="array" aca="1" ref="H20" ca="1">_FV(table1[[#This Row],[DataField]],"Price")</f>
        <v>114.955</v>
      </c>
      <c r="I20" s="2" cm="1">
        <f t="array" aca="1" ref="I20" ca="1">_FV(table1[[#This Row],[DataField]],"52 week low",TRUE)</f>
        <v>96.6601</v>
      </c>
      <c r="J20" s="2" cm="1">
        <f t="array" aca="1" ref="J20" ca="1">_FV(table1[[#This Row],[DataField]],"52 week high",TRUE)</f>
        <v>153.89699999999999</v>
      </c>
      <c r="K20" s="4" cm="1">
        <f t="array" aca="1" ref="K20" ca="1">_FV(table1[[#This Row],[DataField]],"P/E",TRUE)</f>
        <v>18.782599999999999</v>
      </c>
      <c r="L20" s="2" t="str">
        <f ca="1">IF(table1[[#This Row],[Price]] &lt; (table1[[#This Row],[52Low]] * 0.25) + table1[[#This Row],[52Low]],  "TRUE", "FALSE")</f>
        <v>TRUE</v>
      </c>
      <c r="M20" s="2" t="str">
        <f ca="1">IF(table1[[#This Row],[Price]] &lt; (table1[[#This Row],[52Low]] * 0.1) + table1[[#This Row],[52Low]],  "TRUE", "FALSE")</f>
        <v>FALSE</v>
      </c>
      <c r="N20" s="6" cm="1">
        <f t="array" aca="1" ref="N20" ca="1">_FV(table1[[#This Row],[DataField]],"Market cap",TRUE)</f>
        <v>13899427464</v>
      </c>
    </row>
    <row r="21" spans="1:14" x14ac:dyDescent="0.2">
      <c r="A21" t="e" vm="20">
        <v>#VALUE!</v>
      </c>
      <c r="B21" t="str" cm="1">
        <f t="array" aca="1" ref="B21" ca="1">_FV(table1[[#This Row],[DataField]],"Ticker symbol",TRUE)</f>
        <v>CMCSA</v>
      </c>
      <c r="C21" t="b">
        <v>1</v>
      </c>
      <c r="D21" t="s">
        <v>10</v>
      </c>
      <c r="E21" t="b">
        <v>1</v>
      </c>
      <c r="H21" s="2" cm="1">
        <f t="array" aca="1" ref="H21" ca="1">_FV(table1[[#This Row],[DataField]],"Price")</f>
        <v>31.725000000000001</v>
      </c>
      <c r="I21" s="2" cm="1">
        <f t="array" aca="1" ref="I21" ca="1">_FV(table1[[#This Row],[DataField]],"52 week low",TRUE)</f>
        <v>24.1234</v>
      </c>
      <c r="J21" s="2" cm="1">
        <f t="array" aca="1" ref="J21" ca="1">_FV(table1[[#This Row],[DataField]],"52 week high",TRUE)</f>
        <v>35.5762</v>
      </c>
      <c r="K21" s="4" cm="1">
        <f t="array" aca="1" ref="K21" ca="1">_FV(table1[[#This Row],[DataField]],"P/E",TRUE)</f>
        <v>5.9016000000000002</v>
      </c>
      <c r="L21" s="2" t="str">
        <f ca="1">IF(table1[[#This Row],[Price]] &lt; (table1[[#This Row],[52Low]] * 0.25) + table1[[#This Row],[52Low]],  "TRUE", "FALSE")</f>
        <v>FALSE</v>
      </c>
      <c r="M21" s="2" t="str">
        <f ca="1">IF(table1[[#This Row],[Price]] &lt; (table1[[#This Row],[52Low]] * 0.1) + table1[[#This Row],[52Low]],  "TRUE", "FALSE")</f>
        <v>FALSE</v>
      </c>
      <c r="N21" s="6" cm="1">
        <f t="array" aca="1" ref="N21" ca="1">_FV(table1[[#This Row],[DataField]],"Market cap",TRUE)</f>
        <v>114141664350</v>
      </c>
    </row>
    <row r="22" spans="1:14" x14ac:dyDescent="0.2">
      <c r="A22" t="e" vm="21">
        <v>#VALUE!</v>
      </c>
      <c r="B22" t="str" cm="1">
        <f t="array" aca="1" ref="B22" ca="1">_FV(table1[[#This Row],[DataField]],"Ticker symbol",TRUE)</f>
        <v>CNI</v>
      </c>
      <c r="H22" s="2" cm="1">
        <f t="array" aca="1" ref="H22" ca="1">_FV(table1[[#This Row],[DataField]],"Price")</f>
        <v>108.97499999999999</v>
      </c>
      <c r="I22" s="2" cm="1">
        <f t="array" aca="1" ref="I22" ca="1">_FV(table1[[#This Row],[DataField]],"52 week low",TRUE)</f>
        <v>90.74</v>
      </c>
      <c r="J22" s="2" cm="1">
        <f t="array" aca="1" ref="J22" ca="1">_FV(table1[[#This Row],[DataField]],"52 week high",TRUE)</f>
        <v>113.08499999999999</v>
      </c>
      <c r="K22" s="4" cm="1">
        <f t="array" aca="1" ref="K22" ca="1">_FV(table1[[#This Row],[DataField]],"P/E",TRUE)</f>
        <v>19.762599999999999</v>
      </c>
      <c r="L22" s="2" t="str">
        <f ca="1">IF(table1[[#This Row],[Price]] &lt; (table1[[#This Row],[52Low]] * 0.25) + table1[[#This Row],[52Low]],  "TRUE", "FALSE")</f>
        <v>TRUE</v>
      </c>
      <c r="M22" s="2" t="str">
        <f ca="1">IF(table1[[#This Row],[Price]] &lt; (table1[[#This Row],[52Low]] * 0.1) + table1[[#This Row],[52Low]],  "TRUE", "FALSE")</f>
        <v>FALSE</v>
      </c>
      <c r="N22" s="6" cm="1">
        <f t="array" aca="1" ref="N22" ca="1">_FV(table1[[#This Row],[DataField]],"Market cap",TRUE)</f>
        <v>68586852000</v>
      </c>
    </row>
    <row r="23" spans="1:14" x14ac:dyDescent="0.2">
      <c r="A23" t="e" vm="22">
        <v>#VALUE!</v>
      </c>
      <c r="B23" t="str" cm="1">
        <f t="array" aca="1" ref="B23" ca="1">_FV(table1[[#This Row],[DataField]],"Ticker symbol",TRUE)</f>
        <v>COST</v>
      </c>
      <c r="H23" s="2" cm="1">
        <f t="array" aca="1" ref="H23" ca="1">_FV(table1[[#This Row],[DataField]],"Price")</f>
        <v>980.38</v>
      </c>
      <c r="I23" s="2" cm="1">
        <f t="array" aca="1" ref="I23" ca="1">_FV(table1[[#This Row],[DataField]],"52 week low",TRUE)</f>
        <v>844.06</v>
      </c>
      <c r="J23" s="2" cm="1">
        <f t="array" aca="1" ref="J23" ca="1">_FV(table1[[#This Row],[DataField]],"52 week high",TRUE)</f>
        <v>1067.08</v>
      </c>
      <c r="K23" s="4" cm="1">
        <f t="array" aca="1" ref="K23" ca="1">_FV(table1[[#This Row],[DataField]],"P/E",TRUE)</f>
        <v>52.515999999999998</v>
      </c>
      <c r="L23" s="2" t="str">
        <f ca="1">IF(table1[[#This Row],[Price]] &lt; (table1[[#This Row],[52Low]] * 0.25) + table1[[#This Row],[52Low]],  "TRUE", "FALSE")</f>
        <v>TRUE</v>
      </c>
      <c r="M23" s="2" t="str">
        <f ca="1">IF(table1[[#This Row],[Price]] &lt; (table1[[#This Row],[52Low]] * 0.1) + table1[[#This Row],[52Low]],  "TRUE", "FALSE")</f>
        <v>FALSE</v>
      </c>
      <c r="N23" s="6" cm="1">
        <f t="array" aca="1" ref="N23" ca="1">_FV(table1[[#This Row],[DataField]],"Market cap",TRUE)</f>
        <v>435160682372</v>
      </c>
    </row>
    <row r="24" spans="1:14" x14ac:dyDescent="0.2">
      <c r="A24" t="e" vm="23">
        <v>#VALUE!</v>
      </c>
      <c r="B24" t="str" cm="1">
        <f t="array" aca="1" ref="B24" ca="1">_FV(table1[[#This Row],[DataField]],"Ticker symbol",TRUE)</f>
        <v>CPB</v>
      </c>
      <c r="H24" s="2" cm="1">
        <f t="array" aca="1" ref="H24" ca="1">_FV(table1[[#This Row],[DataField]],"Price")</f>
        <v>25.305</v>
      </c>
      <c r="I24" s="2" cm="1">
        <f t="array" aca="1" ref="I24" ca="1">_FV(table1[[#This Row],[DataField]],"52 week low",TRUE)</f>
        <v>24.91</v>
      </c>
      <c r="J24" s="2" cm="1">
        <f t="array" aca="1" ref="J24" ca="1">_FV(table1[[#This Row],[DataField]],"52 week high",TRUE)</f>
        <v>43.85</v>
      </c>
      <c r="K24" s="4" cm="1">
        <f t="array" aca="1" ref="K24" ca="1">_FV(table1[[#This Row],[DataField]],"P/E",TRUE)</f>
        <v>13.102600000000001</v>
      </c>
      <c r="L24" s="2" t="str">
        <f ca="1">IF(table1[[#This Row],[Price]] &lt; (table1[[#This Row],[52Low]] * 0.25) + table1[[#This Row],[52Low]],  "TRUE", "FALSE")</f>
        <v>TRUE</v>
      </c>
      <c r="M24" s="2" t="str">
        <f ca="1">IF(table1[[#This Row],[Price]] &lt; (table1[[#This Row],[52Low]] * 0.1) + table1[[#This Row],[52Low]],  "TRUE", "FALSE")</f>
        <v>TRUE</v>
      </c>
      <c r="N24" s="6" cm="1">
        <f t="array" aca="1" ref="N24" ca="1">_FV(table1[[#This Row],[DataField]],"Market cap",TRUE)</f>
        <v>7544285931</v>
      </c>
    </row>
    <row r="25" spans="1:14" x14ac:dyDescent="0.2">
      <c r="A25" t="e" vm="24">
        <v>#VALUE!</v>
      </c>
      <c r="B25" t="str" cm="1">
        <f t="array" aca="1" ref="B25" ca="1">_FV(table1[[#This Row],[DataField]],"Ticker symbol",TRUE)</f>
        <v>CVS</v>
      </c>
      <c r="C25" t="b">
        <v>1</v>
      </c>
      <c r="D25" t="s">
        <v>9</v>
      </c>
      <c r="E25" t="b">
        <v>1</v>
      </c>
      <c r="H25" s="2" cm="1">
        <f t="array" aca="1" ref="H25" ca="1">_FV(table1[[#This Row],[DataField]],"Price")</f>
        <v>79.56</v>
      </c>
      <c r="I25" s="2" cm="1">
        <f t="array" aca="1" ref="I25" ca="1">_FV(table1[[#This Row],[DataField]],"52 week low",TRUE)</f>
        <v>58.35</v>
      </c>
      <c r="J25" s="2" cm="1">
        <f t="array" aca="1" ref="J25" ca="1">_FV(table1[[#This Row],[DataField]],"52 week high",TRUE)</f>
        <v>85.15</v>
      </c>
      <c r="K25" s="4" cm="1">
        <f t="array" aca="1" ref="K25" ca="1">_FV(table1[[#This Row],[DataField]],"P/E",TRUE)</f>
        <v>58.179200000000002</v>
      </c>
      <c r="L25" s="2" t="str">
        <f ca="1">IF(table1[[#This Row],[Price]] &lt; (table1[[#This Row],[52Low]] * 0.25) + table1[[#This Row],[52Low]],  "TRUE", "FALSE")</f>
        <v>FALSE</v>
      </c>
      <c r="M25" s="2" t="str">
        <f ca="1">IF(table1[[#This Row],[Price]] &lt; (table1[[#This Row],[52Low]] * 0.1) + table1[[#This Row],[52Low]],  "TRUE", "FALSE")</f>
        <v>FALSE</v>
      </c>
      <c r="N25" s="6" cm="1">
        <f t="array" aca="1" ref="N25" ca="1">_FV(table1[[#This Row],[DataField]],"Market cap",TRUE)</f>
        <v>101217107160</v>
      </c>
    </row>
    <row r="26" spans="1:14" x14ac:dyDescent="0.2">
      <c r="A26" t="e" vm="25">
        <v>#VALUE!</v>
      </c>
      <c r="B26" t="str" cm="1">
        <f t="array" aca="1" ref="B26" ca="1">_FV(table1[[#This Row],[DataField]],"Ticker symbol",TRUE)</f>
        <v>CVX</v>
      </c>
      <c r="C26" t="b">
        <v>1</v>
      </c>
      <c r="D26" t="s">
        <v>11</v>
      </c>
      <c r="E26" t="b">
        <v>1</v>
      </c>
      <c r="H26" s="2" cm="1">
        <f t="array" aca="1" ref="H26" ca="1">_FV(table1[[#This Row],[DataField]],"Price")</f>
        <v>189.11</v>
      </c>
      <c r="I26" s="2" cm="1">
        <f t="array" aca="1" ref="I26" ca="1">_FV(table1[[#This Row],[DataField]],"52 week low",TRUE)</f>
        <v>132.04</v>
      </c>
      <c r="J26" s="2" cm="1">
        <f t="array" aca="1" ref="J26" ca="1">_FV(table1[[#This Row],[DataField]],"52 week high",TRUE)</f>
        <v>191.5599</v>
      </c>
      <c r="K26" s="4" cm="1">
        <f t="array" aca="1" ref="K26" ca="1">_FV(table1[[#This Row],[DataField]],"P/E",TRUE)</f>
        <v>28.455100000000002</v>
      </c>
      <c r="L26" s="2" t="str">
        <f ca="1">IF(table1[[#This Row],[Price]] &lt; (table1[[#This Row],[52Low]] * 0.25) + table1[[#This Row],[52Low]],  "TRUE", "FALSE")</f>
        <v>FALSE</v>
      </c>
      <c r="M26" s="2" t="str">
        <f ca="1">IF(table1[[#This Row],[Price]] &lt; (table1[[#This Row],[52Low]] * 0.1) + table1[[#This Row],[52Low]],  "TRUE", "FALSE")</f>
        <v>FALSE</v>
      </c>
      <c r="N26" s="6" cm="1">
        <f t="array" aca="1" ref="N26" ca="1">_FV(table1[[#This Row],[DataField]],"Market cap",TRUE)</f>
        <v>377347257350</v>
      </c>
    </row>
    <row r="27" spans="1:14" x14ac:dyDescent="0.2">
      <c r="A27" t="e" vm="26">
        <v>#VALUE!</v>
      </c>
      <c r="B27" t="str" cm="1">
        <f t="array" aca="1" ref="B27" ca="1">_FV(table1[[#This Row],[DataField]],"Ticker symbol",TRUE)</f>
        <v>D</v>
      </c>
      <c r="H27" s="2" cm="1">
        <f t="array" aca="1" ref="H27" ca="1">_FV(table1[[#This Row],[DataField]],"Price")</f>
        <v>62.43</v>
      </c>
      <c r="I27" s="2" cm="1">
        <f t="array" aca="1" ref="I27" ca="1">_FV(table1[[#This Row],[DataField]],"52 week low",TRUE)</f>
        <v>48.07</v>
      </c>
      <c r="J27" s="2" cm="1">
        <f t="array" aca="1" ref="J27" ca="1">_FV(table1[[#This Row],[DataField]],"52 week high",TRUE)</f>
        <v>67.569900000000004</v>
      </c>
      <c r="K27" s="4" cm="1">
        <f t="array" aca="1" ref="K27" ca="1">_FV(table1[[#This Row],[DataField]],"P/E",TRUE)</f>
        <v>18.083100000000002</v>
      </c>
      <c r="L27" s="2" t="str">
        <f ca="1">IF(table1[[#This Row],[Price]] &lt; (table1[[#This Row],[52Low]] * 0.25) + table1[[#This Row],[52Low]],  "TRUE", "FALSE")</f>
        <v>FALSE</v>
      </c>
      <c r="M27" s="2" t="str">
        <f ca="1">IF(table1[[#This Row],[Price]] &lt; (table1[[#This Row],[52Low]] * 0.1) + table1[[#This Row],[52Low]],  "TRUE", "FALSE")</f>
        <v>FALSE</v>
      </c>
      <c r="N27" s="6" cm="1">
        <f t="array" aca="1" ref="N27" ca="1">_FV(table1[[#This Row],[DataField]],"Market cap",TRUE)</f>
        <v>54862585008</v>
      </c>
    </row>
    <row r="28" spans="1:14" x14ac:dyDescent="0.2">
      <c r="A28" t="e" vm="27">
        <v>#VALUE!</v>
      </c>
      <c r="B28" t="str" cm="1">
        <f t="array" aca="1" ref="B28" ca="1">_FV(table1[[#This Row],[DataField]],"Ticker symbol",TRUE)</f>
        <v>DE</v>
      </c>
      <c r="H28" s="2" cm="1">
        <f t="array" aca="1" ref="H28" ca="1">_FV(table1[[#This Row],[DataField]],"Price")</f>
        <v>588.16</v>
      </c>
      <c r="I28" s="2" cm="1">
        <f t="array" aca="1" ref="I28" ca="1">_FV(table1[[#This Row],[DataField]],"52 week low",TRUE)</f>
        <v>404.42</v>
      </c>
      <c r="J28" s="2" cm="1">
        <f t="array" aca="1" ref="J28" ca="1">_FV(table1[[#This Row],[DataField]],"52 week high",TRUE)</f>
        <v>674.18989999999997</v>
      </c>
      <c r="K28" s="4" cm="1">
        <f t="array" aca="1" ref="K28" ca="1">_FV(table1[[#This Row],[DataField]],"P/E",TRUE)</f>
        <v>33.160600000000002</v>
      </c>
      <c r="L28" s="2" t="str">
        <f ca="1">IF(table1[[#This Row],[Price]] &lt; (table1[[#This Row],[52Low]] * 0.25) + table1[[#This Row],[52Low]],  "TRUE", "FALSE")</f>
        <v>FALSE</v>
      </c>
      <c r="M28" s="2" t="str">
        <f ca="1">IF(table1[[#This Row],[Price]] &lt; (table1[[#This Row],[52Low]] * 0.1) + table1[[#This Row],[52Low]],  "TRUE", "FALSE")</f>
        <v>FALSE</v>
      </c>
      <c r="N28" s="6" cm="1">
        <f t="array" aca="1" ref="N28" ca="1">_FV(table1[[#This Row],[DataField]],"Market cap",TRUE)</f>
        <v>158866309568</v>
      </c>
    </row>
    <row r="29" spans="1:14" x14ac:dyDescent="0.2">
      <c r="A29" t="e" vm="28">
        <v>#VALUE!</v>
      </c>
      <c r="B29" t="str" cm="1">
        <f t="array" aca="1" ref="B29" ca="1">_FV(table1[[#This Row],[DataField]],"Ticker symbol",TRUE)</f>
        <v>DEO</v>
      </c>
      <c r="H29" s="2" cm="1">
        <f t="array" aca="1" ref="H29" ca="1">_FV(table1[[#This Row],[DataField]],"Price")</f>
        <v>82.08</v>
      </c>
      <c r="I29" s="2" cm="1">
        <f t="array" aca="1" ref="I29" ca="1">_FV(table1[[#This Row],[DataField]],"52 week low",TRUE)</f>
        <v>80.790000000000006</v>
      </c>
      <c r="J29" s="2" cm="1">
        <f t="array" aca="1" ref="J29" ca="1">_FV(table1[[#This Row],[DataField]],"52 week high",TRUE)</f>
        <v>116.69</v>
      </c>
      <c r="K29" s="4" cm="1">
        <f t="array" aca="1" ref="K29" ca="1">_FV(table1[[#This Row],[DataField]],"P/E",TRUE)</f>
        <v>18.960100000000001</v>
      </c>
      <c r="L29" s="2" t="str">
        <f ca="1">IF(table1[[#This Row],[Price]] &lt; (table1[[#This Row],[52Low]] * 0.25) + table1[[#This Row],[52Low]],  "TRUE", "FALSE")</f>
        <v>TRUE</v>
      </c>
      <c r="M29" s="2" t="str">
        <f ca="1">IF(table1[[#This Row],[Price]] &lt; (table1[[#This Row],[52Low]] * 0.1) + table1[[#This Row],[52Low]],  "TRUE", "FALSE")</f>
        <v>TRUE</v>
      </c>
      <c r="N29" s="6" cm="1">
        <f t="array" aca="1" ref="N29" ca="1">_FV(table1[[#This Row],[DataField]],"Market cap",TRUE)</f>
        <v>45686795040</v>
      </c>
    </row>
    <row r="30" spans="1:14" x14ac:dyDescent="0.2">
      <c r="A30" t="e" vm="29">
        <v>#VALUE!</v>
      </c>
      <c r="B30" t="str" cm="1">
        <f t="array" aca="1" ref="B30" ca="1">_FV(table1[[#This Row],[DataField]],"Ticker symbol",TRUE)</f>
        <v>DLR</v>
      </c>
      <c r="H30" s="2" cm="1">
        <f t="array" aca="1" ref="H30" ca="1">_FV(table1[[#This Row],[DataField]],"Price")</f>
        <v>179.535</v>
      </c>
      <c r="I30" s="2" cm="1">
        <f t="array" aca="1" ref="I30" ca="1">_FV(table1[[#This Row],[DataField]],"52 week low",TRUE)</f>
        <v>129.94999999999999</v>
      </c>
      <c r="J30" s="2" cm="1">
        <f t="array" aca="1" ref="J30" ca="1">_FV(table1[[#This Row],[DataField]],"52 week high",TRUE)</f>
        <v>184.79</v>
      </c>
      <c r="K30" s="4" cm="1">
        <f t="array" aca="1" ref="K30" ca="1">_FV(table1[[#This Row],[DataField]],"P/E",TRUE)</f>
        <v>50.1494</v>
      </c>
      <c r="L30" s="2" t="str">
        <f ca="1">IF(table1[[#This Row],[Price]] &lt; (table1[[#This Row],[52Low]] * 0.25) + table1[[#This Row],[52Low]],  "TRUE", "FALSE")</f>
        <v>FALSE</v>
      </c>
      <c r="M30" s="2" t="str">
        <f ca="1">IF(table1[[#This Row],[Price]] &lt; (table1[[#This Row],[52Low]] * 0.1) + table1[[#This Row],[52Low]],  "TRUE", "FALSE")</f>
        <v>FALSE</v>
      </c>
      <c r="N30" s="6" cm="1">
        <f t="array" aca="1" ref="N30" ca="1">_FV(table1[[#This Row],[DataField]],"Market cap",TRUE)</f>
        <v>61690990839</v>
      </c>
    </row>
    <row r="31" spans="1:14" x14ac:dyDescent="0.2">
      <c r="A31" t="e" vm="30">
        <v>#VALUE!</v>
      </c>
      <c r="B31" t="str" cm="1">
        <f t="array" aca="1" ref="B31" ca="1">_FV(table1[[#This Row],[DataField]],"Ticker symbol",TRUE)</f>
        <v>DOW</v>
      </c>
      <c r="H31" s="2" cm="1">
        <f t="array" aca="1" ref="H31" ca="1">_FV(table1[[#This Row],[DataField]],"Price")</f>
        <v>33.950299999999999</v>
      </c>
      <c r="I31" s="2" cm="1">
        <f t="array" aca="1" ref="I31" ca="1">_FV(table1[[#This Row],[DataField]],"52 week low",TRUE)</f>
        <v>20.401900000000001</v>
      </c>
      <c r="J31" s="2" cm="1">
        <f t="array" aca="1" ref="J31" ca="1">_FV(table1[[#This Row],[DataField]],"52 week high",TRUE)</f>
        <v>38.363599999999998</v>
      </c>
      <c r="K31" s="4" cm="1">
        <f t="array" aca="1" ref="K31" ca="1">_FV(table1[[#This Row],[DataField]],"P/E",TRUE)</f>
        <v>0</v>
      </c>
      <c r="L31" s="2" t="str">
        <f ca="1">IF(table1[[#This Row],[Price]] &lt; (table1[[#This Row],[52Low]] * 0.25) + table1[[#This Row],[52Low]],  "TRUE", "FALSE")</f>
        <v>FALSE</v>
      </c>
      <c r="M31" s="2" t="str">
        <f ca="1">IF(table1[[#This Row],[Price]] &lt; (table1[[#This Row],[52Low]] * 0.1) + table1[[#This Row],[52Low]],  "TRUE", "FALSE")</f>
        <v>FALSE</v>
      </c>
      <c r="N31" s="6" cm="1">
        <f t="array" aca="1" ref="N31" ca="1">_FV(table1[[#This Row],[DataField]],"Market cap",TRUE)</f>
        <v>24431294515</v>
      </c>
    </row>
    <row r="32" spans="1:14" x14ac:dyDescent="0.2">
      <c r="A32" t="e" vm="31">
        <v>#VALUE!</v>
      </c>
      <c r="B32" t="str" cm="1">
        <f t="array" aca="1" ref="B32" ca="1">_FV(table1[[#This Row],[DataField]],"Ticker symbol",TRUE)</f>
        <v>DUK</v>
      </c>
      <c r="H32" s="2" cm="1">
        <f t="array" aca="1" ref="H32" ca="1">_FV(table1[[#This Row],[DataField]],"Price")</f>
        <v>130.94</v>
      </c>
      <c r="I32" s="2" cm="1">
        <f t="array" aca="1" ref="I32" ca="1">_FV(table1[[#This Row],[DataField]],"52 week low",TRUE)</f>
        <v>111.22</v>
      </c>
      <c r="J32" s="2" cm="1">
        <f t="array" aca="1" ref="J32" ca="1">_FV(table1[[#This Row],[DataField]],"52 week high",TRUE)</f>
        <v>132.655</v>
      </c>
      <c r="K32" s="4" cm="1">
        <f t="array" aca="1" ref="K32" ca="1">_FV(table1[[#This Row],[DataField]],"P/E",TRUE)</f>
        <v>20.713799999999999</v>
      </c>
      <c r="L32" s="2" t="str">
        <f ca="1">IF(table1[[#This Row],[Price]] &lt; (table1[[#This Row],[52Low]] * 0.25) + table1[[#This Row],[52Low]],  "TRUE", "FALSE")</f>
        <v>TRUE</v>
      </c>
      <c r="M32" s="2" t="str">
        <f ca="1">IF(table1[[#This Row],[Price]] &lt; (table1[[#This Row],[52Low]] * 0.1) + table1[[#This Row],[52Low]],  "TRUE", "FALSE")</f>
        <v>FALSE</v>
      </c>
      <c r="N32" s="6" cm="1">
        <f t="array" aca="1" ref="N32" ca="1">_FV(table1[[#This Row],[DataField]],"Market cap",TRUE)</f>
        <v>101828227646</v>
      </c>
    </row>
    <row r="33" spans="1:14" x14ac:dyDescent="0.2">
      <c r="A33" t="e" vm="32">
        <v>#VALUE!</v>
      </c>
      <c r="B33" t="str" cm="1">
        <f t="array" aca="1" ref="B33" ca="1">_FV(table1[[#This Row],[DataField]],"Ticker symbol",TRUE)</f>
        <v>ED</v>
      </c>
      <c r="H33" s="2" cm="1">
        <f t="array" aca="1" ref="H33" ca="1">_FV(table1[[#This Row],[DataField]],"Price")</f>
        <v>110.92</v>
      </c>
      <c r="I33" s="2" cm="1">
        <f t="array" aca="1" ref="I33" ca="1">_FV(table1[[#This Row],[DataField]],"52 week low",TRUE)</f>
        <v>94.96</v>
      </c>
      <c r="J33" s="2" cm="1">
        <f t="array" aca="1" ref="J33" ca="1">_FV(table1[[#This Row],[DataField]],"52 week high",TRUE)</f>
        <v>115.25</v>
      </c>
      <c r="K33" s="4" cm="1">
        <f t="array" aca="1" ref="K33" ca="1">_FV(table1[[#This Row],[DataField]],"P/E",TRUE)</f>
        <v>19.6204</v>
      </c>
      <c r="L33" s="2" t="str">
        <f ca="1">IF(table1[[#This Row],[Price]] &lt; (table1[[#This Row],[52Low]] * 0.25) + table1[[#This Row],[52Low]],  "TRUE", "FALSE")</f>
        <v>TRUE</v>
      </c>
      <c r="M33" s="2" t="str">
        <f ca="1">IF(table1[[#This Row],[Price]] &lt; (table1[[#This Row],[52Low]] * 0.1) + table1[[#This Row],[52Low]],  "TRUE", "FALSE")</f>
        <v>FALSE</v>
      </c>
      <c r="N33" s="6" cm="1">
        <f t="array" aca="1" ref="N33" ca="1">_FV(table1[[#This Row],[DataField]],"Market cap",TRUE)</f>
        <v>40075695484</v>
      </c>
    </row>
    <row r="34" spans="1:14" x14ac:dyDescent="0.2">
      <c r="A34" t="e" vm="33">
        <v>#VALUE!</v>
      </c>
      <c r="B34" t="str" cm="1">
        <f t="array" aca="1" ref="B34" ca="1">_FV(table1[[#This Row],[DataField]],"Ticker symbol",TRUE)</f>
        <v>EMN</v>
      </c>
      <c r="C34" t="b">
        <v>1</v>
      </c>
      <c r="D34" t="s">
        <v>13</v>
      </c>
      <c r="E34" t="b">
        <v>0</v>
      </c>
      <c r="H34" s="2" cm="1">
        <f t="array" aca="1" ref="H34" ca="1">_FV(table1[[#This Row],[DataField]],"Price")</f>
        <v>72.290000000000006</v>
      </c>
      <c r="I34" s="2" cm="1">
        <f t="array" aca="1" ref="I34" ca="1">_FV(table1[[#This Row],[DataField]],"52 week low",TRUE)</f>
        <v>56.11</v>
      </c>
      <c r="J34" s="2" cm="1">
        <f t="array" aca="1" ref="J34" ca="1">_FV(table1[[#This Row],[DataField]],"52 week high",TRUE)</f>
        <v>99.89</v>
      </c>
      <c r="K34" s="4" cm="1">
        <f t="array" aca="1" ref="K34" ca="1">_FV(table1[[#This Row],[DataField]],"P/E",TRUE)</f>
        <v>19.005199999999999</v>
      </c>
      <c r="L34" s="2" t="str">
        <f ca="1">IF(table1[[#This Row],[Price]] &lt; (table1[[#This Row],[52Low]] * 0.25) + table1[[#This Row],[52Low]],  "TRUE", "FALSE")</f>
        <v>FALSE</v>
      </c>
      <c r="M34" s="2" t="str">
        <f ca="1">IF(table1[[#This Row],[Price]] &lt; (table1[[#This Row],[52Low]] * 0.1) + table1[[#This Row],[52Low]],  "TRUE", "FALSE")</f>
        <v>FALSE</v>
      </c>
      <c r="N34" s="6" cm="1">
        <f t="array" aca="1" ref="N34" ca="1">_FV(table1[[#This Row],[DataField]],"Market cap",TRUE)</f>
        <v>8248093817</v>
      </c>
    </row>
    <row r="35" spans="1:14" x14ac:dyDescent="0.2">
      <c r="A35" t="e" vm="34">
        <v>#VALUE!</v>
      </c>
      <c r="B35" t="str" cm="1">
        <f t="array" aca="1" ref="B35" ca="1">_FV(table1[[#This Row],[DataField]],"Ticker symbol",TRUE)</f>
        <v>EOG</v>
      </c>
      <c r="H35" s="2" cm="1">
        <f t="array" aca="1" ref="H35" ca="1">_FV(table1[[#This Row],[DataField]],"Price")</f>
        <v>131.11000000000001</v>
      </c>
      <c r="I35" s="2" cm="1">
        <f t="array" aca="1" ref="I35" ca="1">_FV(table1[[#This Row],[DataField]],"52 week low",TRUE)</f>
        <v>101.5936</v>
      </c>
      <c r="J35" s="2" cm="1">
        <f t="array" aca="1" ref="J35" ca="1">_FV(table1[[#This Row],[DataField]],"52 week high",TRUE)</f>
        <v>131.9</v>
      </c>
      <c r="K35" s="4" cm="1">
        <f t="array" aca="1" ref="K35" ca="1">_FV(table1[[#This Row],[DataField]],"P/E",TRUE)</f>
        <v>14.3901</v>
      </c>
      <c r="L35" s="2" t="str">
        <f ca="1">IF(table1[[#This Row],[Price]] &lt; (table1[[#This Row],[52Low]] * 0.25) + table1[[#This Row],[52Low]],  "TRUE", "FALSE")</f>
        <v>FALSE</v>
      </c>
      <c r="M35" s="2" t="str">
        <f ca="1">IF(table1[[#This Row],[Price]] &lt; (table1[[#This Row],[52Low]] * 0.1) + table1[[#This Row],[52Low]],  "TRUE", "FALSE")</f>
        <v>FALSE</v>
      </c>
      <c r="N35" s="6" cm="1">
        <f t="array" aca="1" ref="N35" ca="1">_FV(table1[[#This Row],[DataField]],"Market cap",TRUE)</f>
        <v>70339400565</v>
      </c>
    </row>
    <row r="36" spans="1:14" x14ac:dyDescent="0.2">
      <c r="A36" t="e" vm="35">
        <v>#VALUE!</v>
      </c>
      <c r="B36" t="str" cm="1">
        <f t="array" aca="1" ref="B36" ca="1">_FV(table1[[#This Row],[DataField]],"Ticker symbol",TRUE)</f>
        <v>EQIX</v>
      </c>
      <c r="H36" s="2" cm="1">
        <f t="array" aca="1" ref="H36" ca="1">_FV(table1[[#This Row],[DataField]],"Price")</f>
        <v>954</v>
      </c>
      <c r="I36" s="2" cm="1">
        <f t="array" aca="1" ref="I36" ca="1">_FV(table1[[#This Row],[DataField]],"52 week low",TRUE)</f>
        <v>701.41</v>
      </c>
      <c r="J36" s="2" cm="1">
        <f t="array" aca="1" ref="J36" ca="1">_FV(table1[[#This Row],[DataField]],"52 week high",TRUE)</f>
        <v>992.9</v>
      </c>
      <c r="K36" s="4" cm="1">
        <f t="array" aca="1" ref="K36" ca="1">_FV(table1[[#This Row],[DataField]],"P/E",TRUE)</f>
        <v>69.329400000000007</v>
      </c>
      <c r="L36" s="2" t="str">
        <f ca="1">IF(table1[[#This Row],[Price]] &lt; (table1[[#This Row],[52Low]] * 0.25) + table1[[#This Row],[52Low]],  "TRUE", "FALSE")</f>
        <v>FALSE</v>
      </c>
      <c r="M36" s="2" t="str">
        <f ca="1">IF(table1[[#This Row],[Price]] &lt; (table1[[#This Row],[52Low]] * 0.1) + table1[[#This Row],[52Low]],  "TRUE", "FALSE")</f>
        <v>FALSE</v>
      </c>
      <c r="N36" s="6" cm="1">
        <f t="array" aca="1" ref="N36" ca="1">_FV(table1[[#This Row],[DataField]],"Market cap",TRUE)</f>
        <v>93735203220</v>
      </c>
    </row>
    <row r="37" spans="1:14" x14ac:dyDescent="0.2">
      <c r="A37" t="e" vm="36">
        <v>#VALUE!</v>
      </c>
      <c r="B37" t="str" cm="1">
        <f t="array" aca="1" ref="B37" ca="1">_FV(table1[[#This Row],[DataField]],"Ticker symbol",TRUE)</f>
        <v>FAST</v>
      </c>
      <c r="H37" s="2" cm="1">
        <f t="array" aca="1" ref="H37" ca="1">_FV(table1[[#This Row],[DataField]],"Price")</f>
        <v>47.19</v>
      </c>
      <c r="I37" s="2" cm="1">
        <f t="array" aca="1" ref="I37" ca="1">_FV(table1[[#This Row],[DataField]],"52 week low",TRUE)</f>
        <v>35.305</v>
      </c>
      <c r="J37" s="2" cm="1">
        <f t="array" aca="1" ref="J37" ca="1">_FV(table1[[#This Row],[DataField]],"52 week high",TRUE)</f>
        <v>50.63</v>
      </c>
      <c r="K37" s="4" cm="1">
        <f t="array" aca="1" ref="K37" ca="1">_FV(table1[[#This Row],[DataField]],"P/E",TRUE)</f>
        <v>43.131300000000003</v>
      </c>
      <c r="L37" s="2" t="str">
        <f ca="1">IF(table1[[#This Row],[Price]] &lt; (table1[[#This Row],[52Low]] * 0.25) + table1[[#This Row],[52Low]],  "TRUE", "FALSE")</f>
        <v>FALSE</v>
      </c>
      <c r="M37" s="2" t="str">
        <f ca="1">IF(table1[[#This Row],[Price]] &lt; (table1[[#This Row],[52Low]] * 0.1) + table1[[#This Row],[52Low]],  "TRUE", "FALSE")</f>
        <v>FALSE</v>
      </c>
      <c r="N37" s="6" cm="1">
        <f t="array" aca="1" ref="N37" ca="1">_FV(table1[[#This Row],[DataField]],"Market cap",TRUE)</f>
        <v>54189598320</v>
      </c>
    </row>
    <row r="38" spans="1:14" x14ac:dyDescent="0.2">
      <c r="A38" t="e" vm="37">
        <v>#VALUE!</v>
      </c>
      <c r="B38" t="str" cm="1">
        <f t="array" aca="1" ref="B38" ca="1">_FV(table1[[#This Row],[DataField]],"Ticker symbol",TRUE)</f>
        <v>FDX</v>
      </c>
      <c r="H38" s="2" cm="1">
        <f t="array" aca="1" ref="H38" ca="1">_FV(table1[[#This Row],[DataField]],"Price")</f>
        <v>373.74</v>
      </c>
      <c r="I38" s="2" cm="1">
        <f t="array" aca="1" ref="I38" ca="1">_FV(table1[[#This Row],[DataField]],"52 week low",TRUE)</f>
        <v>194.29499999999999</v>
      </c>
      <c r="J38" s="2" cm="1">
        <f t="array" aca="1" ref="J38" ca="1">_FV(table1[[#This Row],[DataField]],"52 week high",TRUE)</f>
        <v>392.86</v>
      </c>
      <c r="K38" s="4" cm="1">
        <f t="array" aca="1" ref="K38" ca="1">_FV(table1[[#This Row],[DataField]],"P/E",TRUE)</f>
        <v>20.631499999999999</v>
      </c>
      <c r="L38" s="2" t="str">
        <f ca="1">IF(table1[[#This Row],[Price]] &lt; (table1[[#This Row],[52Low]] * 0.25) + table1[[#This Row],[52Low]],  "TRUE", "FALSE")</f>
        <v>FALSE</v>
      </c>
      <c r="M38" s="2" t="str">
        <f ca="1">IF(table1[[#This Row],[Price]] &lt; (table1[[#This Row],[52Low]] * 0.1) + table1[[#This Row],[52Low]],  "TRUE", "FALSE")</f>
        <v>FALSE</v>
      </c>
      <c r="N38" s="6" cm="1">
        <f t="array" aca="1" ref="N38" ca="1">_FV(table1[[#This Row],[DataField]],"Market cap",TRUE)</f>
        <v>87874795272</v>
      </c>
    </row>
    <row r="39" spans="1:14" x14ac:dyDescent="0.2">
      <c r="A39" t="e" vm="38">
        <v>#VALUE!</v>
      </c>
      <c r="B39" t="str" cm="1">
        <f t="array" aca="1" ref="B39" ca="1">_FV(table1[[#This Row],[DataField]],"Ticker symbol",TRUE)</f>
        <v>FLO</v>
      </c>
      <c r="H39" s="2" cm="1">
        <f t="array" aca="1" ref="H39" ca="1">_FV(table1[[#This Row],[DataField]],"Price")</f>
        <v>9.2850000000000001</v>
      </c>
      <c r="I39" s="2" cm="1">
        <f t="array" aca="1" ref="I39" ca="1">_FV(table1[[#This Row],[DataField]],"52 week low",TRUE)</f>
        <v>8.9450000000000003</v>
      </c>
      <c r="J39" s="2" cm="1">
        <f t="array" aca="1" ref="J39" ca="1">_FV(table1[[#This Row],[DataField]],"52 week high",TRUE)</f>
        <v>20.23</v>
      </c>
      <c r="K39" s="4" cm="1">
        <f t="array" aca="1" ref="K39" ca="1">_FV(table1[[#This Row],[DataField]],"P/E",TRUE)</f>
        <v>23.494399999999999</v>
      </c>
      <c r="L39" s="2" t="str">
        <f ca="1">IF(table1[[#This Row],[Price]] &lt; (table1[[#This Row],[52Low]] * 0.25) + table1[[#This Row],[52Low]],  "TRUE", "FALSE")</f>
        <v>TRUE</v>
      </c>
      <c r="M39" s="2" t="str">
        <f ca="1">IF(table1[[#This Row],[Price]] &lt; (table1[[#This Row],[52Low]] * 0.1) + table1[[#This Row],[52Low]],  "TRUE", "FALSE")</f>
        <v>TRUE</v>
      </c>
      <c r="N39" s="6" cm="1">
        <f t="array" aca="1" ref="N39" ca="1">_FV(table1[[#This Row],[DataField]],"Market cap",TRUE)</f>
        <v>1964281675</v>
      </c>
    </row>
    <row r="40" spans="1:14" x14ac:dyDescent="0.2">
      <c r="A40" t="e" vm="39">
        <v>#VALUE!</v>
      </c>
      <c r="B40" t="str" cm="1">
        <f t="array" aca="1" ref="B40" ca="1">_FV(table1[[#This Row],[DataField]],"Ticker symbol",TRUE)</f>
        <v>GD</v>
      </c>
      <c r="C40" t="b">
        <v>1</v>
      </c>
      <c r="D40" t="s">
        <v>12</v>
      </c>
      <c r="E40" t="b">
        <v>1</v>
      </c>
      <c r="H40" s="2" cm="1">
        <f t="array" aca="1" ref="H40" ca="1">_FV(table1[[#This Row],[DataField]],"Price")</f>
        <v>357.41050000000001</v>
      </c>
      <c r="I40" s="2" cm="1">
        <f t="array" aca="1" ref="I40" ca="1">_FV(table1[[#This Row],[DataField]],"52 week low",TRUE)</f>
        <v>239.2</v>
      </c>
      <c r="J40" s="2" cm="1">
        <f t="array" aca="1" ref="J40" ca="1">_FV(table1[[#This Row],[DataField]],"52 week high",TRUE)</f>
        <v>369.7</v>
      </c>
      <c r="K40" s="4" cm="1">
        <f t="array" aca="1" ref="K40" ca="1">_FV(table1[[#This Row],[DataField]],"P/E",TRUE)</f>
        <v>23.127700000000001</v>
      </c>
      <c r="L40" s="2" t="str">
        <f ca="1">IF(table1[[#This Row],[Price]] &lt; (table1[[#This Row],[52Low]] * 0.25) + table1[[#This Row],[52Low]],  "TRUE", "FALSE")</f>
        <v>FALSE</v>
      </c>
      <c r="M40" s="2" t="str">
        <f ca="1">IF(table1[[#This Row],[Price]] &lt; (table1[[#This Row],[52Low]] * 0.1) + table1[[#This Row],[52Low]],  "TRUE", "FALSE")</f>
        <v>FALSE</v>
      </c>
      <c r="N40" s="6" cm="1">
        <f t="array" aca="1" ref="N40" ca="1">_FV(table1[[#This Row],[DataField]],"Market cap",TRUE)</f>
        <v>96640153612</v>
      </c>
    </row>
    <row r="41" spans="1:14" x14ac:dyDescent="0.2">
      <c r="A41" t="e" vm="40">
        <v>#VALUE!</v>
      </c>
      <c r="B41" t="str" cm="1">
        <f t="array" aca="1" ref="B41" ca="1">_FV(table1[[#This Row],[DataField]],"Ticker symbol",TRUE)</f>
        <v>GIS</v>
      </c>
      <c r="H41" s="2" cm="1">
        <f t="array" aca="1" ref="H41" ca="1">_FV(table1[[#This Row],[DataField]],"Price")</f>
        <v>43.695</v>
      </c>
      <c r="I41" s="2" cm="1">
        <f t="array" aca="1" ref="I41" ca="1">_FV(table1[[#This Row],[DataField]],"52 week low",TRUE)</f>
        <v>42.784999999999997</v>
      </c>
      <c r="J41" s="2" cm="1">
        <f t="array" aca="1" ref="J41" ca="1">_FV(table1[[#This Row],[DataField]],"52 week high",TRUE)</f>
        <v>67.349999999999994</v>
      </c>
      <c r="K41" s="4" cm="1">
        <f t="array" aca="1" ref="K41" ca="1">_FV(table1[[#This Row],[DataField]],"P/E",TRUE)</f>
        <v>9.3743999999999996</v>
      </c>
      <c r="L41" s="2" t="str">
        <f ca="1">IF(table1[[#This Row],[Price]] &lt; (table1[[#This Row],[52Low]] * 0.25) + table1[[#This Row],[52Low]],  "TRUE", "FALSE")</f>
        <v>TRUE</v>
      </c>
      <c r="M41" s="2" t="str">
        <f ca="1">IF(table1[[#This Row],[Price]] &lt; (table1[[#This Row],[52Low]] * 0.1) + table1[[#This Row],[52Low]],  "TRUE", "FALSE")</f>
        <v>TRUE</v>
      </c>
      <c r="N41" s="6" cm="1">
        <f t="array" aca="1" ref="N41" ca="1">_FV(table1[[#This Row],[DataField]],"Market cap",TRUE)</f>
        <v>23314869859</v>
      </c>
    </row>
    <row r="42" spans="1:14" x14ac:dyDescent="0.2">
      <c r="A42" t="e" vm="41">
        <v>#VALUE!</v>
      </c>
      <c r="B42" t="str" cm="1">
        <f t="array" aca="1" ref="B42" ca="1">_FV(table1[[#This Row],[DataField]],"Ticker symbol",TRUE)</f>
        <v>GOOGL</v>
      </c>
      <c r="G42" t="s">
        <v>24</v>
      </c>
      <c r="H42" s="2" cm="1">
        <f t="array" aca="1" ref="H42" ca="1">_FV(table1[[#This Row],[DataField]],"Price")</f>
        <v>298.77</v>
      </c>
      <c r="I42" s="2" cm="1">
        <f t="array" aca="1" ref="I42" ca="1">_FV(table1[[#This Row],[DataField]],"52 week low",TRUE)</f>
        <v>140.53</v>
      </c>
      <c r="J42" s="2" cm="1">
        <f t="array" aca="1" ref="J42" ca="1">_FV(table1[[#This Row],[DataField]],"52 week high",TRUE)</f>
        <v>349</v>
      </c>
      <c r="K42" s="4" cm="1">
        <f t="array" aca="1" ref="K42" ca="1">_FV(table1[[#This Row],[DataField]],"P/E",TRUE)</f>
        <v>27.638300000000001</v>
      </c>
      <c r="L42" s="2" t="str">
        <f ca="1">IF(table1[[#This Row],[Price]] &lt; (table1[[#This Row],[52Low]] * 0.25) + table1[[#This Row],[52Low]],  "TRUE", "FALSE")</f>
        <v>FALSE</v>
      </c>
      <c r="M42" s="2" t="str">
        <f ca="1">IF(table1[[#This Row],[Price]] &lt; (table1[[#This Row],[52Low]] * 0.1) + table1[[#This Row],[52Low]],  "TRUE", "FALSE")</f>
        <v>FALSE</v>
      </c>
      <c r="N42" s="6" cm="1">
        <f t="array" aca="1" ref="N42" ca="1">_FV(table1[[#This Row],[DataField]],"Market cap",TRUE)</f>
        <v>3614220690000</v>
      </c>
    </row>
    <row r="43" spans="1:14" x14ac:dyDescent="0.2">
      <c r="A43" t="e" vm="42">
        <v>#VALUE!</v>
      </c>
      <c r="B43" t="str" cm="1">
        <f t="array" aca="1" ref="B43" ca="1">_FV(table1[[#This Row],[DataField]],"Ticker symbol",TRUE)</f>
        <v>HD</v>
      </c>
      <c r="C43" t="b">
        <v>1</v>
      </c>
      <c r="D43" t="s">
        <v>7</v>
      </c>
      <c r="E43" t="b">
        <v>1</v>
      </c>
      <c r="H43" s="2" cm="1">
        <f t="array" aca="1" ref="H43" ca="1">_FV(table1[[#This Row],[DataField]],"Price")</f>
        <v>360.37740000000002</v>
      </c>
      <c r="I43" s="2" cm="1">
        <f t="array" aca="1" ref="I43" ca="1">_FV(table1[[#This Row],[DataField]],"52 week low",TRUE)</f>
        <v>326.31</v>
      </c>
      <c r="J43" s="2" cm="1">
        <f t="array" aca="1" ref="J43" ca="1">_FV(table1[[#This Row],[DataField]],"52 week high",TRUE)</f>
        <v>426.75</v>
      </c>
      <c r="K43" s="4" cm="1">
        <f t="array" aca="1" ref="K43" ca="1">_FV(table1[[#This Row],[DataField]],"P/E",TRUE)</f>
        <v>25.315899999999999</v>
      </c>
      <c r="L43" s="2" t="str">
        <f ca="1">IF(table1[[#This Row],[Price]] &lt; (table1[[#This Row],[52Low]] * 0.25) + table1[[#This Row],[52Low]],  "TRUE", "FALSE")</f>
        <v>TRUE</v>
      </c>
      <c r="M43" s="2" t="str">
        <f ca="1">IF(table1[[#This Row],[Price]] &lt; (table1[[#This Row],[52Low]] * 0.1) + table1[[#This Row],[52Low]],  "TRUE", "FALSE")</f>
        <v>FALSE</v>
      </c>
      <c r="N43" s="6" cm="1">
        <f t="array" aca="1" ref="N43" ca="1">_FV(table1[[#This Row],[DataField]],"Market cap",TRUE)</f>
        <v>358759846040</v>
      </c>
    </row>
    <row r="44" spans="1:14" x14ac:dyDescent="0.2">
      <c r="A44" t="e" vm="43">
        <v>#VALUE!</v>
      </c>
      <c r="B44" t="str" cm="1">
        <f t="array" aca="1" ref="B44" ca="1">_FV(table1[[#This Row],[DataField]],"Ticker symbol",TRUE)</f>
        <v>HRL</v>
      </c>
      <c r="H44" s="2" cm="1">
        <f t="array" aca="1" ref="H44" ca="1">_FV(table1[[#This Row],[DataField]],"Price")</f>
        <v>24.28</v>
      </c>
      <c r="I44" s="2" cm="1">
        <f t="array" aca="1" ref="I44" ca="1">_FV(table1[[#This Row],[DataField]],"52 week low",TRUE)</f>
        <v>21.03</v>
      </c>
      <c r="J44" s="2" cm="1">
        <f t="array" aca="1" ref="J44" ca="1">_FV(table1[[#This Row],[DataField]],"52 week high",TRUE)</f>
        <v>32.07</v>
      </c>
      <c r="K44" s="4" cm="1">
        <f t="array" aca="1" ref="K44" ca="1">_FV(table1[[#This Row],[DataField]],"P/E",TRUE)</f>
        <v>27.320799999999998</v>
      </c>
      <c r="L44" s="2" t="str">
        <f ca="1">IF(table1[[#This Row],[Price]] &lt; (table1[[#This Row],[52Low]] * 0.25) + table1[[#This Row],[52Low]],  "TRUE", "FALSE")</f>
        <v>TRUE</v>
      </c>
      <c r="M44" s="2" t="str">
        <f ca="1">IF(table1[[#This Row],[Price]] &lt; (table1[[#This Row],[52Low]] * 0.1) + table1[[#This Row],[52Low]],  "TRUE", "FALSE")</f>
        <v>FALSE</v>
      </c>
      <c r="N44" s="6" cm="1">
        <f t="array" aca="1" ref="N44" ca="1">_FV(table1[[#This Row],[DataField]],"Market cap",TRUE)</f>
        <v>13360900376</v>
      </c>
    </row>
    <row r="45" spans="1:14" x14ac:dyDescent="0.2">
      <c r="A45" t="e" vm="44">
        <v>#VALUE!</v>
      </c>
      <c r="B45" t="str" cm="1">
        <f t="array" aca="1" ref="B45" ca="1">_FV(table1[[#This Row],[DataField]],"Ticker symbol",TRUE)</f>
        <v>HSY</v>
      </c>
      <c r="C45" t="b">
        <v>1</v>
      </c>
      <c r="D45" t="s">
        <v>5</v>
      </c>
      <c r="E45" t="b">
        <v>1</v>
      </c>
      <c r="H45" s="2" cm="1">
        <f t="array" aca="1" ref="H45" ca="1">_FV(table1[[#This Row],[DataField]],"Price")</f>
        <v>226.29</v>
      </c>
      <c r="I45" s="2" cm="1">
        <f t="array" aca="1" ref="I45" ca="1">_FV(table1[[#This Row],[DataField]],"52 week low",TRUE)</f>
        <v>150.04</v>
      </c>
      <c r="J45" s="2" cm="1">
        <f t="array" aca="1" ref="J45" ca="1">_FV(table1[[#This Row],[DataField]],"52 week high",TRUE)</f>
        <v>239.48</v>
      </c>
      <c r="K45" s="4" cm="1">
        <f t="array" aca="1" ref="K45" ca="1">_FV(table1[[#This Row],[DataField]],"P/E",TRUE)</f>
        <v>52.120100000000001</v>
      </c>
      <c r="L45" s="2" t="str">
        <f ca="1">IF(table1[[#This Row],[Price]] &lt; (table1[[#This Row],[52Low]] * 0.25) + table1[[#This Row],[52Low]],  "TRUE", "FALSE")</f>
        <v>FALSE</v>
      </c>
      <c r="M45" s="2" t="str">
        <f ca="1">IF(table1[[#This Row],[Price]] &lt; (table1[[#This Row],[52Low]] * 0.1) + table1[[#This Row],[52Low]],  "TRUE", "FALSE")</f>
        <v>FALSE</v>
      </c>
      <c r="N45" s="6" cm="1">
        <f t="array" aca="1" ref="N45" ca="1">_FV(table1[[#This Row],[DataField]],"Market cap",TRUE)</f>
        <v>45866923761</v>
      </c>
    </row>
    <row r="46" spans="1:14" x14ac:dyDescent="0.2">
      <c r="A46" t="e" vm="45">
        <v>#VALUE!</v>
      </c>
      <c r="B46" t="str" cm="1">
        <f t="array" aca="1" ref="B46" ca="1">_FV(table1[[#This Row],[DataField]],"Ticker symbol",TRUE)</f>
        <v>INTC</v>
      </c>
      <c r="H46" s="2" cm="1">
        <f t="array" aca="1" ref="H46" ca="1">_FV(table1[[#This Row],[DataField]],"Price")</f>
        <v>45.41</v>
      </c>
      <c r="I46" s="2" cm="1">
        <f t="array" aca="1" ref="I46" ca="1">_FV(table1[[#This Row],[DataField]],"52 week low",TRUE)</f>
        <v>17.664999999999999</v>
      </c>
      <c r="J46" s="2" cm="1">
        <f t="array" aca="1" ref="J46" ca="1">_FV(table1[[#This Row],[DataField]],"52 week high",TRUE)</f>
        <v>54.6</v>
      </c>
      <c r="K46" s="4" cm="1">
        <f t="array" aca="1" ref="K46" ca="1">_FV(table1[[#This Row],[DataField]],"P/E",TRUE)</f>
        <v>0</v>
      </c>
      <c r="L46" s="2" t="str">
        <f ca="1">IF(table1[[#This Row],[Price]] &lt; (table1[[#This Row],[52Low]] * 0.25) + table1[[#This Row],[52Low]],  "TRUE", "FALSE")</f>
        <v>FALSE</v>
      </c>
      <c r="M46" s="2" t="str">
        <f ca="1">IF(table1[[#This Row],[Price]] &lt; (table1[[#This Row],[52Low]] * 0.1) + table1[[#This Row],[52Low]],  "TRUE", "FALSE")</f>
        <v>FALSE</v>
      </c>
      <c r="N46" s="6" cm="1">
        <f t="array" aca="1" ref="N46" ca="1">_FV(table1[[#This Row],[DataField]],"Market cap",TRUE)</f>
        <v>226822949999</v>
      </c>
    </row>
    <row r="47" spans="1:14" x14ac:dyDescent="0.2">
      <c r="A47" t="e" vm="46">
        <v>#VALUE!</v>
      </c>
      <c r="B47" t="str" cm="1">
        <f t="array" aca="1" ref="B47" ca="1">_FV(table1[[#This Row],[DataField]],"Ticker symbol",TRUE)</f>
        <v>INTU</v>
      </c>
      <c r="H47" s="2" cm="1">
        <f t="array" aca="1" ref="H47" ca="1">_FV(table1[[#This Row],[DataField]],"Price")</f>
        <v>467.93</v>
      </c>
      <c r="I47" s="2" cm="1">
        <f t="array" aca="1" ref="I47" ca="1">_FV(table1[[#This Row],[DataField]],"52 week low",TRUE)</f>
        <v>349</v>
      </c>
      <c r="J47" s="2" cm="1">
        <f t="array" aca="1" ref="J47" ca="1">_FV(table1[[#This Row],[DataField]],"52 week high",TRUE)</f>
        <v>813.7</v>
      </c>
      <c r="K47" s="4" cm="1">
        <f t="array" aca="1" ref="K47" ca="1">_FV(table1[[#This Row],[DataField]],"P/E",TRUE)</f>
        <v>30.437999999999999</v>
      </c>
      <c r="L47" s="2" t="str">
        <f ca="1">IF(table1[[#This Row],[Price]] &lt; (table1[[#This Row],[52Low]] * 0.25) + table1[[#This Row],[52Low]],  "TRUE", "FALSE")</f>
        <v>FALSE</v>
      </c>
      <c r="M47" s="2" t="str">
        <f ca="1">IF(table1[[#This Row],[Price]] &lt; (table1[[#This Row],[52Low]] * 0.1) + table1[[#This Row],[52Low]],  "TRUE", "FALSE")</f>
        <v>FALSE</v>
      </c>
      <c r="N47" s="6" cm="1">
        <f t="array" aca="1" ref="N47" ca="1">_FV(table1[[#This Row],[DataField]],"Market cap",TRUE)</f>
        <v>129406041500</v>
      </c>
    </row>
    <row r="48" spans="1:14" x14ac:dyDescent="0.2">
      <c r="A48" t="e" vm="47">
        <v>#VALUE!</v>
      </c>
      <c r="B48" t="str" cm="1">
        <f t="array" aca="1" ref="B48" ca="1">_FV(table1[[#This Row],[DataField]],"Ticker symbol",TRUE)</f>
        <v>IRM</v>
      </c>
      <c r="H48" s="2" cm="1">
        <f t="array" aca="1" ref="H48" ca="1">_FV(table1[[#This Row],[DataField]],"Price")</f>
        <v>106.9</v>
      </c>
      <c r="I48" s="2" cm="1">
        <f t="array" aca="1" ref="I48" ca="1">_FV(table1[[#This Row],[DataField]],"52 week low",TRUE)</f>
        <v>72.33</v>
      </c>
      <c r="J48" s="2" cm="1">
        <f t="array" aca="1" ref="J48" ca="1">_FV(table1[[#This Row],[DataField]],"52 week high",TRUE)</f>
        <v>115.24</v>
      </c>
      <c r="K48" s="4" cm="1">
        <f t="array" aca="1" ref="K48" ca="1">_FV(table1[[#This Row],[DataField]],"P/E",TRUE)</f>
        <v>221.0505</v>
      </c>
      <c r="L48" s="2" t="str">
        <f ca="1">IF(table1[[#This Row],[Price]] &lt; (table1[[#This Row],[52Low]] * 0.25) + table1[[#This Row],[52Low]],  "TRUE", "FALSE")</f>
        <v>FALSE</v>
      </c>
      <c r="M48" s="2" t="str">
        <f ca="1">IF(table1[[#This Row],[Price]] &lt; (table1[[#This Row],[52Low]] * 0.1) + table1[[#This Row],[52Low]],  "TRUE", "FALSE")</f>
        <v>FALSE</v>
      </c>
      <c r="N48" s="6" cm="1">
        <f t="array" aca="1" ref="N48" ca="1">_FV(table1[[#This Row],[DataField]],"Market cap",TRUE)</f>
        <v>31624782880</v>
      </c>
    </row>
    <row r="49" spans="1:14" x14ac:dyDescent="0.2">
      <c r="A49" t="e" vm="48">
        <v>#VALUE!</v>
      </c>
      <c r="B49" t="str" cm="1">
        <f t="array" aca="1" ref="B49" ca="1">_FV(table1[[#This Row],[DataField]],"Ticker symbol",TRUE)</f>
        <v>ITW</v>
      </c>
      <c r="H49" s="2" cm="1">
        <f t="array" aca="1" ref="H49" ca="1">_FV(table1[[#This Row],[DataField]],"Price")</f>
        <v>280.62169999999998</v>
      </c>
      <c r="I49" s="2" cm="1">
        <f t="array" aca="1" ref="I49" ca="1">_FV(table1[[#This Row],[DataField]],"52 week low",TRUE)</f>
        <v>214.66</v>
      </c>
      <c r="J49" s="2" cm="1">
        <f t="array" aca="1" ref="J49" ca="1">_FV(table1[[#This Row],[DataField]],"52 week high",TRUE)</f>
        <v>303.15499999999997</v>
      </c>
      <c r="K49" s="4" cm="1">
        <f t="array" aca="1" ref="K49" ca="1">_FV(table1[[#This Row],[DataField]],"P/E",TRUE)</f>
        <v>26.747800000000002</v>
      </c>
      <c r="L49" s="2" t="str">
        <f ca="1">IF(table1[[#This Row],[Price]] &lt; (table1[[#This Row],[52Low]] * 0.25) + table1[[#This Row],[52Low]],  "TRUE", "FALSE")</f>
        <v>FALSE</v>
      </c>
      <c r="M49" s="7" t="str">
        <f ca="1">IF(table1[[#This Row],[Price]] &lt; (table1[[#This Row],[52Low]] * 0.1) + table1[[#This Row],[52Low]],  "TRUE", "FALSE")</f>
        <v>FALSE</v>
      </c>
      <c r="N49" s="6" cm="1">
        <f t="array" aca="1" ref="N49" ca="1">_FV(table1[[#This Row],[DataField]],"Market cap",TRUE)</f>
        <v>80875173940</v>
      </c>
    </row>
    <row r="50" spans="1:14" x14ac:dyDescent="0.2">
      <c r="A50" t="e" vm="49">
        <v>#VALUE!</v>
      </c>
      <c r="B50" t="str" cm="1">
        <f t="array" aca="1" ref="B50" ca="1">_FV(table1[[#This Row],[DataField]],"Ticker symbol",TRUE)</f>
        <v>JNJ</v>
      </c>
      <c r="C50" t="b">
        <v>1</v>
      </c>
      <c r="D50" t="s">
        <v>9</v>
      </c>
      <c r="E50" t="b">
        <v>1</v>
      </c>
      <c r="H50" s="2" cm="1">
        <f t="array" aca="1" ref="H50" ca="1">_FV(table1[[#This Row],[DataField]],"Price")</f>
        <v>236.88499999999999</v>
      </c>
      <c r="I50" s="2" cm="1">
        <f t="array" aca="1" ref="I50" ca="1">_FV(table1[[#This Row],[DataField]],"52 week low",TRUE)</f>
        <v>141.5</v>
      </c>
      <c r="J50" s="2" cm="1">
        <f t="array" aca="1" ref="J50" ca="1">_FV(table1[[#This Row],[DataField]],"52 week high",TRUE)</f>
        <v>251.71</v>
      </c>
      <c r="K50" s="4" cm="1">
        <f t="array" aca="1" ref="K50" ca="1">_FV(table1[[#This Row],[DataField]],"P/E",TRUE)</f>
        <v>21.4527</v>
      </c>
      <c r="L50" s="2" t="str">
        <f ca="1">IF(table1[[#This Row],[Price]] &lt; (table1[[#This Row],[52Low]] * 0.25) + table1[[#This Row],[52Low]],  "TRUE", "FALSE")</f>
        <v>FALSE</v>
      </c>
      <c r="M50" s="2" t="str">
        <f ca="1">IF(table1[[#This Row],[Price]] &lt; (table1[[#This Row],[52Low]] * 0.1) + table1[[#This Row],[52Low]],  "TRUE", "FALSE")</f>
        <v>FALSE</v>
      </c>
      <c r="N50" s="6" cm="1">
        <f t="array" aca="1" ref="N50" ca="1">_FV(table1[[#This Row],[DataField]],"Market cap",TRUE)</f>
        <v>570868924615</v>
      </c>
    </row>
    <row r="51" spans="1:14" x14ac:dyDescent="0.2">
      <c r="A51" t="e" vm="50">
        <v>#VALUE!</v>
      </c>
      <c r="B51" t="str" cm="1">
        <f t="array" aca="1" ref="B51" ca="1">_FV(table1[[#This Row],[DataField]],"Ticker symbol",TRUE)</f>
        <v>KMB</v>
      </c>
      <c r="C51" t="b">
        <v>0</v>
      </c>
      <c r="D51" t="s">
        <v>5</v>
      </c>
      <c r="E51" t="b">
        <v>1</v>
      </c>
      <c r="H51" s="2" cm="1">
        <f t="array" aca="1" ref="H51" ca="1">_FV(table1[[#This Row],[DataField]],"Price")</f>
        <v>103.47</v>
      </c>
      <c r="I51" s="2" cm="1">
        <f t="array" aca="1" ref="I51" ca="1">_FV(table1[[#This Row],[DataField]],"52 week low",TRUE)</f>
        <v>96.26</v>
      </c>
      <c r="J51" s="2" cm="1">
        <f t="array" aca="1" ref="J51" ca="1">_FV(table1[[#This Row],[DataField]],"52 week high",TRUE)</f>
        <v>150.44999999999999</v>
      </c>
      <c r="K51" s="4" cm="1">
        <f t="array" aca="1" ref="K51" ca="1">_FV(table1[[#This Row],[DataField]],"P/E",TRUE)</f>
        <v>21.1799</v>
      </c>
      <c r="L51" s="2" t="str">
        <f ca="1">IF(table1[[#This Row],[Price]] &lt; (table1[[#This Row],[52Low]] * 0.25) + table1[[#This Row],[52Low]],  "TRUE", "FALSE")</f>
        <v>TRUE</v>
      </c>
      <c r="M51" s="2" t="str">
        <f ca="1">IF(table1[[#This Row],[Price]] &lt; (table1[[#This Row],[52Low]] * 0.1) + table1[[#This Row],[52Low]],  "TRUE", "FALSE")</f>
        <v>TRUE</v>
      </c>
      <c r="N51" s="6" cm="1">
        <f t="array" aca="1" ref="N51" ca="1">_FV(table1[[#This Row],[DataField]],"Market cap",TRUE)</f>
        <v>34344010728</v>
      </c>
    </row>
    <row r="52" spans="1:14" x14ac:dyDescent="0.2">
      <c r="A52" t="e" vm="51">
        <v>#VALUE!</v>
      </c>
      <c r="B52" t="str" cm="1">
        <f t="array" aca="1" ref="B52" ca="1">_FV(table1[[#This Row],[DataField]],"Ticker symbol",TRUE)</f>
        <v>KO</v>
      </c>
      <c r="H52" s="2" cm="1">
        <f t="array" aca="1" ref="H52" ca="1">_FV(table1[[#This Row],[DataField]],"Price")</f>
        <v>76.760000000000005</v>
      </c>
      <c r="I52" s="2" cm="1">
        <f t="array" aca="1" ref="I52" ca="1">_FV(table1[[#This Row],[DataField]],"52 week low",TRUE)</f>
        <v>65.353800000000007</v>
      </c>
      <c r="J52" s="2" cm="1">
        <f t="array" aca="1" ref="J52" ca="1">_FV(table1[[#This Row],[DataField]],"52 week high",TRUE)</f>
        <v>82</v>
      </c>
      <c r="K52" s="4" cm="1">
        <f t="array" aca="1" ref="K52" ca="1">_FV(table1[[#This Row],[DataField]],"P/E",TRUE)</f>
        <v>25.258299999999998</v>
      </c>
      <c r="L52" s="2" t="str">
        <f ca="1">IF(table1[[#This Row],[Price]] &lt; (table1[[#This Row],[52Low]] * 0.25) + table1[[#This Row],[52Low]],  "TRUE", "FALSE")</f>
        <v>TRUE</v>
      </c>
      <c r="M52" s="2" t="str">
        <f ca="1">IF(table1[[#This Row],[Price]] &lt; (table1[[#This Row],[52Low]] * 0.1) + table1[[#This Row],[52Low]],  "TRUE", "FALSE")</f>
        <v>FALSE</v>
      </c>
      <c r="N52" s="6" cm="1">
        <f t="array" aca="1" ref="N52" ca="1">_FV(table1[[#This Row],[DataField]],"Market cap",TRUE)</f>
        <v>330123497480</v>
      </c>
    </row>
    <row r="53" spans="1:14" x14ac:dyDescent="0.2">
      <c r="A53" t="e" vm="52">
        <v>#VALUE!</v>
      </c>
      <c r="B53" t="str" cm="1">
        <f t="array" aca="1" ref="B53" ca="1">_FV(table1[[#This Row],[DataField]],"Ticker symbol",TRUE)</f>
        <v>LLY</v>
      </c>
      <c r="H53" s="2" cm="1">
        <f t="array" aca="1" ref="H53" ca="1">_FV(table1[[#This Row],[DataField]],"Price")</f>
        <v>970.43</v>
      </c>
      <c r="I53" s="2" cm="1">
        <f t="array" aca="1" ref="I53" ca="1">_FV(table1[[#This Row],[DataField]],"52 week low",TRUE)</f>
        <v>623.78</v>
      </c>
      <c r="J53" s="2" cm="1">
        <f t="array" aca="1" ref="J53" ca="1">_FV(table1[[#This Row],[DataField]],"52 week high",TRUE)</f>
        <v>1133.95</v>
      </c>
      <c r="K53" s="4" cm="1">
        <f t="array" aca="1" ref="K53" ca="1">_FV(table1[[#This Row],[DataField]],"P/E",TRUE)</f>
        <v>42.272399999999998</v>
      </c>
      <c r="L53" s="2" t="str">
        <f ca="1">IF(table1[[#This Row],[Price]] &lt; (table1[[#This Row],[52Low]] * 0.25) + table1[[#This Row],[52Low]],  "TRUE", "FALSE")</f>
        <v>FALSE</v>
      </c>
      <c r="M53" s="2" t="str">
        <f ca="1">IF(table1[[#This Row],[Price]] &lt; (table1[[#This Row],[52Low]] * 0.1) + table1[[#This Row],[52Low]],  "TRUE", "FALSE")</f>
        <v>FALSE</v>
      </c>
      <c r="N53" s="6" cm="1">
        <f t="array" aca="1" ref="N53" ca="1">_FV(table1[[#This Row],[DataField]],"Market cap",TRUE)</f>
        <v>915462321682</v>
      </c>
    </row>
    <row r="54" spans="1:14" x14ac:dyDescent="0.2">
      <c r="A54" t="e" vm="53">
        <v>#VALUE!</v>
      </c>
      <c r="B54" t="str" cm="1">
        <f t="array" aca="1" ref="B54" ca="1">_FV(table1[[#This Row],[DataField]],"Ticker symbol",TRUE)</f>
        <v>LMT</v>
      </c>
      <c r="C54" t="b">
        <v>1</v>
      </c>
      <c r="D54" t="s">
        <v>12</v>
      </c>
      <c r="E54" t="b">
        <v>1</v>
      </c>
      <c r="H54" s="2" cm="1">
        <f t="array" aca="1" ref="H54" ca="1">_FV(table1[[#This Row],[DataField]],"Price")</f>
        <v>651.6268</v>
      </c>
      <c r="I54" s="2" cm="1">
        <f t="array" aca="1" ref="I54" ca="1">_FV(table1[[#This Row],[DataField]],"52 week low",TRUE)</f>
        <v>410.11</v>
      </c>
      <c r="J54" s="2" cm="1">
        <f t="array" aca="1" ref="J54" ca="1">_FV(table1[[#This Row],[DataField]],"52 week high",TRUE)</f>
        <v>692</v>
      </c>
      <c r="K54" s="4" cm="1">
        <f t="array" aca="1" ref="K54" ca="1">_FV(table1[[#This Row],[DataField]],"P/E",TRUE)</f>
        <v>30.3278</v>
      </c>
      <c r="L54" s="2" t="str">
        <f ca="1">IF(table1[[#This Row],[Price]] &lt; (table1[[#This Row],[52Low]] * 0.25) + table1[[#This Row],[52Low]],  "TRUE", "FALSE")</f>
        <v>FALSE</v>
      </c>
      <c r="M54" s="2" t="str">
        <f ca="1">IF(table1[[#This Row],[Price]] &lt; (table1[[#This Row],[52Low]] * 0.1) + table1[[#This Row],[52Low]],  "TRUE", "FALSE")</f>
        <v>FALSE</v>
      </c>
      <c r="N54" s="6" cm="1">
        <f t="array" aca="1" ref="N54" ca="1">_FV(table1[[#This Row],[DataField]],"Market cap",TRUE)</f>
        <v>149926424469</v>
      </c>
    </row>
    <row r="55" spans="1:14" x14ac:dyDescent="0.2">
      <c r="A55" t="e" vm="54">
        <v>#VALUE!</v>
      </c>
      <c r="B55" t="str" cm="1">
        <f t="array" aca="1" ref="B55" ca="1">_FV(table1[[#This Row],[DataField]],"Ticker symbol",TRUE)</f>
        <v>LOW</v>
      </c>
      <c r="C55" t="b">
        <v>1</v>
      </c>
      <c r="D55" t="s">
        <v>7</v>
      </c>
      <c r="E55" t="b">
        <v>1</v>
      </c>
      <c r="H55" s="2" cm="1">
        <f t="array" aca="1" ref="H55" ca="1">_FV(table1[[#This Row],[DataField]],"Price")</f>
        <v>253.28</v>
      </c>
      <c r="I55" s="2" cm="1">
        <f t="array" aca="1" ref="I55" ca="1">_FV(table1[[#This Row],[DataField]],"52 week low",TRUE)</f>
        <v>206.38499999999999</v>
      </c>
      <c r="J55" s="2" cm="1">
        <f t="array" aca="1" ref="J55" ca="1">_FV(table1[[#This Row],[DataField]],"52 week high",TRUE)</f>
        <v>293.06</v>
      </c>
      <c r="K55" s="4" cm="1">
        <f t="array" aca="1" ref="K55" ca="1">_FV(table1[[#This Row],[DataField]],"P/E",TRUE)</f>
        <v>21.3796</v>
      </c>
      <c r="L55" s="2" t="str">
        <f ca="1">IF(table1[[#This Row],[Price]] &lt; (table1[[#This Row],[52Low]] * 0.25) + table1[[#This Row],[52Low]],  "TRUE", "FALSE")</f>
        <v>TRUE</v>
      </c>
      <c r="M55" s="2" t="str">
        <f ca="1">IF(table1[[#This Row],[Price]] &lt; (table1[[#This Row],[52Low]] * 0.1) + table1[[#This Row],[52Low]],  "TRUE", "FALSE")</f>
        <v>FALSE</v>
      </c>
      <c r="N55" s="6" cm="1">
        <f t="array" aca="1" ref="N55" ca="1">_FV(table1[[#This Row],[DataField]],"Market cap",TRUE)</f>
        <v>142090080000</v>
      </c>
    </row>
    <row r="56" spans="1:14" x14ac:dyDescent="0.2">
      <c r="A56" t="e" vm="55">
        <v>#VALUE!</v>
      </c>
      <c r="B56" t="str" cm="1">
        <f t="array" aca="1" ref="B56" ca="1">_FV(table1[[#This Row],[DataField]],"Ticker symbol",TRUE)</f>
        <v>LRCX</v>
      </c>
      <c r="C56" t="b">
        <v>0</v>
      </c>
      <c r="D56" t="s">
        <v>6</v>
      </c>
      <c r="E56" t="b">
        <v>1</v>
      </c>
      <c r="G56" t="s">
        <v>25</v>
      </c>
      <c r="H56" s="2" cm="1">
        <f t="array" aca="1" ref="H56" ca="1">_FV(table1[[#This Row],[DataField]],"Price")</f>
        <v>210.785</v>
      </c>
      <c r="I56" s="2" cm="1">
        <f t="array" aca="1" ref="I56" ca="1">_FV(table1[[#This Row],[DataField]],"52 week low",TRUE)</f>
        <v>56.32</v>
      </c>
      <c r="J56" s="2" cm="1">
        <f t="array" aca="1" ref="J56" ca="1">_FV(table1[[#This Row],[DataField]],"52 week high",TRUE)</f>
        <v>256.68</v>
      </c>
      <c r="K56" s="4" cm="1">
        <f t="array" aca="1" ref="K56" ca="1">_FV(table1[[#This Row],[DataField]],"P/E",TRUE)</f>
        <v>43.199800000000003</v>
      </c>
      <c r="L56" s="2" t="str">
        <f ca="1">IF(table1[[#This Row],[Price]] &lt; (table1[[#This Row],[52Low]] * 0.25) + table1[[#This Row],[52Low]],  "TRUE", "FALSE")</f>
        <v>FALSE</v>
      </c>
      <c r="M56" s="2" t="str">
        <f ca="1">IF(table1[[#This Row],[Price]] &lt; (table1[[#This Row],[52Low]] * 0.1) + table1[[#This Row],[52Low]],  "TRUE", "FALSE")</f>
        <v>FALSE</v>
      </c>
      <c r="N56" s="6" cm="1">
        <f t="array" aca="1" ref="N56" ca="1">_FV(table1[[#This Row],[DataField]],"Market cap",TRUE)</f>
        <v>263222195235</v>
      </c>
    </row>
    <row r="57" spans="1:14" x14ac:dyDescent="0.2">
      <c r="A57" t="e" vm="56">
        <v>#VALUE!</v>
      </c>
      <c r="B57" t="str" cm="1">
        <f t="array" aca="1" ref="B57" ca="1">_FV(table1[[#This Row],[DataField]],"Ticker symbol",TRUE)</f>
        <v>LYB</v>
      </c>
      <c r="C57" t="b">
        <v>1</v>
      </c>
      <c r="D57" t="s">
        <v>13</v>
      </c>
      <c r="E57" t="b">
        <v>1</v>
      </c>
      <c r="H57" s="2" cm="1">
        <f t="array" aca="1" ref="H57" ca="1">_FV(table1[[#This Row],[DataField]],"Price")</f>
        <v>66.525000000000006</v>
      </c>
      <c r="I57" s="2" cm="1">
        <f t="array" aca="1" ref="I57" ca="1">_FV(table1[[#This Row],[DataField]],"52 week low",TRUE)</f>
        <v>41.58</v>
      </c>
      <c r="J57" s="2" cm="1">
        <f t="array" aca="1" ref="J57" ca="1">_FV(table1[[#This Row],[DataField]],"52 week high",TRUE)</f>
        <v>78.41</v>
      </c>
      <c r="K57" s="4" cm="1">
        <f t="array" aca="1" ref="K57" ca="1">_FV(table1[[#This Row],[DataField]],"P/E",TRUE)</f>
        <v>0</v>
      </c>
      <c r="L57" s="2" t="str">
        <f ca="1">IF(table1[[#This Row],[Price]] &lt; (table1[[#This Row],[52Low]] * 0.25) + table1[[#This Row],[52Low]],  "TRUE", "FALSE")</f>
        <v>FALSE</v>
      </c>
      <c r="M57" s="2" t="str">
        <f ca="1">IF(table1[[#This Row],[Price]] &lt; (table1[[#This Row],[52Low]] * 0.1) + table1[[#This Row],[52Low]],  "TRUE", "FALSE")</f>
        <v>FALSE</v>
      </c>
      <c r="N57" s="6" cm="1">
        <f t="array" aca="1" ref="N57" ca="1">_FV(table1[[#This Row],[DataField]],"Market cap",TRUE)</f>
        <v>21432359250</v>
      </c>
    </row>
    <row r="58" spans="1:14" x14ac:dyDescent="0.2">
      <c r="A58" t="e" vm="57">
        <v>#VALUE!</v>
      </c>
      <c r="B58" t="str" cm="1">
        <f t="array" aca="1" ref="B58" ca="1">_FV(table1[[#This Row],[DataField]],"Ticker symbol",TRUE)</f>
        <v>MAN</v>
      </c>
      <c r="H58" s="2" cm="1">
        <f t="array" aca="1" ref="H58" ca="1">_FV(table1[[#This Row],[DataField]],"Price")</f>
        <v>28.58</v>
      </c>
      <c r="I58" s="2" cm="1">
        <f t="array" aca="1" ref="I58" ca="1">_FV(table1[[#This Row],[DataField]],"52 week low",TRUE)</f>
        <v>25.15</v>
      </c>
      <c r="J58" s="2" cm="1">
        <f t="array" aca="1" ref="J58" ca="1">_FV(table1[[#This Row],[DataField]],"52 week high",TRUE)</f>
        <v>63.344999999999999</v>
      </c>
      <c r="K58" s="4" cm="1">
        <f t="array" aca="1" ref="K58" ca="1">_FV(table1[[#This Row],[DataField]],"P/E",TRUE)</f>
        <v>0</v>
      </c>
      <c r="L58" s="2" t="str">
        <f ca="1">IF(table1[[#This Row],[Price]] &lt; (table1[[#This Row],[52Low]] * 0.25) + table1[[#This Row],[52Low]],  "TRUE", "FALSE")</f>
        <v>TRUE</v>
      </c>
      <c r="M58" s="2" t="str">
        <f ca="1">IF(table1[[#This Row],[Price]] &lt; (table1[[#This Row],[52Low]] * 0.1) + table1[[#This Row],[52Low]],  "TRUE", "FALSE")</f>
        <v>FALSE</v>
      </c>
      <c r="N58" s="6" cm="1">
        <f t="array" aca="1" ref="N58" ca="1">_FV(table1[[#This Row],[DataField]],"Market cap",TRUE)</f>
        <v>1326673597</v>
      </c>
    </row>
    <row r="59" spans="1:14" x14ac:dyDescent="0.2">
      <c r="A59" t="e" vm="58">
        <v>#VALUE!</v>
      </c>
      <c r="B59" t="str" cm="1">
        <f t="array" aca="1" ref="B59" ca="1">_FV(table1[[#This Row],[DataField]],"Ticker symbol",TRUE)</f>
        <v>MCD</v>
      </c>
      <c r="C59" t="b">
        <v>0</v>
      </c>
      <c r="D59" t="s">
        <v>7</v>
      </c>
      <c r="E59" t="b">
        <v>1</v>
      </c>
      <c r="H59" s="2" cm="1">
        <f t="array" aca="1" ref="H59" ca="1">_FV(table1[[#This Row],[DataField]],"Price")</f>
        <v>325.35000000000002</v>
      </c>
      <c r="I59" s="2" cm="1">
        <f t="array" aca="1" ref="I59" ca="1">_FV(table1[[#This Row],[DataField]],"52 week low",TRUE)</f>
        <v>283.47000000000003</v>
      </c>
      <c r="J59" s="2" cm="1">
        <f t="array" aca="1" ref="J59" ca="1">_FV(table1[[#This Row],[DataField]],"52 week high",TRUE)</f>
        <v>341.75</v>
      </c>
      <c r="K59" s="4" cm="1">
        <f t="array" aca="1" ref="K59" ca="1">_FV(table1[[#This Row],[DataField]],"P/E",TRUE)</f>
        <v>27.2182</v>
      </c>
      <c r="L59" s="2" t="str">
        <f ca="1">IF(table1[[#This Row],[Price]] &lt; (table1[[#This Row],[52Low]] * 0.25) + table1[[#This Row],[52Low]],  "TRUE", "FALSE")</f>
        <v>TRUE</v>
      </c>
      <c r="M59" s="2" t="str">
        <f ca="1">IF(table1[[#This Row],[Price]] &lt; (table1[[#This Row],[52Low]] * 0.1) + table1[[#This Row],[52Low]],  "TRUE", "FALSE")</f>
        <v>FALSE</v>
      </c>
      <c r="N59" s="6" cm="1">
        <f t="array" aca="1" ref="N59" ca="1">_FV(table1[[#This Row],[DataField]],"Market cap",TRUE)</f>
        <v>231128184510</v>
      </c>
    </row>
    <row r="60" spans="1:14" x14ac:dyDescent="0.2">
      <c r="A60" t="e" vm="59">
        <v>#VALUE!</v>
      </c>
      <c r="B60" t="str" cm="1">
        <f t="array" aca="1" ref="B60" ca="1">_FV(table1[[#This Row],[DataField]],"Ticker symbol",TRUE)</f>
        <v>MCO</v>
      </c>
      <c r="H60" s="2" cm="1">
        <f t="array" aca="1" ref="H60" ca="1">_FV(table1[[#This Row],[DataField]],"Price")</f>
        <v>468.50009999999997</v>
      </c>
      <c r="I60" s="2" cm="1">
        <f t="array" aca="1" ref="I60" ca="1">_FV(table1[[#This Row],[DataField]],"52 week low",TRUE)</f>
        <v>378.71</v>
      </c>
      <c r="J60" s="2" cm="1">
        <f t="array" aca="1" ref="J60" ca="1">_FV(table1[[#This Row],[DataField]],"52 week high",TRUE)</f>
        <v>546.88</v>
      </c>
      <c r="K60" s="4" cm="1">
        <f t="array" aca="1" ref="K60" ca="1">_FV(table1[[#This Row],[DataField]],"P/E",TRUE)</f>
        <v>34.275399999999998</v>
      </c>
      <c r="L60" s="2" t="str">
        <f ca="1">IF(table1[[#This Row],[Price]] &lt; (table1[[#This Row],[52Low]] * 0.25) + table1[[#This Row],[52Low]],  "TRUE", "FALSE")</f>
        <v>TRUE</v>
      </c>
      <c r="M60" s="7" t="str">
        <f ca="1">IF(table1[[#This Row],[Price]] &lt; (table1[[#This Row],[52Low]] * 0.1) + table1[[#This Row],[52Low]],  "TRUE", "FALSE")</f>
        <v>FALSE</v>
      </c>
      <c r="N60" s="6" cm="1">
        <f t="array" aca="1" ref="N60" ca="1">_FV(table1[[#This Row],[DataField]],"Market cap",TRUE)</f>
        <v>83065067730</v>
      </c>
    </row>
    <row r="61" spans="1:14" x14ac:dyDescent="0.2">
      <c r="A61" t="e" vm="60">
        <v>#VALUE!</v>
      </c>
      <c r="B61" t="str" cm="1">
        <f t="array" aca="1" ref="B61" ca="1">_FV(table1[[#This Row],[DataField]],"Ticker symbol",TRUE)</f>
        <v>MDLZ</v>
      </c>
      <c r="H61" s="2" cm="1">
        <f t="array" aca="1" ref="H61" ca="1">_FV(table1[[#This Row],[DataField]],"Price")</f>
        <v>58.15</v>
      </c>
      <c r="I61" s="2" cm="1">
        <f t="array" aca="1" ref="I61" ca="1">_FV(table1[[#This Row],[DataField]],"52 week low",TRUE)</f>
        <v>51.200800000000001</v>
      </c>
      <c r="J61" s="2" cm="1">
        <f t="array" aca="1" ref="J61" ca="1">_FV(table1[[#This Row],[DataField]],"52 week high",TRUE)</f>
        <v>71.150000000000006</v>
      </c>
      <c r="K61" s="4" cm="1">
        <f t="array" aca="1" ref="K61" ca="1">_FV(table1[[#This Row],[DataField]],"P/E",TRUE)</f>
        <v>30.775300000000001</v>
      </c>
      <c r="L61" s="2" t="str">
        <f ca="1">IF(table1[[#This Row],[Price]] &lt; (table1[[#This Row],[52Low]] * 0.25) + table1[[#This Row],[52Low]],  "TRUE", "FALSE")</f>
        <v>TRUE</v>
      </c>
      <c r="M61" s="2" t="str">
        <f ca="1">IF(table1[[#This Row],[Price]] &lt; (table1[[#This Row],[52Low]] * 0.1) + table1[[#This Row],[52Low]],  "TRUE", "FALSE")</f>
        <v>FALSE</v>
      </c>
      <c r="N61" s="6" cm="1">
        <f t="array" aca="1" ref="N61" ca="1">_FV(table1[[#This Row],[DataField]],"Market cap",TRUE)</f>
        <v>74539344900</v>
      </c>
    </row>
    <row r="62" spans="1:14" x14ac:dyDescent="0.2">
      <c r="A62" t="e" vm="61">
        <v>#VALUE!</v>
      </c>
      <c r="B62" t="str" cm="1">
        <f t="array" aca="1" ref="B62" ca="1">_FV(table1[[#This Row],[DataField]],"Ticker symbol",TRUE)</f>
        <v>MDT</v>
      </c>
      <c r="C62" t="b">
        <v>1</v>
      </c>
      <c r="D62" t="s">
        <v>9</v>
      </c>
      <c r="E62" t="b">
        <v>1</v>
      </c>
      <c r="H62" s="2" cm="1">
        <f t="array" aca="1" ref="H62" ca="1">_FV(table1[[#This Row],[DataField]],"Price")</f>
        <v>92.53</v>
      </c>
      <c r="I62" s="2" cm="1">
        <f t="array" aca="1" ref="I62" ca="1">_FV(table1[[#This Row],[DataField]],"52 week low",TRUE)</f>
        <v>79.55</v>
      </c>
      <c r="J62" s="2" cm="1">
        <f t="array" aca="1" ref="J62" ca="1">_FV(table1[[#This Row],[DataField]],"52 week high",TRUE)</f>
        <v>106.33</v>
      </c>
      <c r="K62" s="4" cm="1">
        <f t="array" aca="1" ref="K62" ca="1">_FV(table1[[#This Row],[DataField]],"P/E",TRUE)</f>
        <v>25.837700000000002</v>
      </c>
      <c r="L62" s="2" t="str">
        <f ca="1">IF(table1[[#This Row],[Price]] &lt; (table1[[#This Row],[52Low]] * 0.25) + table1[[#This Row],[52Low]],  "TRUE", "FALSE")</f>
        <v>TRUE</v>
      </c>
      <c r="M62" s="2" t="str">
        <f ca="1">IF(table1[[#This Row],[Price]] &lt; (table1[[#This Row],[52Low]] * 0.1) + table1[[#This Row],[52Low]],  "TRUE", "FALSE")</f>
        <v>FALSE</v>
      </c>
      <c r="N62" s="6" cm="1">
        <f t="array" aca="1" ref="N62" ca="1">_FV(table1[[#This Row],[DataField]],"Market cap",TRUE)</f>
        <v>118797879050</v>
      </c>
    </row>
    <row r="63" spans="1:14" x14ac:dyDescent="0.2">
      <c r="A63" t="e" vm="62">
        <v>#VALUE!</v>
      </c>
      <c r="B63" t="str" cm="1">
        <f t="array" aca="1" ref="B63" ca="1">_FV(table1[[#This Row],[DataField]],"Ticker symbol",TRUE)</f>
        <v>META</v>
      </c>
      <c r="H63" s="2" cm="1">
        <f t="array" aca="1" ref="H63" ca="1">_FV(table1[[#This Row],[DataField]],"Price")</f>
        <v>652.54740000000004</v>
      </c>
      <c r="I63" s="2" cm="1">
        <f t="array" aca="1" ref="I63" ca="1">_FV(table1[[#This Row],[DataField]],"52 week low",TRUE)</f>
        <v>479.8</v>
      </c>
      <c r="J63" s="2" cm="1">
        <f t="array" aca="1" ref="J63" ca="1">_FV(table1[[#This Row],[DataField]],"52 week high",TRUE)</f>
        <v>796.25</v>
      </c>
      <c r="K63" s="4" cm="1">
        <f t="array" aca="1" ref="K63" ca="1">_FV(table1[[#This Row],[DataField]],"P/E",TRUE)</f>
        <v>22.324100000000001</v>
      </c>
      <c r="L63" s="2" t="str">
        <f ca="1">IF(table1[[#This Row],[Price]] &lt; (table1[[#This Row],[52Low]] * 0.25) + table1[[#This Row],[52Low]],  "TRUE", "FALSE")</f>
        <v>FALSE</v>
      </c>
      <c r="M63" s="2" t="str">
        <f ca="1">IF(table1[[#This Row],[Price]] &lt; (table1[[#This Row],[52Low]] * 0.1) + table1[[#This Row],[52Low]],  "TRUE", "FALSE")</f>
        <v>FALSE</v>
      </c>
      <c r="N63" s="6" cm="1">
        <f t="array" aca="1" ref="N63" ca="1">_FV(table1[[#This Row],[DataField]],"Market cap",TRUE)</f>
        <v>1650654538407</v>
      </c>
    </row>
    <row r="64" spans="1:14" x14ac:dyDescent="0.2">
      <c r="A64" t="e" vm="63">
        <v>#VALUE!</v>
      </c>
      <c r="B64" t="str" cm="1">
        <f t="array" aca="1" ref="B64" ca="1">_FV(table1[[#This Row],[DataField]],"Ticker symbol",TRUE)</f>
        <v>MKC.V</v>
      </c>
      <c r="C64" t="b">
        <v>1</v>
      </c>
      <c r="D64" t="s">
        <v>5</v>
      </c>
      <c r="E64" t="b">
        <v>1</v>
      </c>
      <c r="H64" s="2" cm="1">
        <f t="array" aca="1" ref="H64" ca="1">_FV(table1[[#This Row],[DataField]],"Price")</f>
        <v>65.22</v>
      </c>
      <c r="I64" s="2" cm="1">
        <f t="array" aca="1" ref="I64" ca="1">_FV(table1[[#This Row],[DataField]],"52 week low",TRUE)</f>
        <v>59.564999999999998</v>
      </c>
      <c r="J64" s="2" cm="1">
        <f t="array" aca="1" ref="J64" ca="1">_FV(table1[[#This Row],[DataField]],"52 week high",TRUE)</f>
        <v>85.46</v>
      </c>
      <c r="K64" s="4" t="e" cm="1" vm="64">
        <f t="array" ref="K64">_FV(table1[[#This Row],[DataField]],"P/E",TRUE)</f>
        <v>#VALUE!</v>
      </c>
      <c r="L64" s="2" t="str">
        <f ca="1">IF(table1[[#This Row],[Price]] &lt; (table1[[#This Row],[52Low]] * 0.25) + table1[[#This Row],[52Low]],  "TRUE", "FALSE")</f>
        <v>TRUE</v>
      </c>
      <c r="M64" s="2" t="str">
        <f ca="1">IF(table1[[#This Row],[Price]] &lt; (table1[[#This Row],[52Low]] * 0.1) + table1[[#This Row],[52Low]],  "TRUE", "FALSE")</f>
        <v>TRUE</v>
      </c>
      <c r="N64" s="6" cm="1">
        <f t="array" aca="1" ref="N64" ca="1">_FV(table1[[#This Row],[DataField]],"Market cap",TRUE)</f>
        <v>17507539404</v>
      </c>
    </row>
    <row r="65" spans="1:14" x14ac:dyDescent="0.2">
      <c r="A65" t="e" vm="65">
        <v>#VALUE!</v>
      </c>
      <c r="B65" t="str" cm="1">
        <f t="array" aca="1" ref="B65" ca="1">_FV(table1[[#This Row],[DataField]],"Ticker symbol",TRUE)</f>
        <v>MMM</v>
      </c>
      <c r="H65" s="2" cm="1">
        <f t="array" aca="1" ref="H65" ca="1">_FV(table1[[#This Row],[DataField]],"Price")</f>
        <v>155.91</v>
      </c>
      <c r="I65" s="2" cm="1">
        <f t="array" aca="1" ref="I65" ca="1">_FV(table1[[#This Row],[DataField]],"52 week low",TRUE)</f>
        <v>121.97709999999999</v>
      </c>
      <c r="J65" s="2" cm="1">
        <f t="array" aca="1" ref="J65" ca="1">_FV(table1[[#This Row],[DataField]],"52 week high",TRUE)</f>
        <v>177.41</v>
      </c>
      <c r="K65" s="4" cm="1">
        <f t="array" aca="1" ref="K65" ca="1">_FV(table1[[#This Row],[DataField]],"P/E",TRUE)</f>
        <v>26.004100000000001</v>
      </c>
      <c r="L65" s="2" t="str">
        <f ca="1">IF(table1[[#This Row],[Price]] &lt; (table1[[#This Row],[52Low]] * 0.25) + table1[[#This Row],[52Low]],  "TRUE", "FALSE")</f>
        <v>FALSE</v>
      </c>
      <c r="M65" s="2" t="str">
        <f ca="1">IF(table1[[#This Row],[Price]] &lt; (table1[[#This Row],[52Low]] * 0.1) + table1[[#This Row],[52Low]],  "TRUE", "FALSE")</f>
        <v>FALSE</v>
      </c>
      <c r="N65" s="6" cm="1">
        <f t="array" aca="1" ref="N65" ca="1">_FV(table1[[#This Row],[DataField]],"Market cap",TRUE)</f>
        <v>82117797000</v>
      </c>
    </row>
    <row r="66" spans="1:14" x14ac:dyDescent="0.2">
      <c r="A66" t="e" vm="66">
        <v>#VALUE!</v>
      </c>
      <c r="B66" t="str" cm="1">
        <f t="array" aca="1" ref="B66" ca="1">_FV(table1[[#This Row],[DataField]],"Ticker symbol",TRUE)</f>
        <v>MO</v>
      </c>
      <c r="H66" s="2" cm="1">
        <f t="array" aca="1" ref="H66" ca="1">_FV(table1[[#This Row],[DataField]],"Price")</f>
        <v>66.61</v>
      </c>
      <c r="I66" s="2" cm="1">
        <f t="array" aca="1" ref="I66" ca="1">_FV(table1[[#This Row],[DataField]],"52 week low",TRUE)</f>
        <v>52.82</v>
      </c>
      <c r="J66" s="2" cm="1">
        <f t="array" aca="1" ref="J66" ca="1">_FV(table1[[#This Row],[DataField]],"52 week high",TRUE)</f>
        <v>70.510000000000005</v>
      </c>
      <c r="K66" s="4" cm="1">
        <f t="array" aca="1" ref="K66" ca="1">_FV(table1[[#This Row],[DataField]],"P/E",TRUE)</f>
        <v>16.180399999999999</v>
      </c>
      <c r="L66" s="2" t="str">
        <f ca="1">IF(table1[[#This Row],[Price]] &lt; (table1[[#This Row],[52Low]] * 0.25) + table1[[#This Row],[52Low]],  "TRUE", "FALSE")</f>
        <v>FALSE</v>
      </c>
      <c r="M66" s="2" t="str">
        <f ca="1">IF(table1[[#This Row],[Price]] &lt; (table1[[#This Row],[52Low]] * 0.1) + table1[[#This Row],[52Low]],  "TRUE", "FALSE")</f>
        <v>FALSE</v>
      </c>
      <c r="N66" s="6" cm="1">
        <f t="array" aca="1" ref="N66" ca="1">_FV(table1[[#This Row],[DataField]],"Market cap",TRUE)</f>
        <v>111365125780</v>
      </c>
    </row>
    <row r="67" spans="1:14" x14ac:dyDescent="0.2">
      <c r="A67" t="e" vm="67">
        <v>#VALUE!</v>
      </c>
      <c r="B67" t="str" cm="1">
        <f t="array" aca="1" ref="B67" ca="1">_FV(table1[[#This Row],[DataField]],"Ticker symbol",TRUE)</f>
        <v>MRK</v>
      </c>
      <c r="H67" s="2" cm="1">
        <f t="array" aca="1" ref="H67" ca="1">_FV(table1[[#This Row],[DataField]],"Price")</f>
        <v>115.63</v>
      </c>
      <c r="I67" s="2" cm="1">
        <f t="array" aca="1" ref="I67" ca="1">_FV(table1[[#This Row],[DataField]],"52 week low",TRUE)</f>
        <v>73.31</v>
      </c>
      <c r="J67" s="2" cm="1">
        <f t="array" aca="1" ref="J67" ca="1">_FV(table1[[#This Row],[DataField]],"52 week high",TRUE)</f>
        <v>125.14</v>
      </c>
      <c r="K67" s="4" cm="1">
        <f t="array" aca="1" ref="K67" ca="1">_FV(table1[[#This Row],[DataField]],"P/E",TRUE)</f>
        <v>15.8918</v>
      </c>
      <c r="L67" s="2" t="str">
        <f ca="1">IF(table1[[#This Row],[Price]] &lt; (table1[[#This Row],[52Low]] * 0.25) + table1[[#This Row],[52Low]],  "TRUE", "FALSE")</f>
        <v>FALSE</v>
      </c>
      <c r="M67" s="2" t="str">
        <f ca="1">IF(table1[[#This Row],[Price]] &lt; (table1[[#This Row],[52Low]] * 0.1) + table1[[#This Row],[52Low]],  "TRUE", "FALSE")</f>
        <v>FALSE</v>
      </c>
      <c r="N67" s="6" cm="1">
        <f t="array" aca="1" ref="N67" ca="1">_FV(table1[[#This Row],[DataField]],"Market cap",TRUE)</f>
        <v>285882686960</v>
      </c>
    </row>
    <row r="68" spans="1:14" x14ac:dyDescent="0.2">
      <c r="A68" t="e" vm="68">
        <v>#VALUE!</v>
      </c>
      <c r="B68" t="str" cm="1">
        <f t="array" aca="1" ref="B68" ca="1">_FV(table1[[#This Row],[DataField]],"Ticker symbol",TRUE)</f>
        <v>MSFT</v>
      </c>
      <c r="C68" t="b">
        <v>1</v>
      </c>
      <c r="D68" t="s">
        <v>6</v>
      </c>
      <c r="E68" t="b">
        <v>1</v>
      </c>
      <c r="H68" s="2" cm="1">
        <f t="array" aca="1" ref="H68" ca="1">_FV(table1[[#This Row],[DataField]],"Price")</f>
        <v>408.28</v>
      </c>
      <c r="I68" s="2" cm="1">
        <f t="array" aca="1" ref="I68" ca="1">_FV(table1[[#This Row],[DataField]],"52 week low",TRUE)</f>
        <v>344.79</v>
      </c>
      <c r="J68" s="2" cm="1">
        <f t="array" aca="1" ref="J68" ca="1">_FV(table1[[#This Row],[DataField]],"52 week high",TRUE)</f>
        <v>555.45000000000005</v>
      </c>
      <c r="K68" s="4" cm="1">
        <f t="array" aca="1" ref="K68" ca="1">_FV(table1[[#This Row],[DataField]],"P/E",TRUE)</f>
        <v>25.5456</v>
      </c>
      <c r="L68" s="2" t="str">
        <f ca="1">IF(table1[[#This Row],[Price]] &lt; (table1[[#This Row],[52Low]] * 0.25) + table1[[#This Row],[52Low]],  "TRUE", "FALSE")</f>
        <v>TRUE</v>
      </c>
      <c r="M68" s="2" t="str">
        <f ca="1">IF(table1[[#This Row],[Price]] &lt; (table1[[#This Row],[52Low]] * 0.1) + table1[[#This Row],[52Low]],  "TRUE", "FALSE")</f>
        <v>FALSE</v>
      </c>
      <c r="N68" s="6" cm="1">
        <f t="array" aca="1" ref="N68" ca="1">_FV(table1[[#This Row],[DataField]],"Market cap",TRUE)</f>
        <v>3031735808120</v>
      </c>
    </row>
    <row r="69" spans="1:14" x14ac:dyDescent="0.2">
      <c r="A69" t="e" vm="69">
        <v>#VALUE!</v>
      </c>
      <c r="B69" t="str" cm="1">
        <f t="array" aca="1" ref="B69" ca="1">_FV(table1[[#This Row],[DataField]],"Ticker symbol",TRUE)</f>
        <v>NKE</v>
      </c>
      <c r="C69" t="b">
        <v>1</v>
      </c>
      <c r="D69" t="s">
        <v>7</v>
      </c>
      <c r="E69" t="b">
        <v>1</v>
      </c>
      <c r="H69" s="2" cm="1">
        <f t="array" aca="1" ref="H69" ca="1">_FV(table1[[#This Row],[DataField]],"Price")</f>
        <v>57.48</v>
      </c>
      <c r="I69" cm="1">
        <f t="array" aca="1" ref="I69" ca="1">_FV(table1[[#This Row],[DataField]],"52 week low",TRUE)</f>
        <v>52.28</v>
      </c>
      <c r="J69" cm="1">
        <f t="array" aca="1" ref="J69" ca="1">_FV(table1[[#This Row],[DataField]],"52 week high",TRUE)</f>
        <v>80.19</v>
      </c>
      <c r="K69" s="4" cm="1">
        <f t="array" aca="1" ref="K69" ca="1">_FV(table1[[#This Row],[DataField]],"P/E",TRUE)</f>
        <v>33.704700000000003</v>
      </c>
      <c r="L69" s="2" t="str">
        <f ca="1">IF(table1[[#This Row],[Price]] &lt; (table1[[#This Row],[52Low]] * 0.25) + table1[[#This Row],[52Low]],  "TRUE", "FALSE")</f>
        <v>TRUE</v>
      </c>
      <c r="M69" s="2" t="str">
        <f ca="1">IF(table1[[#This Row],[Price]] &lt; (table1[[#This Row],[52Low]] * 0.1) + table1[[#This Row],[52Low]],  "TRUE", "FALSE")</f>
        <v>TRUE</v>
      </c>
      <c r="N69" s="6" cm="1">
        <f t="array" aca="1" ref="N69" ca="1">_FV(table1[[#This Row],[DataField]],"Market cap",TRUE)</f>
        <v>85092414840</v>
      </c>
    </row>
    <row r="70" spans="1:14" x14ac:dyDescent="0.2">
      <c r="A70" t="e" vm="70">
        <v>#VALUE!</v>
      </c>
      <c r="B70" t="str" cm="1">
        <f t="array" aca="1" ref="B70" ca="1">_FV(table1[[#This Row],[DataField]],"Ticker symbol",TRUE)</f>
        <v>NOC</v>
      </c>
      <c r="H70" s="2" cm="1">
        <f t="array" aca="1" ref="H70" ca="1">_FV(table1[[#This Row],[DataField]],"Price")</f>
        <v>740.74490000000003</v>
      </c>
      <c r="I70" s="2" cm="1">
        <f t="array" aca="1" ref="I70" ca="1">_FV(table1[[#This Row],[DataField]],"52 week low",TRUE)</f>
        <v>450.13</v>
      </c>
      <c r="J70" s="2" cm="1">
        <f t="array" aca="1" ref="J70" ca="1">_FV(table1[[#This Row],[DataField]],"52 week high",TRUE)</f>
        <v>774</v>
      </c>
      <c r="K70" s="4" cm="1">
        <f t="array" aca="1" ref="K70" ca="1">_FV(table1[[#This Row],[DataField]],"P/E",TRUE)</f>
        <v>25.470800000000001</v>
      </c>
      <c r="L70" s="2" t="str">
        <f ca="1">IF(table1[[#This Row],[Price]] &lt; (table1[[#This Row],[52Low]] * 0.25) + table1[[#This Row],[52Low]],  "TRUE", "FALSE")</f>
        <v>FALSE</v>
      </c>
      <c r="M70" s="2" t="str">
        <f ca="1">IF(table1[[#This Row],[Price]] &lt; (table1[[#This Row],[52Low]] * 0.1) + table1[[#This Row],[52Low]],  "TRUE", "FALSE")</f>
        <v>FALSE</v>
      </c>
      <c r="N70" s="6" cm="1">
        <f t="array" aca="1" ref="N70" ca="1">_FV(table1[[#This Row],[DataField]],"Market cap",TRUE)</f>
        <v>105127701399</v>
      </c>
    </row>
    <row r="71" spans="1:14" x14ac:dyDescent="0.2">
      <c r="A71" t="e" vm="71">
        <v>#VALUE!</v>
      </c>
      <c r="B71" t="str" cm="1">
        <f t="array" aca="1" ref="B71" ca="1">_FV(table1[[#This Row],[DataField]],"Ticker symbol",TRUE)</f>
        <v>NVDA</v>
      </c>
      <c r="G71" t="s">
        <v>25</v>
      </c>
      <c r="H71" s="2" cm="1">
        <f t="array" aca="1" ref="H71" ca="1">_FV(table1[[#This Row],[DataField]],"Price")</f>
        <v>180.25</v>
      </c>
      <c r="I71" s="2" cm="1">
        <f t="array" aca="1" ref="I71" ca="1">_FV(table1[[#This Row],[DataField]],"52 week low",TRUE)</f>
        <v>86.62</v>
      </c>
      <c r="J71" s="2" cm="1">
        <f t="array" aca="1" ref="J71" ca="1">_FV(table1[[#This Row],[DataField]],"52 week high",TRUE)</f>
        <v>212.18989999999999</v>
      </c>
      <c r="K71" s="4" cm="1">
        <f t="array" aca="1" ref="K71" ca="1">_FV(table1[[#This Row],[DataField]],"P/E",TRUE)</f>
        <v>36.772199999999998</v>
      </c>
      <c r="L71" s="2" t="str">
        <f ca="1">IF(table1[[#This Row],[Price]] &lt; (table1[[#This Row],[52Low]] * 0.25) + table1[[#This Row],[52Low]],  "TRUE", "FALSE")</f>
        <v>FALSE</v>
      </c>
      <c r="M71" s="2" t="str">
        <f ca="1">IF(table1[[#This Row],[Price]] &lt; (table1[[#This Row],[52Low]] * 0.1) + table1[[#This Row],[52Low]],  "TRUE", "FALSE")</f>
        <v>FALSE</v>
      </c>
      <c r="N71" s="6" cm="1">
        <f t="array" aca="1" ref="N71" ca="1">_FV(table1[[#This Row],[DataField]],"Market cap",TRUE)</f>
        <v>4380075000000</v>
      </c>
    </row>
    <row r="72" spans="1:14" x14ac:dyDescent="0.2">
      <c r="A72" t="e" vm="72">
        <v>#VALUE!</v>
      </c>
      <c r="B72" t="str" cm="1">
        <f t="array" aca="1" ref="B72" ca="1">_FV(table1[[#This Row],[DataField]],"Ticker symbol",TRUE)</f>
        <v>O</v>
      </c>
      <c r="C72" t="b">
        <v>1</v>
      </c>
      <c r="D72" t="s">
        <v>14</v>
      </c>
      <c r="E72" t="b">
        <v>1</v>
      </c>
      <c r="H72" s="2" cm="1">
        <f t="array" aca="1" ref="H72" ca="1">_FV(table1[[#This Row],[DataField]],"Price")</f>
        <v>64.709999999999994</v>
      </c>
      <c r="I72" s="2" cm="1">
        <f t="array" aca="1" ref="I72" ca="1">_FV(table1[[#This Row],[DataField]],"52 week low",TRUE)</f>
        <v>50.71</v>
      </c>
      <c r="J72" s="2" cm="1">
        <f t="array" aca="1" ref="J72" ca="1">_FV(table1[[#This Row],[DataField]],"52 week high",TRUE)</f>
        <v>67.935000000000002</v>
      </c>
      <c r="K72" s="4" cm="1">
        <f t="array" aca="1" ref="K72" ca="1">_FV(table1[[#This Row],[DataField]],"P/E",TRUE)</f>
        <v>55.578499999999998</v>
      </c>
      <c r="L72" s="2" t="str">
        <f ca="1">IF(table1[[#This Row],[Price]] &lt; (table1[[#This Row],[52Low]] * 0.25) + table1[[#This Row],[52Low]],  "TRUE", "FALSE")</f>
        <v>FALSE</v>
      </c>
      <c r="M72" s="2" t="str">
        <f ca="1">IF(table1[[#This Row],[Price]] &lt; (table1[[#This Row],[52Low]] * 0.1) + table1[[#This Row],[52Low]],  "TRUE", "FALSE")</f>
        <v>FALSE</v>
      </c>
      <c r="N72" s="6" cm="1">
        <f t="array" aca="1" ref="N72" ca="1">_FV(table1[[#This Row],[DataField]],"Market cap",TRUE)</f>
        <v>60338205341</v>
      </c>
    </row>
    <row r="73" spans="1:14" x14ac:dyDescent="0.2">
      <c r="A73" t="e" vm="73">
        <v>#VALUE!</v>
      </c>
      <c r="B73" t="str" cm="1">
        <f t="array" aca="1" ref="B73" ca="1">_FV(table1[[#This Row],[DataField]],"Ticker symbol",TRUE)</f>
        <v>PEP</v>
      </c>
      <c r="C73" t="b">
        <v>1</v>
      </c>
      <c r="D73" t="s">
        <v>5</v>
      </c>
      <c r="E73" t="b">
        <v>1</v>
      </c>
      <c r="H73" s="2" cm="1">
        <f t="array" aca="1" ref="H73" ca="1">_FV(table1[[#This Row],[DataField]],"Price")</f>
        <v>161.55000000000001</v>
      </c>
      <c r="I73" s="2" cm="1">
        <f t="array" aca="1" ref="I73" ca="1">_FV(table1[[#This Row],[DataField]],"52 week low",TRUE)</f>
        <v>127.6</v>
      </c>
      <c r="J73" s="2" cm="1">
        <f t="array" aca="1" ref="J73" ca="1">_FV(table1[[#This Row],[DataField]],"52 week high",TRUE)</f>
        <v>171.48</v>
      </c>
      <c r="K73" s="4" cm="1">
        <f t="array" aca="1" ref="K73" ca="1">_FV(table1[[#This Row],[DataField]],"P/E",TRUE)</f>
        <v>26.918299999999999</v>
      </c>
      <c r="L73" s="2" t="str">
        <f ca="1">IF(table1[[#This Row],[Price]] &lt; (table1[[#This Row],[52Low]] * 0.25) + table1[[#This Row],[52Low]],  "TRUE", "FALSE")</f>
        <v>FALSE</v>
      </c>
      <c r="M73" s="2" t="str">
        <f ca="1">IF(table1[[#This Row],[Price]] &lt; (table1[[#This Row],[52Low]] * 0.1) + table1[[#This Row],[52Low]],  "TRUE", "FALSE")</f>
        <v>FALSE</v>
      </c>
      <c r="N73" s="6" cm="1">
        <f t="array" aca="1" ref="N73" ca="1">_FV(table1[[#This Row],[DataField]],"Market cap",TRUE)</f>
        <v>220782145950</v>
      </c>
    </row>
    <row r="74" spans="1:14" x14ac:dyDescent="0.2">
      <c r="A74" t="e" vm="74">
        <v>#VALUE!</v>
      </c>
      <c r="B74" t="str" cm="1">
        <f t="array" aca="1" ref="B74" ca="1">_FV(table1[[#This Row],[DataField]],"Ticker symbol",TRUE)</f>
        <v>PFE</v>
      </c>
      <c r="H74" s="2" cm="1">
        <f t="array" aca="1" ref="H74" ca="1">_FV(table1[[#This Row],[DataField]],"Price")</f>
        <v>26.545000000000002</v>
      </c>
      <c r="I74" s="2" cm="1">
        <f t="array" aca="1" ref="I74" ca="1">_FV(table1[[#This Row],[DataField]],"52 week low",TRUE)</f>
        <v>20.914999999999999</v>
      </c>
      <c r="J74" s="2" cm="1">
        <f t="array" aca="1" ref="J74" ca="1">_FV(table1[[#This Row],[DataField]],"52 week high",TRUE)</f>
        <v>27.94</v>
      </c>
      <c r="K74" s="4" cm="1">
        <f t="array" aca="1" ref="K74" ca="1">_FV(table1[[#This Row],[DataField]],"P/E",TRUE)</f>
        <v>19.577400000000001</v>
      </c>
      <c r="L74" s="2" t="str">
        <f ca="1">IF(table1[[#This Row],[Price]] &lt; (table1[[#This Row],[52Low]] * 0.25) + table1[[#This Row],[52Low]],  "TRUE", "FALSE")</f>
        <v>FALSE</v>
      </c>
      <c r="M74" s="2" t="str">
        <f ca="1">IF(table1[[#This Row],[Price]] &lt; (table1[[#This Row],[52Low]] * 0.1) + table1[[#This Row],[52Low]],  "TRUE", "FALSE")</f>
        <v>FALSE</v>
      </c>
      <c r="N74" s="6" cm="1">
        <f t="array" aca="1" ref="N74" ca="1">_FV(table1[[#This Row],[DataField]],"Market cap",TRUE)</f>
        <v>150941984060</v>
      </c>
    </row>
    <row r="75" spans="1:14" x14ac:dyDescent="0.2">
      <c r="A75" t="e" vm="75">
        <v>#VALUE!</v>
      </c>
      <c r="B75" t="str" cm="1">
        <f t="array" aca="1" ref="B75" ca="1">_FV(table1[[#This Row],[DataField]],"Ticker symbol",TRUE)</f>
        <v>PM</v>
      </c>
      <c r="H75" s="2" cm="1">
        <f t="array" aca="1" ref="H75" ca="1">_FV(table1[[#This Row],[DataField]],"Price")</f>
        <v>170.15</v>
      </c>
      <c r="I75" s="2" cm="1">
        <f t="array" aca="1" ref="I75" ca="1">_FV(table1[[#This Row],[DataField]],"52 week low",TRUE)</f>
        <v>142.11000000000001</v>
      </c>
      <c r="J75" s="2" cm="1">
        <f t="array" aca="1" ref="J75" ca="1">_FV(table1[[#This Row],[DataField]],"52 week high",TRUE)</f>
        <v>191.3</v>
      </c>
      <c r="K75" s="4" cm="1">
        <f t="array" aca="1" ref="K75" ca="1">_FV(table1[[#This Row],[DataField]],"P/E",TRUE)</f>
        <v>23.426300000000001</v>
      </c>
      <c r="L75" s="2" t="str">
        <f ca="1">IF(table1[[#This Row],[Price]] &lt; (table1[[#This Row],[52Low]] * 0.25) + table1[[#This Row],[52Low]],  "TRUE", "FALSE")</f>
        <v>TRUE</v>
      </c>
      <c r="M75" s="7" t="str">
        <f ca="1">IF(table1[[#This Row],[Price]] &lt; (table1[[#This Row],[52Low]] * 0.1) + table1[[#This Row],[52Low]],  "TRUE", "FALSE")</f>
        <v>FALSE</v>
      </c>
      <c r="N75" s="6" cm="1">
        <f t="array" aca="1" ref="N75" ca="1">_FV(table1[[#This Row],[DataField]],"Market cap",TRUE)</f>
        <v>264869102000</v>
      </c>
    </row>
    <row r="76" spans="1:14" x14ac:dyDescent="0.2">
      <c r="A76" t="e" vm="76">
        <v>#VALUE!</v>
      </c>
      <c r="B76" t="str" cm="1">
        <f t="array" aca="1" ref="B76" ca="1">_FV(table1[[#This Row],[DataField]],"Ticker symbol",TRUE)</f>
        <v>PPG</v>
      </c>
      <c r="H76" s="2" cm="1">
        <f t="array" aca="1" ref="H76" ca="1">_FV(table1[[#This Row],[DataField]],"Price")</f>
        <v>111.57</v>
      </c>
      <c r="I76" s="2" cm="1">
        <f t="array" aca="1" ref="I76" ca="1">_FV(table1[[#This Row],[DataField]],"52 week low",TRUE)</f>
        <v>90.24</v>
      </c>
      <c r="J76" s="2" cm="1">
        <f t="array" aca="1" ref="J76" ca="1">_FV(table1[[#This Row],[DataField]],"52 week high",TRUE)</f>
        <v>133.43</v>
      </c>
      <c r="K76" s="4" cm="1">
        <f t="array" aca="1" ref="K76" ca="1">_FV(table1[[#This Row],[DataField]],"P/E",TRUE)</f>
        <v>16.134</v>
      </c>
      <c r="L76" s="2" t="str">
        <f ca="1">IF(table1[[#This Row],[Price]] &lt; (table1[[#This Row],[52Low]] * 0.25) + table1[[#This Row],[52Low]],  "TRUE", "FALSE")</f>
        <v>TRUE</v>
      </c>
      <c r="M76" s="7" t="str">
        <f ca="1">IF(table1[[#This Row],[Price]] &lt; (table1[[#This Row],[52Low]] * 0.1) + table1[[#This Row],[52Low]],  "TRUE", "FALSE")</f>
        <v>FALSE</v>
      </c>
      <c r="N76" s="6" cm="1">
        <f t="array" aca="1" ref="N76" ca="1">_FV(table1[[#This Row],[DataField]],"Market cap",TRUE)</f>
        <v>24935303679</v>
      </c>
    </row>
    <row r="77" spans="1:14" x14ac:dyDescent="0.2">
      <c r="A77" t="e" vm="77">
        <v>#VALUE!</v>
      </c>
      <c r="B77" t="str" cm="1">
        <f t="array" aca="1" ref="B77" ca="1">_FV(table1[[#This Row],[DataField]],"Ticker symbol",TRUE)</f>
        <v>QCOM</v>
      </c>
      <c r="H77" s="2" cm="1">
        <f t="array" aca="1" ref="H77" ca="1">_FV(table1[[#This Row],[DataField]],"Price")</f>
        <v>136.33500000000001</v>
      </c>
      <c r="I77" s="2" cm="1">
        <f t="array" aca="1" ref="I77" ca="1">_FV(table1[[#This Row],[DataField]],"52 week low",TRUE)</f>
        <v>120.8019</v>
      </c>
      <c r="J77" s="2" cm="1">
        <f t="array" aca="1" ref="J77" ca="1">_FV(table1[[#This Row],[DataField]],"52 week high",TRUE)</f>
        <v>205.95</v>
      </c>
      <c r="K77" s="4" cm="1">
        <f t="array" aca="1" ref="K77" ca="1">_FV(table1[[#This Row],[DataField]],"P/E",TRUE)</f>
        <v>28.1661</v>
      </c>
      <c r="L77" s="2" t="str">
        <f ca="1">IF(table1[[#This Row],[Price]] &lt; (table1[[#This Row],[52Low]] * 0.25) + table1[[#This Row],[52Low]],  "TRUE", "FALSE")</f>
        <v>TRUE</v>
      </c>
      <c r="M77" s="2" t="str">
        <f ca="1">IF(table1[[#This Row],[Price]] &lt; (table1[[#This Row],[52Low]] * 0.1) + table1[[#This Row],[52Low]],  "TRUE", "FALSE")</f>
        <v>FALSE</v>
      </c>
      <c r="N77" s="6" cm="1">
        <f t="array" aca="1" ref="N77" ca="1">_FV(table1[[#This Row],[DataField]],"Market cap",TRUE)</f>
        <v>145469445000</v>
      </c>
    </row>
    <row r="78" spans="1:14" x14ac:dyDescent="0.2">
      <c r="A78" t="e" vm="78">
        <v>#VALUE!</v>
      </c>
      <c r="B78" t="str" cm="1">
        <f t="array" aca="1" ref="B78" ca="1">_FV(table1[[#This Row],[DataField]],"Ticker symbol",TRUE)</f>
        <v>SBUX</v>
      </c>
      <c r="H78" s="2" cm="1">
        <f t="array" aca="1" ref="H78" ca="1">_FV(table1[[#This Row],[DataField]],"Price")</f>
        <v>97.594999999999999</v>
      </c>
      <c r="I78" s="2" cm="1">
        <f t="array" aca="1" ref="I78" ca="1">_FV(table1[[#This Row],[DataField]],"52 week low",TRUE)</f>
        <v>75.5</v>
      </c>
      <c r="J78" s="2" cm="1">
        <f t="array" aca="1" ref="J78" ca="1">_FV(table1[[#This Row],[DataField]],"52 week high",TRUE)</f>
        <v>112.5194</v>
      </c>
      <c r="K78" s="4" cm="1">
        <f t="array" aca="1" ref="K78" ca="1">_FV(table1[[#This Row],[DataField]],"P/E",TRUE)</f>
        <v>81.302099999999996</v>
      </c>
      <c r="L78" s="2" t="str">
        <f ca="1">IF(table1[[#This Row],[Price]] &lt; (table1[[#This Row],[52Low]] * 0.25) + table1[[#This Row],[52Low]],  "TRUE", "FALSE")</f>
        <v>FALSE</v>
      </c>
      <c r="M78" s="7" t="str">
        <f ca="1">IF(table1[[#This Row],[Price]] &lt; (table1[[#This Row],[52Low]] * 0.1) + table1[[#This Row],[52Low]],  "TRUE", "FALSE")</f>
        <v>FALSE</v>
      </c>
      <c r="N78" s="6" cm="1">
        <f t="array" aca="1" ref="N78" ca="1">_FV(table1[[#This Row],[DataField]],"Market cap",TRUE)</f>
        <v>111189983500</v>
      </c>
    </row>
    <row r="79" spans="1:14" x14ac:dyDescent="0.2">
      <c r="A79" t="e" vm="79">
        <v>#VALUE!</v>
      </c>
      <c r="B79" t="str" cm="1">
        <f t="array" aca="1" ref="B79" ca="1">_FV(table1[[#This Row],[DataField]],"Ticker symbol",TRUE)</f>
        <v>SCHW</v>
      </c>
      <c r="H79" s="2" cm="1">
        <f t="array" aca="1" ref="H79" ca="1">_FV(table1[[#This Row],[DataField]],"Price")</f>
        <v>94.64</v>
      </c>
      <c r="I79" s="2" cm="1">
        <f t="array" aca="1" ref="I79" ca="1">_FV(table1[[#This Row],[DataField]],"52 week low",TRUE)</f>
        <v>65.88</v>
      </c>
      <c r="J79" s="2" cm="1">
        <f t="array" aca="1" ref="J79" ca="1">_FV(table1[[#This Row],[DataField]],"52 week high",TRUE)</f>
        <v>107.5</v>
      </c>
      <c r="K79" s="4" cm="1">
        <f t="array" aca="1" ref="K79" ca="1">_FV(table1[[#This Row],[DataField]],"P/E",TRUE)</f>
        <v>20.296800000000001</v>
      </c>
      <c r="L79" s="2" t="str">
        <f ca="1">IF(table1[[#This Row],[Price]] &lt; (table1[[#This Row],[52Low]] * 0.25) + table1[[#This Row],[52Low]],  "TRUE", "FALSE")</f>
        <v>FALSE</v>
      </c>
      <c r="M79" s="2" t="str">
        <f ca="1">IF(table1[[#This Row],[Price]] &lt; (table1[[#This Row],[52Low]] * 0.1) + table1[[#This Row],[52Low]],  "TRUE", "FALSE")</f>
        <v>FALSE</v>
      </c>
      <c r="N79" s="6" cm="1">
        <f t="array" aca="1" ref="N79" ca="1">_FV(table1[[#This Row],[DataField]],"Market cap",TRUE)</f>
        <v>165829154400</v>
      </c>
    </row>
    <row r="80" spans="1:14" x14ac:dyDescent="0.2">
      <c r="A80" t="e" vm="80">
        <v>#VALUE!</v>
      </c>
      <c r="B80" t="str" cm="1">
        <f t="array" aca="1" ref="B80" ca="1">_FV(table1[[#This Row],[DataField]],"Ticker symbol",TRUE)</f>
        <v>SHW</v>
      </c>
      <c r="H80" s="2" cm="1">
        <f t="array" aca="1" ref="H80" ca="1">_FV(table1[[#This Row],[DataField]],"Price")</f>
        <v>334.07</v>
      </c>
      <c r="I80" s="2" cm="1">
        <f t="array" aca="1" ref="I80" ca="1">_FV(table1[[#This Row],[DataField]],"52 week low",TRUE)</f>
        <v>308.83999999999997</v>
      </c>
      <c r="J80" s="2" cm="1">
        <f t="array" aca="1" ref="J80" ca="1">_FV(table1[[#This Row],[DataField]],"52 week high",TRUE)</f>
        <v>379.65</v>
      </c>
      <c r="K80" s="4" cm="1">
        <f t="array" aca="1" ref="K80" ca="1">_FV(table1[[#This Row],[DataField]],"P/E",TRUE)</f>
        <v>32.567999999999998</v>
      </c>
      <c r="L80" s="2" t="str">
        <f ca="1">IF(table1[[#This Row],[Price]] &lt; (table1[[#This Row],[52Low]] * 0.25) + table1[[#This Row],[52Low]],  "TRUE", "FALSE")</f>
        <v>TRUE</v>
      </c>
      <c r="M80" s="2" t="str">
        <f ca="1">IF(table1[[#This Row],[Price]] &lt; (table1[[#This Row],[52Low]] * 0.1) + table1[[#This Row],[52Low]],  "TRUE", "FALSE")</f>
        <v>TRUE</v>
      </c>
      <c r="N80" s="6" cm="1">
        <f t="array" aca="1" ref="N80" ca="1">_FV(table1[[#This Row],[DataField]],"Market cap",TRUE)</f>
        <v>82774127436</v>
      </c>
    </row>
    <row r="81" spans="1:14" x14ac:dyDescent="0.2">
      <c r="A81" t="e" vm="81">
        <v>#VALUE!</v>
      </c>
      <c r="B81" t="str" cm="1">
        <f t="array" aca="1" ref="B81" ca="1">_FV(table1[[#This Row],[DataField]],"Ticker symbol",TRUE)</f>
        <v>SJM</v>
      </c>
      <c r="C81" t="b">
        <v>1</v>
      </c>
      <c r="D81" t="s">
        <v>5</v>
      </c>
      <c r="E81" t="b">
        <v>0</v>
      </c>
      <c r="H81" s="2" cm="1">
        <f t="array" aca="1" ref="H81" ca="1">_FV(table1[[#This Row],[DataField]],"Price")</f>
        <v>111.57</v>
      </c>
      <c r="I81" s="2" cm="1">
        <f t="array" aca="1" ref="I81" ca="1">_FV(table1[[#This Row],[DataField]],"52 week low",TRUE)</f>
        <v>93.3</v>
      </c>
      <c r="J81" s="2" cm="1">
        <f t="array" aca="1" ref="J81" ca="1">_FV(table1[[#This Row],[DataField]],"52 week high",TRUE)</f>
        <v>121.48</v>
      </c>
      <c r="K81" s="4" cm="1">
        <f t="array" aca="1" ref="K81" ca="1">_FV(table1[[#This Row],[DataField]],"P/E",TRUE)</f>
        <v>0</v>
      </c>
      <c r="L81" s="2" t="str">
        <f ca="1">IF(table1[[#This Row],[Price]] &lt; (table1[[#This Row],[52Low]] * 0.25) + table1[[#This Row],[52Low]],  "TRUE", "FALSE")</f>
        <v>TRUE</v>
      </c>
      <c r="M81" s="2" t="str">
        <f ca="1">IF(table1[[#This Row],[Price]] &lt; (table1[[#This Row],[52Low]] * 0.1) + table1[[#This Row],[52Low]],  "TRUE", "FALSE")</f>
        <v>FALSE</v>
      </c>
      <c r="N81" s="6" cm="1">
        <f t="array" aca="1" ref="N81" ca="1">_FV(table1[[#This Row],[DataField]],"Market cap",TRUE)</f>
        <v>11898750831</v>
      </c>
    </row>
    <row r="82" spans="1:14" x14ac:dyDescent="0.2">
      <c r="A82" t="e" vm="82">
        <v>#VALUE!</v>
      </c>
      <c r="B82" t="str" cm="1">
        <f t="array" aca="1" ref="B82" ca="1">_FV(table1[[#This Row],[DataField]],"Ticker symbol",TRUE)</f>
        <v>SNA</v>
      </c>
      <c r="H82" s="2" cm="1">
        <f t="array" aca="1" ref="H82" ca="1">_FV(table1[[#This Row],[DataField]],"Price")</f>
        <v>381.54500000000002</v>
      </c>
      <c r="I82" s="2" cm="1">
        <f t="array" aca="1" ref="I82" ca="1">_FV(table1[[#This Row],[DataField]],"52 week low",TRUE)</f>
        <v>289.81</v>
      </c>
      <c r="J82" s="2" cm="1">
        <f t="array" aca="1" ref="J82" ca="1">_FV(table1[[#This Row],[DataField]],"52 week high",TRUE)</f>
        <v>390.13</v>
      </c>
      <c r="K82" s="4" cm="1">
        <f t="array" aca="1" ref="K82" ca="1">_FV(table1[[#This Row],[DataField]],"P/E",TRUE)</f>
        <v>19.8858</v>
      </c>
      <c r="L82" s="2" t="str">
        <f ca="1">IF(table1[[#This Row],[Price]] &lt; (table1[[#This Row],[52Low]] * 0.25) + table1[[#This Row],[52Low]],  "TRUE", "FALSE")</f>
        <v>FALSE</v>
      </c>
      <c r="M82" s="2" t="str">
        <f ca="1">IF(table1[[#This Row],[Price]] &lt; (table1[[#This Row],[52Low]] * 0.1) + table1[[#This Row],[52Low]],  "TRUE", "FALSE")</f>
        <v>FALSE</v>
      </c>
      <c r="N82" s="6" cm="1">
        <f t="array" aca="1" ref="N82" ca="1">_FV(table1[[#This Row],[DataField]],"Market cap",TRUE)</f>
        <v>19807191370</v>
      </c>
    </row>
    <row r="83" spans="1:14" x14ac:dyDescent="0.2">
      <c r="A83" t="e" vm="83">
        <v>#VALUE!</v>
      </c>
      <c r="B83" t="str" cm="1">
        <f t="array" aca="1" ref="B83" ca="1">_FV(table1[[#This Row],[DataField]],"Ticker symbol",TRUE)</f>
        <v>SO</v>
      </c>
      <c r="H83" s="2" cm="1">
        <f t="array" aca="1" ref="H83" ca="1">_FV(table1[[#This Row],[DataField]],"Price")</f>
        <v>96.71</v>
      </c>
      <c r="I83" s="2" cm="1">
        <f t="array" aca="1" ref="I83" ca="1">_FV(table1[[#This Row],[DataField]],"52 week low",TRUE)</f>
        <v>83.09</v>
      </c>
      <c r="J83" s="2" cm="1">
        <f t="array" aca="1" ref="J83" ca="1">_FV(table1[[#This Row],[DataField]],"52 week high",TRUE)</f>
        <v>100.83499999999999</v>
      </c>
      <c r="K83" s="4" cm="1">
        <f t="array" aca="1" ref="K83" ca="1">_FV(table1[[#This Row],[DataField]],"P/E",TRUE)</f>
        <v>24.689800000000002</v>
      </c>
      <c r="L83" s="2" t="str">
        <f ca="1">IF(table1[[#This Row],[Price]] &lt; (table1[[#This Row],[52Low]] * 0.25) + table1[[#This Row],[52Low]],  "TRUE", "FALSE")</f>
        <v>TRUE</v>
      </c>
      <c r="M83" s="2" t="str">
        <f ca="1">IF(table1[[#This Row],[Price]] &lt; (table1[[#This Row],[52Low]] * 0.1) + table1[[#This Row],[52Low]],  "TRUE", "FALSE")</f>
        <v>FALSE</v>
      </c>
      <c r="N83" s="6" cm="1">
        <f t="array" aca="1" ref="N83" ca="1">_FV(table1[[#This Row],[DataField]],"Market cap",TRUE)</f>
        <v>108256303610</v>
      </c>
    </row>
    <row r="84" spans="1:14" x14ac:dyDescent="0.2">
      <c r="A84" t="e" vm="84">
        <v>#VALUE!</v>
      </c>
      <c r="B84" t="str" cm="1">
        <f t="array" aca="1" ref="B84" ca="1">_FV(table1[[#This Row],[DataField]],"Ticker symbol",TRUE)</f>
        <v>SPG</v>
      </c>
      <c r="C84" t="b">
        <v>1</v>
      </c>
      <c r="D84" t="s">
        <v>14</v>
      </c>
      <c r="E84" t="b">
        <v>1</v>
      </c>
      <c r="H84" s="2" cm="1">
        <f t="array" aca="1" ref="H84" ca="1">_FV(table1[[#This Row],[DataField]],"Price")</f>
        <v>201.03</v>
      </c>
      <c r="I84" s="2" cm="1">
        <f t="array" aca="1" ref="I84" ca="1">_FV(table1[[#This Row],[DataField]],"52 week low",TRUE)</f>
        <v>136.34</v>
      </c>
      <c r="J84" s="2" cm="1">
        <f t="array" aca="1" ref="J84" ca="1">_FV(table1[[#This Row],[DataField]],"52 week high",TRUE)</f>
        <v>205.11500000000001</v>
      </c>
      <c r="K84" s="4" cm="1">
        <f t="array" aca="1" ref="K84" ca="1">_FV(table1[[#This Row],[DataField]],"P/E",TRUE)</f>
        <v>14.1837</v>
      </c>
      <c r="L84" s="2" t="str">
        <f ca="1">IF(table1[[#This Row],[Price]] &lt; (table1[[#This Row],[52Low]] * 0.25) + table1[[#This Row],[52Low]],  "TRUE", "FALSE")</f>
        <v>FALSE</v>
      </c>
      <c r="M84" s="2" t="str">
        <f ca="1">IF(table1[[#This Row],[Price]] &lt; (table1[[#This Row],[52Low]] * 0.1) + table1[[#This Row],[52Low]],  "TRUE", "FALSE")</f>
        <v>FALSE</v>
      </c>
      <c r="N84" s="6" cm="1">
        <f t="array" aca="1" ref="N84" ca="1">_FV(table1[[#This Row],[DataField]],"Market cap",TRUE)</f>
        <v>65325361899</v>
      </c>
    </row>
    <row r="85" spans="1:14" x14ac:dyDescent="0.2">
      <c r="A85" t="e" vm="85">
        <v>#VALUE!</v>
      </c>
      <c r="B85" t="str" cm="1">
        <f t="array" aca="1" ref="B85" ca="1">_FV(table1[[#This Row],[DataField]],"Ticker symbol",TRUE)</f>
        <v>SPGI</v>
      </c>
      <c r="H85" s="2" cm="1">
        <f t="array" aca="1" ref="H85" ca="1">_FV(table1[[#This Row],[DataField]],"Price")</f>
        <v>450.39</v>
      </c>
      <c r="I85" s="2" cm="1">
        <f t="array" aca="1" ref="I85" ca="1">_FV(table1[[#This Row],[DataField]],"52 week low",TRUE)</f>
        <v>381.60500000000002</v>
      </c>
      <c r="J85" s="2" cm="1">
        <f t="array" aca="1" ref="J85" ca="1">_FV(table1[[#This Row],[DataField]],"52 week high",TRUE)</f>
        <v>579.04999999999995</v>
      </c>
      <c r="K85" s="4" cm="1">
        <f t="array" aca="1" ref="K85" ca="1">_FV(table1[[#This Row],[DataField]],"P/E",TRUE)</f>
        <v>30.721699999999998</v>
      </c>
      <c r="L85" s="2" t="str">
        <f ca="1">IF(table1[[#This Row],[Price]] &lt; (table1[[#This Row],[52Low]] * 0.25) + table1[[#This Row],[52Low]],  "TRUE", "FALSE")</f>
        <v>TRUE</v>
      </c>
      <c r="M85" s="2" t="str">
        <f ca="1">IF(table1[[#This Row],[Price]] &lt; (table1[[#This Row],[52Low]] * 0.1) + table1[[#This Row],[52Low]],  "TRUE", "FALSE")</f>
        <v>FALSE</v>
      </c>
      <c r="N85" s="6" cm="1">
        <f t="array" aca="1" ref="N85" ca="1">_FV(table1[[#This Row],[DataField]],"Market cap",TRUE)</f>
        <v>134576532000</v>
      </c>
    </row>
    <row r="86" spans="1:14" x14ac:dyDescent="0.2">
      <c r="A86" t="e" vm="86">
        <v>#VALUE!</v>
      </c>
      <c r="B86" t="str" cm="1">
        <f t="array" aca="1" ref="B86" ca="1">_FV(table1[[#This Row],[DataField]],"Ticker symbol",TRUE)</f>
        <v>T</v>
      </c>
      <c r="C86" t="b">
        <v>1</v>
      </c>
      <c r="D86" t="s">
        <v>10</v>
      </c>
      <c r="E86" t="b">
        <v>1</v>
      </c>
      <c r="H86" s="2" cm="1">
        <f t="array" aca="1" ref="H86" ca="1">_FV(table1[[#This Row],[DataField]],"Price")</f>
        <v>28.914999999999999</v>
      </c>
      <c r="I86" s="2" cm="1">
        <f t="array" aca="1" ref="I86" ca="1">_FV(table1[[#This Row],[DataField]],"52 week low",TRUE)</f>
        <v>22.95</v>
      </c>
      <c r="J86" s="2" cm="1">
        <f t="array" aca="1" ref="J86" ca="1">_FV(table1[[#This Row],[DataField]],"52 week high",TRUE)</f>
        <v>29.79</v>
      </c>
      <c r="K86" s="4" cm="1">
        <f t="array" aca="1" ref="K86" ca="1">_FV(table1[[#This Row],[DataField]],"P/E",TRUE)</f>
        <v>9.4754000000000005</v>
      </c>
      <c r="L86" s="2" t="str">
        <f ca="1">IF(table1[[#This Row],[Price]] &lt; (table1[[#This Row],[52Low]] * 0.25) + table1[[#This Row],[52Low]],  "TRUE", "FALSE")</f>
        <v>FALSE</v>
      </c>
      <c r="M86" s="2" t="str">
        <f ca="1">IF(table1[[#This Row],[Price]] &lt; (table1[[#This Row],[52Low]] * 0.1) + table1[[#This Row],[52Low]],  "TRUE", "FALSE")</f>
        <v>FALSE</v>
      </c>
      <c r="N86" s="6" cm="1">
        <f t="array" aca="1" ref="N86" ca="1">_FV(table1[[#This Row],[DataField]],"Market cap",TRUE)</f>
        <v>202421683955</v>
      </c>
    </row>
    <row r="87" spans="1:14" x14ac:dyDescent="0.2">
      <c r="A87" t="e" vm="87">
        <v>#VALUE!</v>
      </c>
      <c r="B87" t="str" cm="1">
        <f t="array" aca="1" ref="B87" ca="1">_FV(table1[[#This Row],[DataField]],"Ticker symbol",TRUE)</f>
        <v>TGT</v>
      </c>
      <c r="H87" s="2" cm="1">
        <f t="array" aca="1" ref="H87" ca="1">_FV(table1[[#This Row],[DataField]],"Price")</f>
        <v>118.28</v>
      </c>
      <c r="I87" s="2" cm="1">
        <f t="array" aca="1" ref="I87" ca="1">_FV(table1[[#This Row],[DataField]],"52 week low",TRUE)</f>
        <v>83.44</v>
      </c>
      <c r="J87" s="2" cm="1">
        <f t="array" aca="1" ref="J87" ca="1">_FV(table1[[#This Row],[DataField]],"52 week high",TRUE)</f>
        <v>126</v>
      </c>
      <c r="K87" s="4" cm="1">
        <f t="array" aca="1" ref="K87" ca="1">_FV(table1[[#This Row],[DataField]],"P/E",TRUE)</f>
        <v>14.3521</v>
      </c>
      <c r="L87" s="2" t="str">
        <f ca="1">IF(table1[[#This Row],[Price]] &lt; (table1[[#This Row],[52Low]] * 0.25) + table1[[#This Row],[52Low]],  "TRUE", "FALSE")</f>
        <v>FALSE</v>
      </c>
      <c r="M87" s="2" t="str">
        <f ca="1">IF(table1[[#This Row],[Price]] &lt; (table1[[#This Row],[52Low]] * 0.1) + table1[[#This Row],[52Low]],  "TRUE", "FALSE")</f>
        <v>FALSE</v>
      </c>
      <c r="N87" s="6" cm="1">
        <f t="array" aca="1" ref="N87" ca="1">_FV(table1[[#This Row],[DataField]],"Market cap",TRUE)</f>
        <v>53561938856</v>
      </c>
    </row>
    <row r="88" spans="1:14" x14ac:dyDescent="0.2">
      <c r="A88" t="e" vm="88">
        <v>#VALUE!</v>
      </c>
      <c r="B88" t="str" cm="1">
        <f t="array" aca="1" ref="B88" ca="1">_FV(table1[[#This Row],[DataField]],"Ticker symbol",TRUE)</f>
        <v>TROW</v>
      </c>
      <c r="C88" t="b">
        <v>1</v>
      </c>
      <c r="D88" t="s">
        <v>8</v>
      </c>
      <c r="E88" t="b">
        <v>1</v>
      </c>
      <c r="H88" s="2" cm="1">
        <f t="array" aca="1" ref="H88" ca="1">_FV(table1[[#This Row],[DataField]],"Price")</f>
        <v>91.62</v>
      </c>
      <c r="I88" s="2" cm="1">
        <f t="array" aca="1" ref="I88" ca="1">_FV(table1[[#This Row],[DataField]],"52 week low",TRUE)</f>
        <v>77.849999999999994</v>
      </c>
      <c r="J88" s="2" cm="1">
        <f t="array" aca="1" ref="J88" ca="1">_FV(table1[[#This Row],[DataField]],"52 week high",TRUE)</f>
        <v>118.22</v>
      </c>
      <c r="K88" s="4" cm="1">
        <f t="array" aca="1" ref="K88" ca="1">_FV(table1[[#This Row],[DataField]],"P/E",TRUE)</f>
        <v>9.9103999999999992</v>
      </c>
      <c r="L88" s="2" t="str">
        <f ca="1">IF(table1[[#This Row],[Price]] &lt; (table1[[#This Row],[52Low]] * 0.25) + table1[[#This Row],[52Low]],  "TRUE", "FALSE")</f>
        <v>TRUE</v>
      </c>
      <c r="M88" s="2" t="str">
        <f ca="1">IF(table1[[#This Row],[Price]] &lt; (table1[[#This Row],[52Low]] * 0.1) + table1[[#This Row],[52Low]],  "TRUE", "FALSE")</f>
        <v>FALSE</v>
      </c>
      <c r="N88" s="6" cm="1">
        <f t="array" aca="1" ref="N88" ca="1">_FV(table1[[#This Row],[DataField]],"Market cap",TRUE)</f>
        <v>19979839098</v>
      </c>
    </row>
    <row r="89" spans="1:14" ht="18" customHeight="1" x14ac:dyDescent="0.2">
      <c r="A89" t="e" vm="89">
        <v>#VALUE!</v>
      </c>
      <c r="B89" t="str" cm="1">
        <f t="array" aca="1" ref="B89" ca="1">_FV(table1[[#This Row],[DataField]],"Ticker symbol",TRUE)</f>
        <v>TSCO</v>
      </c>
      <c r="H89" s="2" cm="1">
        <f t="array" aca="1" ref="H89" ca="1">_FV(table1[[#This Row],[DataField]],"Price")</f>
        <v>50.31</v>
      </c>
      <c r="I89" s="2" cm="1">
        <f t="array" aca="1" ref="I89" ca="1">_FV(table1[[#This Row],[DataField]],"52 week low",TRUE)</f>
        <v>46.8504</v>
      </c>
      <c r="J89" s="2" cm="1">
        <f t="array" aca="1" ref="J89" ca="1">_FV(table1[[#This Row],[DataField]],"52 week high",TRUE)</f>
        <v>63.989899999999999</v>
      </c>
      <c r="K89" s="4" cm="1">
        <f t="array" aca="1" ref="K89" ca="1">_FV(table1[[#This Row],[DataField]],"P/E",TRUE)</f>
        <v>24.423500000000001</v>
      </c>
      <c r="L89" s="2" t="str">
        <f ca="1">IF(table1[[#This Row],[Price]] &lt; (table1[[#This Row],[52Low]] * 0.25) + table1[[#This Row],[52Low]],  "TRUE", "FALSE")</f>
        <v>TRUE</v>
      </c>
      <c r="M89" s="7" t="str">
        <f ca="1">IF(table1[[#This Row],[Price]] &lt; (table1[[#This Row],[52Low]] * 0.1) + table1[[#This Row],[52Low]],  "TRUE", "FALSE")</f>
        <v>TRUE</v>
      </c>
      <c r="N89" s="6" cm="1">
        <f t="array" aca="1" ref="N89" ca="1">_FV(table1[[#This Row],[DataField]],"Market cap",TRUE)</f>
        <v>26480733903</v>
      </c>
    </row>
    <row r="90" spans="1:14" x14ac:dyDescent="0.2">
      <c r="A90" t="e" vm="90">
        <v>#VALUE!</v>
      </c>
      <c r="B90" t="str" cm="1">
        <f t="array" aca="1" ref="B90" ca="1">_FV(table1[[#This Row],[DataField]],"Ticker symbol",TRUE)</f>
        <v>TSM</v>
      </c>
      <c r="H90" s="2" cm="1">
        <f t="array" aca="1" ref="H90" ca="1">_FV(table1[[#This Row],[DataField]],"Price")</f>
        <v>347.22</v>
      </c>
      <c r="I90" s="2" cm="1">
        <f t="array" aca="1" ref="I90" ca="1">_FV(table1[[#This Row],[DataField]],"52 week low",TRUE)</f>
        <v>134.25</v>
      </c>
      <c r="J90" s="2" cm="1">
        <f t="array" aca="1" ref="J90" ca="1">_FV(table1[[#This Row],[DataField]],"52 week high",TRUE)</f>
        <v>390.20499999999998</v>
      </c>
      <c r="K90" s="4" cm="1">
        <f t="array" aca="1" ref="K90" ca="1">_FV(table1[[#This Row],[DataField]],"P/E",TRUE)</f>
        <v>32.843699999999998</v>
      </c>
      <c r="L90" s="2" t="str">
        <f ca="1">IF(table1[[#This Row],[Price]] &lt; (table1[[#This Row],[52Low]] * 0.25) + table1[[#This Row],[52Low]],  "TRUE", "FALSE")</f>
        <v>FALSE</v>
      </c>
      <c r="M90" s="2" t="str">
        <f ca="1">IF(table1[[#This Row],[Price]] &lt; (table1[[#This Row],[52Low]] * 0.1) + table1[[#This Row],[52Low]],  "TRUE", "FALSE")</f>
        <v>FALSE</v>
      </c>
      <c r="N90" s="6" cm="1">
        <f t="array" aca="1" ref="N90" ca="1">_FV(table1[[#This Row],[DataField]],"Market cap",TRUE)</f>
        <v>1800858266100</v>
      </c>
    </row>
    <row r="91" spans="1:14" x14ac:dyDescent="0.2">
      <c r="A91" t="e" vm="91">
        <v>#VALUE!</v>
      </c>
      <c r="B91" t="str" cm="1">
        <f t="array" aca="1" ref="B91" ca="1">_FV(table1[[#This Row],[DataField]],"Ticker symbol",TRUE)</f>
        <v>TSN</v>
      </c>
      <c r="C91" t="b">
        <v>1</v>
      </c>
      <c r="D91" t="s">
        <v>5</v>
      </c>
      <c r="E91" t="b">
        <v>1</v>
      </c>
      <c r="H91" s="2" cm="1">
        <f t="array" aca="1" ref="H91" ca="1">_FV(table1[[#This Row],[DataField]],"Price")</f>
        <v>62</v>
      </c>
      <c r="I91" s="2" cm="1">
        <f t="array" aca="1" ref="I91" ca="1">_FV(table1[[#This Row],[DataField]],"52 week low",TRUE)</f>
        <v>50.56</v>
      </c>
      <c r="J91" s="2" cm="1">
        <f t="array" aca="1" ref="J91" ca="1">_FV(table1[[#This Row],[DataField]],"52 week high",TRUE)</f>
        <v>66.41</v>
      </c>
      <c r="K91" s="4" cm="1">
        <f t="array" aca="1" ref="K91" ca="1">_FV(table1[[#This Row],[DataField]],"P/E",TRUE)</f>
        <v>108.71469999999999</v>
      </c>
      <c r="L91" s="2" t="str">
        <f ca="1">IF(table1[[#This Row],[Price]] &lt; (table1[[#This Row],[52Low]] * 0.25) + table1[[#This Row],[52Low]],  "TRUE", "FALSE")</f>
        <v>TRUE</v>
      </c>
      <c r="M91" s="2" t="str">
        <f ca="1">IF(table1[[#This Row],[Price]] &lt; (table1[[#This Row],[52Low]] * 0.1) + table1[[#This Row],[52Low]],  "TRUE", "FALSE")</f>
        <v>FALSE</v>
      </c>
      <c r="N91" s="6" cm="1">
        <f t="array" aca="1" ref="N91" ca="1">_FV(table1[[#This Row],[DataField]],"Market cap",TRUE)</f>
        <v>21828898000</v>
      </c>
    </row>
    <row r="92" spans="1:14" x14ac:dyDescent="0.2">
      <c r="A92" t="e" vm="92">
        <v>#VALUE!</v>
      </c>
      <c r="B92" t="str" cm="1">
        <f t="array" aca="1" ref="B92" ca="1">_FV(table1[[#This Row],[DataField]],"Ticker symbol",TRUE)</f>
        <v>TXN</v>
      </c>
      <c r="C92" t="b">
        <v>1</v>
      </c>
      <c r="D92" t="s">
        <v>6</v>
      </c>
      <c r="E92" t="b">
        <v>1</v>
      </c>
      <c r="F92">
        <v>12</v>
      </c>
      <c r="G92" t="s">
        <v>25</v>
      </c>
      <c r="H92" s="2" cm="1">
        <f t="array" aca="1" ref="H92" ca="1">_FV(table1[[#This Row],[DataField]],"Price")</f>
        <v>196.1</v>
      </c>
      <c r="I92" s="2" cm="1">
        <f t="array" aca="1" ref="I92" ca="1">_FV(table1[[#This Row],[DataField]],"52 week low",TRUE)</f>
        <v>139.94999999999999</v>
      </c>
      <c r="J92" s="2" cm="1">
        <f t="array" aca="1" ref="J92" ca="1">_FV(table1[[#This Row],[DataField]],"52 week high",TRUE)</f>
        <v>231.32</v>
      </c>
      <c r="K92" s="4" cm="1">
        <f t="array" aca="1" ref="K92" ca="1">_FV(table1[[#This Row],[DataField]],"P/E",TRUE)</f>
        <v>35.783999999999999</v>
      </c>
      <c r="L92" s="2" t="str">
        <f ca="1">IF(table1[[#This Row],[Price]] &lt; (table1[[#This Row],[52Low]] * 0.25) + table1[[#This Row],[52Low]],  "TRUE", "FALSE")</f>
        <v>FALSE</v>
      </c>
      <c r="M92" s="2" t="str">
        <f ca="1">IF(table1[[#This Row],[Price]] &lt; (table1[[#This Row],[52Low]] * 0.1) + table1[[#This Row],[52Low]],  "TRUE", "FALSE")</f>
        <v>FALSE</v>
      </c>
      <c r="N92" s="6" cm="1">
        <f t="array" aca="1" ref="N92" ca="1">_FV(table1[[#This Row],[DataField]],"Market cap",TRUE)</f>
        <v>177970711880</v>
      </c>
    </row>
    <row r="93" spans="1:14" x14ac:dyDescent="0.2">
      <c r="A93" t="e" vm="93">
        <v>#VALUE!</v>
      </c>
      <c r="B93" t="str" cm="1">
        <f t="array" aca="1" ref="B93" ca="1">_FV(table1[[#This Row],[DataField]],"Ticker symbol",TRUE)</f>
        <v>UNH</v>
      </c>
      <c r="H93" s="2" cm="1">
        <f t="array" aca="1" ref="H93" ca="1">_FV(table1[[#This Row],[DataField]],"Price")</f>
        <v>249.75</v>
      </c>
      <c r="I93" s="2" cm="1">
        <f t="array" aca="1" ref="I93" ca="1">_FV(table1[[#This Row],[DataField]],"52 week low",TRUE)</f>
        <v>168.42</v>
      </c>
      <c r="J93" s="2" cm="1">
        <f t="array" aca="1" ref="J93" ca="1">_FV(table1[[#This Row],[DataField]],"52 week high",TRUE)</f>
        <v>589.70000000000005</v>
      </c>
      <c r="K93" s="4" cm="1">
        <f t="array" aca="1" ref="K93" ca="1">_FV(table1[[#This Row],[DataField]],"P/E",TRUE)</f>
        <v>22.2395</v>
      </c>
      <c r="L93" s="2" t="str">
        <f ca="1">IF(table1[[#This Row],[Price]] &lt; (table1[[#This Row],[52Low]] * 0.25) + table1[[#This Row],[52Low]],  "TRUE", "FALSE")</f>
        <v>FALSE</v>
      </c>
      <c r="M93" s="2" t="str">
        <f ca="1">IF(table1[[#This Row],[Price]] &lt; (table1[[#This Row],[52Low]] * 0.1) + table1[[#This Row],[52Low]],  "TRUE", "FALSE")</f>
        <v>FALSE</v>
      </c>
      <c r="N93" s="6" cm="1">
        <f t="array" aca="1" ref="N93" ca="1">_FV(table1[[#This Row],[DataField]],"Market cap",TRUE)</f>
        <v>302486700000</v>
      </c>
    </row>
    <row r="94" spans="1:14" x14ac:dyDescent="0.2">
      <c r="A94" t="e" vm="94">
        <v>#VALUE!</v>
      </c>
      <c r="B94" t="str" cm="1">
        <f t="array" aca="1" ref="B94" ca="1">_FV(table1[[#This Row],[DataField]],"Ticker symbol",TRUE)</f>
        <v>UNP</v>
      </c>
      <c r="H94" s="2" cm="1">
        <f t="array" aca="1" ref="H94" ca="1">_FV(table1[[#This Row],[DataField]],"Price")</f>
        <v>261.14</v>
      </c>
      <c r="I94" s="2" cm="1">
        <f t="array" aca="1" ref="I94" ca="1">_FV(table1[[#This Row],[DataField]],"52 week low",TRUE)</f>
        <v>204.66</v>
      </c>
      <c r="J94" s="2" cm="1">
        <f t="array" aca="1" ref="J94" ca="1">_FV(table1[[#This Row],[DataField]],"52 week high",TRUE)</f>
        <v>268.14</v>
      </c>
      <c r="K94" s="4" cm="1">
        <f t="array" aca="1" ref="K94" ca="1">_FV(table1[[#This Row],[DataField]],"P/E",TRUE)</f>
        <v>21.792000000000002</v>
      </c>
      <c r="L94" s="2" t="str">
        <f ca="1">IF(table1[[#This Row],[Price]] &lt; (table1[[#This Row],[52Low]] * 0.25) + table1[[#This Row],[52Low]],  "TRUE", "FALSE")</f>
        <v>FALSE</v>
      </c>
      <c r="M94" s="2" t="str">
        <f ca="1">IF(table1[[#This Row],[Price]] &lt; (table1[[#This Row],[52Low]] * 0.1) + table1[[#This Row],[52Low]],  "TRUE", "FALSE")</f>
        <v>FALSE</v>
      </c>
      <c r="N94" s="6" cm="1">
        <f t="array" aca="1" ref="N94" ca="1">_FV(table1[[#This Row],[DataField]],"Market cap",TRUE)</f>
        <v>154958256310</v>
      </c>
    </row>
    <row r="95" spans="1:14" x14ac:dyDescent="0.2">
      <c r="A95" t="e" vm="95">
        <v>#VALUE!</v>
      </c>
      <c r="B95" t="str" cm="1">
        <f t="array" aca="1" ref="B95" ca="1">_FV(table1[[#This Row],[DataField]],"Ticker symbol",TRUE)</f>
        <v>UPS</v>
      </c>
      <c r="C95" t="b">
        <v>1</v>
      </c>
      <c r="D95" t="s">
        <v>12</v>
      </c>
      <c r="E95" t="b">
        <v>1</v>
      </c>
      <c r="H95" s="2" cm="1">
        <f t="array" aca="1" ref="H95" ca="1">_FV(table1[[#This Row],[DataField]],"Price")</f>
        <v>104.545</v>
      </c>
      <c r="I95" s="2" cm="1">
        <f t="array" aca="1" ref="I95" ca="1">_FV(table1[[#This Row],[DataField]],"52 week low",TRUE)</f>
        <v>82</v>
      </c>
      <c r="J95" s="2" cm="1">
        <f t="array" aca="1" ref="J95" ca="1">_FV(table1[[#This Row],[DataField]],"52 week high",TRUE)</f>
        <v>123.7</v>
      </c>
      <c r="K95" s="4" cm="1">
        <f t="array" aca="1" ref="K95" ca="1">_FV(table1[[#This Row],[DataField]],"P/E",TRUE)</f>
        <v>15.9358</v>
      </c>
      <c r="L95" s="2" t="str">
        <f ca="1">IF(table1[[#This Row],[Price]] &lt; (table1[[#This Row],[52Low]] * 0.25) + table1[[#This Row],[52Low]],  "TRUE", "FALSE")</f>
        <v>FALSE</v>
      </c>
      <c r="M95" s="2" t="str">
        <f ca="1">IF(table1[[#This Row],[Price]] &lt; (table1[[#This Row],[52Low]] * 0.1) + table1[[#This Row],[52Low]],  "TRUE", "FALSE")</f>
        <v>FALSE</v>
      </c>
      <c r="N95" s="6" cm="1">
        <f t="array" aca="1" ref="N95" ca="1">_FV(table1[[#This Row],[DataField]],"Market cap",TRUE)</f>
        <v>88769337226</v>
      </c>
    </row>
    <row r="96" spans="1:14" x14ac:dyDescent="0.2">
      <c r="A96" t="e" vm="96">
        <v>#VALUE!</v>
      </c>
      <c r="B96" t="str" cm="1">
        <f t="array" aca="1" ref="B96" ca="1">_FV(table1[[#This Row],[DataField]],"Ticker symbol",TRUE)</f>
        <v>V</v>
      </c>
      <c r="H96" s="2" cm="1">
        <f t="array" aca="1" ref="H96" ca="1">_FV(table1[[#This Row],[DataField]],"Price")</f>
        <v>318.14</v>
      </c>
      <c r="I96" s="2" cm="1">
        <f t="array" aca="1" ref="I96" ca="1">_FV(table1[[#This Row],[DataField]],"52 week low",TRUE)</f>
        <v>299</v>
      </c>
      <c r="J96" s="2" cm="1">
        <f t="array" aca="1" ref="J96" ca="1">_FV(table1[[#This Row],[DataField]],"52 week high",TRUE)</f>
        <v>375.51</v>
      </c>
      <c r="K96" s="4" cm="1">
        <f t="array" aca="1" ref="K96" ca="1">_FV(table1[[#This Row],[DataField]],"P/E",TRUE)</f>
        <v>29.852699999999999</v>
      </c>
      <c r="L96" s="2" t="str">
        <f ca="1">IF(table1[[#This Row],[Price]] &lt; (table1[[#This Row],[52Low]] * 0.25) + table1[[#This Row],[52Low]],  "TRUE", "FALSE")</f>
        <v>TRUE</v>
      </c>
      <c r="M96" s="2" t="str">
        <f ca="1">IF(table1[[#This Row],[Price]] &lt; (table1[[#This Row],[52Low]] * 0.1) + table1[[#This Row],[52Low]],  "TRUE", "FALSE")</f>
        <v>TRUE</v>
      </c>
      <c r="N96" s="6" cm="1">
        <f t="array" aca="1" ref="N96" ca="1">_FV(table1[[#This Row],[DataField]],"Market cap",TRUE)</f>
        <v>606377703260</v>
      </c>
    </row>
    <row r="97" spans="1:14" x14ac:dyDescent="0.2">
      <c r="A97" t="e" vm="97">
        <v>#VALUE!</v>
      </c>
      <c r="B97" t="str" cm="1">
        <f t="array" aca="1" ref="B97" ca="1">_FV(table1[[#This Row],[DataField]],"Ticker symbol",TRUE)</f>
        <v>VICI</v>
      </c>
      <c r="H97" s="2" cm="1">
        <f t="array" aca="1" ref="H97" ca="1">_FV(table1[[#This Row],[DataField]],"Price")</f>
        <v>29.63</v>
      </c>
      <c r="I97" s="2" cm="1">
        <f t="array" aca="1" ref="I97" ca="1">_FV(table1[[#This Row],[DataField]],"52 week low",TRUE)</f>
        <v>27.48</v>
      </c>
      <c r="J97" s="2" cm="1">
        <f t="array" aca="1" ref="J97" ca="1">_FV(table1[[#This Row],[DataField]],"52 week high",TRUE)</f>
        <v>34.03</v>
      </c>
      <c r="K97" s="4" cm="1">
        <f t="array" aca="1" ref="K97" ca="1">_FV(table1[[#This Row],[DataField]],"P/E",TRUE)</f>
        <v>11.3438</v>
      </c>
      <c r="L97" s="2" t="str">
        <f ca="1">IF(table1[[#This Row],[Price]] &lt; (table1[[#This Row],[52Low]] * 0.25) + table1[[#This Row],[52Low]],  "TRUE", "FALSE")</f>
        <v>TRUE</v>
      </c>
      <c r="M97" s="7" t="str">
        <f ca="1">IF(table1[[#This Row],[Price]] &lt; (table1[[#This Row],[52Low]] * 0.1) + table1[[#This Row],[52Low]],  "TRUE", "FALSE")</f>
        <v>TRUE</v>
      </c>
      <c r="N97" s="6" cm="1">
        <f t="array" aca="1" ref="N97" ca="1">_FV(table1[[#This Row],[DataField]],"Market cap",TRUE)</f>
        <v>31666677310</v>
      </c>
    </row>
    <row r="98" spans="1:14" x14ac:dyDescent="0.2">
      <c r="A98" t="e" vm="98">
        <v>#VALUE!</v>
      </c>
      <c r="B98" t="str" cm="1">
        <f t="array" aca="1" ref="B98" ca="1">_FV(table1[[#This Row],[DataField]],"Ticker symbol",TRUE)</f>
        <v>VZ</v>
      </c>
      <c r="C98" t="b">
        <v>1</v>
      </c>
      <c r="D98" t="s">
        <v>10</v>
      </c>
      <c r="E98" t="b">
        <v>1</v>
      </c>
      <c r="H98" s="2" cm="1">
        <f t="array" aca="1" ref="H98" ca="1">_FV(table1[[#This Row],[DataField]],"Price")</f>
        <v>51.19</v>
      </c>
      <c r="I98" s="2" cm="1">
        <f t="array" aca="1" ref="I98" ca="1">_FV(table1[[#This Row],[DataField]],"52 week low",TRUE)</f>
        <v>38.39</v>
      </c>
      <c r="J98" s="2" cm="1">
        <f t="array" aca="1" ref="J98" ca="1">_FV(table1[[#This Row],[DataField]],"52 week high",TRUE)</f>
        <v>51.41</v>
      </c>
      <c r="K98" s="4" cm="1">
        <f t="array" aca="1" ref="K98" ca="1">_FV(table1[[#This Row],[DataField]],"P/E",TRUE)</f>
        <v>12.6084</v>
      </c>
      <c r="L98" s="2" t="str">
        <f ca="1">IF(table1[[#This Row],[Price]] &lt; (table1[[#This Row],[52Low]] * 0.25) + table1[[#This Row],[52Low]],  "TRUE", "FALSE")</f>
        <v>FALSE</v>
      </c>
      <c r="M98" s="2" t="str">
        <f ca="1">IF(table1[[#This Row],[Price]] &lt; (table1[[#This Row],[52Low]] * 0.1) + table1[[#This Row],[52Low]],  "TRUE", "FALSE")</f>
        <v>FALSE</v>
      </c>
      <c r="N98" s="6" cm="1">
        <f t="array" aca="1" ref="N98" ca="1">_FV(table1[[#This Row],[DataField]],"Market cap",TRUE)</f>
        <v>215903243960</v>
      </c>
    </row>
    <row r="99" spans="1:14" x14ac:dyDescent="0.2">
      <c r="A99" t="e" vm="99">
        <v>#VALUE!</v>
      </c>
      <c r="B99" t="str" cm="1">
        <f t="array" aca="1" ref="B99" ca="1">_FV(table1[[#This Row],[DataField]],"Ticker symbol",TRUE)</f>
        <v>WMT</v>
      </c>
      <c r="H99" s="2" cm="1">
        <f t="array" aca="1" ref="H99" ca="1">_FV(table1[[#This Row],[DataField]],"Price")</f>
        <v>122.2201</v>
      </c>
      <c r="I99" s="2" cm="1">
        <f t="array" aca="1" ref="I99" ca="1">_FV(table1[[#This Row],[DataField]],"52 week low",TRUE)</f>
        <v>79.81</v>
      </c>
      <c r="J99" s="2" cm="1">
        <f t="array" aca="1" ref="J99" ca="1">_FV(table1[[#This Row],[DataField]],"52 week high",TRUE)</f>
        <v>134.69</v>
      </c>
      <c r="K99" s="4" cm="1">
        <f t="array" aca="1" ref="K99" ca="1">_FV(table1[[#This Row],[DataField]],"P/E",TRUE)</f>
        <v>44.7742</v>
      </c>
      <c r="L99" s="2" t="str">
        <f ca="1">IF(table1[[#This Row],[Price]] &lt; (table1[[#This Row],[52Low]] * 0.25) + table1[[#This Row],[52Low]],  "TRUE", "FALSE")</f>
        <v>FALSE</v>
      </c>
      <c r="M99" s="2" t="str">
        <f ca="1">IF(table1[[#This Row],[Price]] &lt; (table1[[#This Row],[52Low]] * 0.1) + table1[[#This Row],[52Low]],  "TRUE", "FALSE")</f>
        <v>FALSE</v>
      </c>
      <c r="N99" s="6" cm="1">
        <f t="array" aca="1" ref="N99" ca="1">_FV(table1[[#This Row],[DataField]],"Market cap",TRUE)</f>
        <v>974114607756</v>
      </c>
    </row>
    <row r="100" spans="1:14" x14ac:dyDescent="0.2">
      <c r="A100" t="e" vm="100">
        <v>#VALUE!</v>
      </c>
      <c r="B100" t="str" cm="1">
        <f t="array" aca="1" ref="B100" ca="1">_FV(table1[[#This Row],[DataField]],"Ticker symbol",TRUE)</f>
        <v>XOM</v>
      </c>
      <c r="H100" s="2" cm="1">
        <f t="array" aca="1" ref="H100" ca="1">_FV(table1[[#This Row],[DataField]],"Price")</f>
        <v>149.91499999999999</v>
      </c>
      <c r="I100" s="2" cm="1">
        <f t="array" aca="1" ref="I100" ca="1">_FV(table1[[#This Row],[DataField]],"52 week low",TRUE)</f>
        <v>97.8</v>
      </c>
      <c r="J100" s="2" cm="1">
        <f t="array" aca="1" ref="J100" ca="1">_FV(table1[[#This Row],[DataField]],"52 week high",TRUE)</f>
        <v>159.60499999999999</v>
      </c>
      <c r="K100" s="4" cm="1">
        <f t="array" aca="1" ref="K100" ca="1">_FV(table1[[#This Row],[DataField]],"P/E",TRUE)</f>
        <v>22.4407</v>
      </c>
      <c r="L100" s="2" t="str">
        <f ca="1">IF(table1[[#This Row],[Price]] &lt; (table1[[#This Row],[52Low]] * 0.25) + table1[[#This Row],[52Low]],  "TRUE", "FALSE")</f>
        <v>FALSE</v>
      </c>
      <c r="M100" s="2" t="str">
        <f ca="1">IF(table1[[#This Row],[Price]] &lt; (table1[[#This Row],[52Low]] * 0.1) + table1[[#This Row],[52Low]],  "TRUE", "FALSE")</f>
        <v>FALSE</v>
      </c>
      <c r="N100" s="6" cm="1">
        <f t="array" aca="1" ref="N100" ca="1">_FV(table1[[#This Row],[DataField]],"Market cap",TRUE)</f>
        <v>624660425060</v>
      </c>
    </row>
    <row r="101" spans="1:14" x14ac:dyDescent="0.2">
      <c r="A101" t="e" vm="101">
        <v>#VALUE!</v>
      </c>
      <c r="B101" t="str" cm="1">
        <f t="array" aca="1" ref="B101" ca="1">_FV(table1[[#This Row],[DataField]],"Ticker symbol",TRUE)</f>
        <v>ZTS</v>
      </c>
      <c r="H101" s="2" cm="1">
        <f t="array" aca="1" ref="H101" ca="1">_FV(table1[[#This Row],[DataField]],"Price")</f>
        <v>122.79</v>
      </c>
      <c r="I101" s="2" cm="1">
        <f t="array" aca="1" ref="I101" ca="1">_FV(table1[[#This Row],[DataField]],"52 week low",TRUE)</f>
        <v>115.25</v>
      </c>
      <c r="J101" s="2" cm="1">
        <f t="array" aca="1" ref="J101" ca="1">_FV(table1[[#This Row],[DataField]],"52 week high",TRUE)</f>
        <v>177</v>
      </c>
      <c r="K101" s="4" cm="1">
        <f t="array" aca="1" ref="K101" ca="1">_FV(table1[[#This Row],[DataField]],"P/E",TRUE)</f>
        <v>20.3902</v>
      </c>
      <c r="L101" s="2" t="str">
        <f ca="1">IF(table1[[#This Row],[Price]] &lt; (table1[[#This Row],[52Low]] * 0.25) + table1[[#This Row],[52Low]],  "TRUE", "FALSE")</f>
        <v>TRUE</v>
      </c>
      <c r="M101" s="2" t="str">
        <f ca="1">IF(table1[[#This Row],[Price]] &lt; (table1[[#This Row],[52Low]] * 0.1) + table1[[#This Row],[52Low]],  "TRUE", "FALSE")</f>
        <v>TRUE</v>
      </c>
      <c r="N101" s="6" cm="1">
        <f t="array" aca="1" ref="N101" ca="1">_FV(table1[[#This Row],[DataField]],"Market cap",TRUE)</f>
        <v>51833060283</v>
      </c>
    </row>
    <row r="102" spans="1:14" x14ac:dyDescent="0.2">
      <c r="A102" t="e" vm="102">
        <v>#VALUE!</v>
      </c>
      <c r="B102" t="str" cm="1">
        <f t="array" aca="1" ref="B102" ca="1">_FV(table1[[#This Row],[DataField]],"Ticker symbol",TRUE)</f>
        <v>NSRGY</v>
      </c>
      <c r="H102" s="2" cm="1">
        <f t="array" aca="1" ref="H102" ca="1">_FV(table1[[#This Row],[DataField]],"Price")</f>
        <v>102.48</v>
      </c>
      <c r="I102" s="2" cm="1">
        <f t="array" aca="1" ref="I102" ca="1">_FV(table1[[#This Row],[DataField]],"52 week low",TRUE)</f>
        <v>86.98</v>
      </c>
      <c r="J102" s="2" cm="1">
        <f t="array" aca="1" ref="J102" ca="1">_FV(table1[[#This Row],[DataField]],"52 week high",TRUE)</f>
        <v>109.59</v>
      </c>
      <c r="K102" s="4" cm="1">
        <f t="array" aca="1" ref="K102" ca="1">_FV(table1[[#This Row],[DataField]],"P/E",TRUE)</f>
        <v>23.1279</v>
      </c>
      <c r="L102" s="2" t="str">
        <f ca="1">IF(table1[[#This Row],[Price]] &lt; (table1[[#This Row],[52Low]] * 0.25) + table1[[#This Row],[52Low]],  "TRUE", "FALSE")</f>
        <v>TRUE</v>
      </c>
      <c r="M102" s="7" t="str">
        <f ca="1">IF(table1[[#This Row],[Price]] &lt; (table1[[#This Row],[52Low]] * 0.1) + table1[[#This Row],[52Low]],  "TRUE", "FALSE")</f>
        <v>FALSE</v>
      </c>
      <c r="N102" s="6" cm="1">
        <f t="array" aca="1" ref="N102" ca="1">_FV(table1[[#This Row],[DataField]],"Market cap",TRUE)</f>
        <v>264041769600</v>
      </c>
    </row>
  </sheetData>
  <phoneticPr fontId="2" type="noConversion"/>
  <conditionalFormatting sqref="B1:B1048576">
    <cfRule type="duplicateValues" dxfId="1" priority="1"/>
  </conditionalFormatting>
  <conditionalFormatting sqref="L1:M102 N95:N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2026-03-05T19:09:07Z</dcterms:modified>
</cp:coreProperties>
</file>