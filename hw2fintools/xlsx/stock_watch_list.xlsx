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9A7BEF2F-662B-2743-8D7F-82C36069DA5A}" xr6:coauthVersionLast="47" xr6:coauthVersionMax="47" xr10:uidLastSave="{00000000-0000-0000-0000-000000000000}"/>
  <bookViews>
    <workbookView xWindow="0" yWindow="760" windowWidth="34560" windowHeight="2158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a="1"/>
  <c r="K3" i="1" s="1"/>
  <c r="K4" i="1" a="1"/>
  <c r="K4" i="1" s="1"/>
  <c r="K5" i="1" a="1"/>
  <c r="K5" i="1" s="1"/>
  <c r="K6" i="1" a="1"/>
  <c r="K6" i="1" s="1"/>
  <c r="K7" i="1" a="1"/>
  <c r="K7" i="1" s="1"/>
  <c r="K8" i="1" a="1"/>
  <c r="K8" i="1" s="1"/>
  <c r="K9" i="1" a="1"/>
  <c r="K9" i="1"/>
  <c r="K10" i="1" a="1"/>
  <c r="K10" i="1" s="1"/>
  <c r="K11" i="1" a="1"/>
  <c r="K11" i="1" s="1"/>
  <c r="K12" i="1" a="1"/>
  <c r="K12" i="1" s="1"/>
  <c r="K13" i="1" a="1"/>
  <c r="K13" i="1" s="1"/>
  <c r="K14" i="1" a="1"/>
  <c r="K14" i="1" s="1"/>
  <c r="K15" i="1" a="1"/>
  <c r="K15" i="1" s="1"/>
  <c r="K16" i="1" a="1"/>
  <c r="K16" i="1" s="1"/>
  <c r="K17" i="1" a="1"/>
  <c r="K17" i="1" s="1"/>
  <c r="K18" i="1" a="1"/>
  <c r="K18" i="1" s="1"/>
  <c r="K19" i="1" a="1"/>
  <c r="K19" i="1" s="1"/>
  <c r="K20" i="1" a="1"/>
  <c r="K20" i="1" s="1"/>
  <c r="K21" i="1" a="1"/>
  <c r="K21" i="1" s="1"/>
  <c r="K22" i="1" a="1"/>
  <c r="K22" i="1" s="1"/>
  <c r="K23" i="1" a="1"/>
  <c r="K23" i="1" s="1"/>
  <c r="K24" i="1" a="1"/>
  <c r="K24" i="1" s="1"/>
  <c r="K25" i="1" a="1"/>
  <c r="K25" i="1" s="1"/>
  <c r="K26" i="1" a="1"/>
  <c r="K26" i="1" s="1"/>
  <c r="K27" i="1" a="1"/>
  <c r="K27" i="1" s="1"/>
  <c r="K28" i="1" a="1"/>
  <c r="K28" i="1" s="1"/>
  <c r="K29" i="1" a="1"/>
  <c r="K29" i="1" s="1"/>
  <c r="K30" i="1" a="1"/>
  <c r="K30" i="1" s="1"/>
  <c r="K31" i="1" a="1"/>
  <c r="K31" i="1" s="1"/>
  <c r="K32" i="1" a="1"/>
  <c r="K32" i="1" s="1"/>
  <c r="K33" i="1" a="1"/>
  <c r="K33" i="1" s="1"/>
  <c r="K34" i="1" a="1"/>
  <c r="K34" i="1" s="1"/>
  <c r="K35" i="1" a="1"/>
  <c r="K35" i="1" s="1"/>
  <c r="K36" i="1" a="1"/>
  <c r="K36" i="1" s="1"/>
  <c r="K37" i="1" a="1"/>
  <c r="K37" i="1" s="1"/>
  <c r="K38" i="1" a="1"/>
  <c r="K38" i="1" s="1"/>
  <c r="K39" i="1" a="1"/>
  <c r="K39" i="1" s="1"/>
  <c r="K40" i="1" a="1"/>
  <c r="K40" i="1" s="1"/>
  <c r="K41" i="1" a="1"/>
  <c r="K41" i="1" s="1"/>
  <c r="K42" i="1" a="1"/>
  <c r="K42" i="1" s="1"/>
  <c r="K43" i="1" a="1"/>
  <c r="K43" i="1" s="1"/>
  <c r="K44" i="1" a="1"/>
  <c r="K44" i="1" s="1"/>
  <c r="K45" i="1" a="1"/>
  <c r="K45" i="1" s="1"/>
  <c r="K46" i="1" a="1"/>
  <c r="K46" i="1" s="1"/>
  <c r="K47" i="1" a="1"/>
  <c r="K47" i="1" s="1"/>
  <c r="K48" i="1" a="1"/>
  <c r="K48" i="1" s="1"/>
  <c r="K49" i="1" a="1"/>
  <c r="K49" i="1" s="1"/>
  <c r="K50" i="1" a="1"/>
  <c r="K50" i="1" s="1"/>
  <c r="K51" i="1" a="1"/>
  <c r="K51" i="1" s="1"/>
  <c r="K52" i="1" a="1"/>
  <c r="K52" i="1" s="1"/>
  <c r="K53" i="1" a="1"/>
  <c r="K53" i="1" s="1"/>
  <c r="K54" i="1" a="1"/>
  <c r="K54" i="1" s="1"/>
  <c r="K55" i="1" a="1"/>
  <c r="K55" i="1" s="1"/>
  <c r="K56" i="1" a="1"/>
  <c r="K56" i="1" s="1"/>
  <c r="K57" i="1" a="1"/>
  <c r="K57" i="1" s="1"/>
  <c r="K58" i="1" a="1"/>
  <c r="K58" i="1" s="1"/>
  <c r="K59" i="1" a="1"/>
  <c r="K59"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K71" i="1" a="1"/>
  <c r="K71" i="1" s="1"/>
  <c r="K72" i="1" a="1"/>
  <c r="K72" i="1" s="1"/>
  <c r="K73" i="1" a="1"/>
  <c r="K73" i="1" s="1"/>
  <c r="K74" i="1" a="1"/>
  <c r="K74" i="1" s="1"/>
  <c r="K75" i="1" a="1"/>
  <c r="K75" i="1" s="1"/>
  <c r="K76" i="1" a="1"/>
  <c r="K76" i="1" s="1"/>
  <c r="K77" i="1" a="1"/>
  <c r="K77" i="1" s="1"/>
  <c r="K78" i="1" a="1"/>
  <c r="K78" i="1" s="1"/>
  <c r="K79" i="1" a="1"/>
  <c r="K79" i="1" s="1"/>
  <c r="K80" i="1" a="1"/>
  <c r="K80" i="1" s="1"/>
  <c r="K81" i="1" a="1"/>
  <c r="K81" i="1" s="1"/>
  <c r="K82" i="1" a="1"/>
  <c r="K82" i="1" s="1"/>
  <c r="K83" i="1" a="1"/>
  <c r="K83" i="1" s="1"/>
  <c r="K84" i="1" a="1"/>
  <c r="K84" i="1" s="1"/>
  <c r="K85" i="1" a="1"/>
  <c r="K85" i="1" s="1"/>
  <c r="K86" i="1" a="1"/>
  <c r="K86" i="1" s="1"/>
  <c r="K87" i="1" a="1"/>
  <c r="K87" i="1" s="1"/>
  <c r="K88" i="1" a="1"/>
  <c r="K88" i="1" s="1"/>
  <c r="K89" i="1" a="1"/>
  <c r="K89" i="1" s="1"/>
  <c r="K90" i="1" a="1"/>
  <c r="K90" i="1" s="1"/>
  <c r="K91" i="1" a="1"/>
  <c r="K91" i="1" s="1"/>
  <c r="K92" i="1" a="1"/>
  <c r="K92" i="1" s="1"/>
  <c r="K93" i="1" a="1"/>
  <c r="K93" i="1" s="1"/>
  <c r="K94" i="1" a="1"/>
  <c r="K94" i="1" s="1"/>
  <c r="K2" i="1" a="1"/>
  <c r="K2" i="1" s="1"/>
  <c r="B94" i="1" a="1"/>
  <c r="B94" i="1" s="1"/>
  <c r="H94" i="1" a="1"/>
  <c r="H94" i="1" s="1"/>
  <c r="I94" i="1" a="1"/>
  <c r="I94" i="1" s="1"/>
  <c r="J94" i="1" a="1"/>
  <c r="J94" i="1" s="1"/>
  <c r="N94" i="1" a="1"/>
  <c r="N94" i="1" s="1"/>
  <c r="B93" i="1" a="1"/>
  <c r="B93" i="1" s="1"/>
  <c r="H93" i="1" a="1"/>
  <c r="H93" i="1" s="1"/>
  <c r="I93" i="1" a="1"/>
  <c r="I93" i="1" s="1"/>
  <c r="J93" i="1" a="1"/>
  <c r="J93" i="1" s="1"/>
  <c r="N93" i="1" a="1"/>
  <c r="N93" i="1" s="1"/>
  <c r="B92" i="1" a="1"/>
  <c r="B92" i="1" s="1"/>
  <c r="H92" i="1" a="1"/>
  <c r="H92" i="1" s="1"/>
  <c r="I92" i="1" a="1"/>
  <c r="I92" i="1" s="1"/>
  <c r="J92" i="1" a="1"/>
  <c r="J92" i="1" s="1"/>
  <c r="N92" i="1" a="1"/>
  <c r="N92" i="1" s="1"/>
  <c r="B89" i="1" a="1"/>
  <c r="B89" i="1" s="1"/>
  <c r="H89" i="1" a="1"/>
  <c r="H89" i="1" s="1"/>
  <c r="I89" i="1" a="1"/>
  <c r="I89" i="1" s="1"/>
  <c r="J89" i="1" a="1"/>
  <c r="J89" i="1" s="1"/>
  <c r="N89" i="1" a="1"/>
  <c r="N89" i="1" s="1"/>
  <c r="B69" i="1" a="1"/>
  <c r="B69" i="1" s="1"/>
  <c r="H69" i="1" a="1"/>
  <c r="H69" i="1" s="1"/>
  <c r="I69" i="1" a="1"/>
  <c r="I69" i="1" s="1"/>
  <c r="J69" i="1" a="1"/>
  <c r="J69" i="1" s="1"/>
  <c r="N69" i="1" a="1"/>
  <c r="N69" i="1" s="1"/>
  <c r="B18" i="1" a="1"/>
  <c r="B18" i="1" s="1"/>
  <c r="H18" i="1" a="1"/>
  <c r="H18" i="1" s="1"/>
  <c r="I18" i="1" a="1"/>
  <c r="I18" i="1" s="1"/>
  <c r="J18" i="1" a="1"/>
  <c r="J18" i="1" s="1"/>
  <c r="N18" i="1" a="1"/>
  <c r="N18" i="1" s="1"/>
  <c r="B7" i="1" a="1"/>
  <c r="B7" i="1" s="1"/>
  <c r="H7" i="1" a="1"/>
  <c r="H7" i="1" s="1"/>
  <c r="I7" i="1" a="1"/>
  <c r="I7" i="1" s="1"/>
  <c r="J7" i="1" a="1"/>
  <c r="J7" i="1" s="1"/>
  <c r="N7" i="1" a="1"/>
  <c r="N7" i="1" s="1"/>
  <c r="B81" i="1" a="1"/>
  <c r="B81" i="1" s="1"/>
  <c r="H81" i="1" a="1"/>
  <c r="H81" i="1" s="1"/>
  <c r="I81" i="1" a="1"/>
  <c r="I81" i="1" s="1"/>
  <c r="J81" i="1" a="1"/>
  <c r="J81" i="1" s="1"/>
  <c r="N81" i="1" a="1"/>
  <c r="N81" i="1" s="1"/>
  <c r="B77" i="1" a="1"/>
  <c r="B77" i="1" s="1"/>
  <c r="H77" i="1" a="1"/>
  <c r="H77" i="1" s="1"/>
  <c r="I77" i="1" a="1"/>
  <c r="I77" i="1" s="1"/>
  <c r="J77" i="1" a="1"/>
  <c r="J77" i="1" s="1"/>
  <c r="N77" i="1" a="1"/>
  <c r="N77" i="1" s="1"/>
  <c r="B12" i="1" a="1"/>
  <c r="B12" i="1" s="1"/>
  <c r="H12" i="1" a="1"/>
  <c r="H12" i="1" s="1"/>
  <c r="I12" i="1" a="1"/>
  <c r="I12" i="1" s="1"/>
  <c r="J12" i="1" a="1"/>
  <c r="J12" i="1" s="1"/>
  <c r="N12" i="1" a="1"/>
  <c r="N12" i="1" s="1"/>
  <c r="B56" i="1" a="1"/>
  <c r="B56" i="1" s="1"/>
  <c r="H56" i="1" a="1"/>
  <c r="H56" i="1" s="1"/>
  <c r="I56" i="1" a="1"/>
  <c r="I56" i="1" s="1"/>
  <c r="J56" i="1" a="1"/>
  <c r="J56" i="1" s="1"/>
  <c r="N56" i="1" a="1"/>
  <c r="N56" i="1" s="1"/>
  <c r="B91" i="1" a="1"/>
  <c r="B91" i="1" s="1"/>
  <c r="H91" i="1" a="1"/>
  <c r="H91" i="1" s="1"/>
  <c r="I91" i="1" a="1"/>
  <c r="I91" i="1" s="1"/>
  <c r="J91" i="1" a="1"/>
  <c r="J91" i="1" s="1"/>
  <c r="N91" i="1" a="1"/>
  <c r="N91" i="1" s="1"/>
  <c r="B62" i="1" a="1"/>
  <c r="B62" i="1" s="1"/>
  <c r="H62" i="1" a="1"/>
  <c r="H62" i="1" s="1"/>
  <c r="I62" i="1" a="1"/>
  <c r="I62" i="1" s="1"/>
  <c r="J62" i="1" a="1"/>
  <c r="J62" i="1" s="1"/>
  <c r="N62" i="1" a="1"/>
  <c r="N62" i="1" s="1"/>
  <c r="B6" i="1" a="1"/>
  <c r="B6" i="1" s="1"/>
  <c r="H6" i="1" a="1"/>
  <c r="H6" i="1" s="1"/>
  <c r="I6" i="1" a="1"/>
  <c r="I6" i="1" s="1"/>
  <c r="J6" i="1" a="1"/>
  <c r="J6" i="1" s="1"/>
  <c r="N6" i="1" a="1"/>
  <c r="N6" i="1" s="1"/>
  <c r="B60" i="1" a="1"/>
  <c r="B60" i="1" s="1"/>
  <c r="H60" i="1" a="1"/>
  <c r="H60" i="1" s="1"/>
  <c r="I60" i="1" a="1"/>
  <c r="I60" i="1" s="1"/>
  <c r="J60" i="1" a="1"/>
  <c r="J60" i="1" s="1"/>
  <c r="N60" i="1" a="1"/>
  <c r="N60" i="1" s="1"/>
  <c r="B10" i="1" a="1"/>
  <c r="B10" i="1" s="1"/>
  <c r="H10" i="1" a="1"/>
  <c r="H10" i="1" s="1"/>
  <c r="I10" i="1" a="1"/>
  <c r="I10" i="1" s="1"/>
  <c r="J10" i="1" a="1"/>
  <c r="J10" i="1" s="1"/>
  <c r="N10" i="1" a="1"/>
  <c r="N10" i="1" s="1"/>
  <c r="B90" i="1" a="1"/>
  <c r="B90" i="1" s="1"/>
  <c r="H90" i="1" a="1"/>
  <c r="H90" i="1" s="1"/>
  <c r="I90" i="1" a="1"/>
  <c r="I90" i="1" s="1"/>
  <c r="J90" i="1" a="1"/>
  <c r="J90" i="1" s="1"/>
  <c r="N90" i="1" a="1"/>
  <c r="N90" i="1" s="1"/>
  <c r="B87" i="1" a="1"/>
  <c r="B87" i="1" s="1"/>
  <c r="H87" i="1" a="1"/>
  <c r="H87" i="1" s="1"/>
  <c r="I87" i="1" a="1"/>
  <c r="I87" i="1" s="1"/>
  <c r="J87" i="1" a="1"/>
  <c r="J87" i="1" s="1"/>
  <c r="N87" i="1" a="1"/>
  <c r="N87" i="1" s="1"/>
  <c r="B84" i="1" a="1"/>
  <c r="B84" i="1" s="1"/>
  <c r="H84" i="1" a="1"/>
  <c r="H84" i="1" s="1"/>
  <c r="I84" i="1" a="1"/>
  <c r="I84" i="1" s="1"/>
  <c r="J84" i="1" a="1"/>
  <c r="J84" i="1" s="1"/>
  <c r="N84" i="1" a="1"/>
  <c r="N84" i="1" s="1"/>
  <c r="B85" i="1" a="1"/>
  <c r="B85" i="1" s="1"/>
  <c r="H85" i="1" a="1"/>
  <c r="H85" i="1" s="1"/>
  <c r="I85" i="1" a="1"/>
  <c r="I85" i="1" s="1"/>
  <c r="J85" i="1" a="1"/>
  <c r="J85" i="1" s="1"/>
  <c r="N85" i="1" a="1"/>
  <c r="N85" i="1" s="1"/>
  <c r="B79" i="1" a="1"/>
  <c r="B79" i="1" s="1"/>
  <c r="H79" i="1" a="1"/>
  <c r="H79" i="1" s="1"/>
  <c r="I79" i="1" a="1"/>
  <c r="I79" i="1" s="1"/>
  <c r="J79" i="1" a="1"/>
  <c r="J79" i="1" s="1"/>
  <c r="N79" i="1" a="1"/>
  <c r="N79" i="1" s="1"/>
  <c r="B75" i="1" a="1"/>
  <c r="B75" i="1" s="1"/>
  <c r="H75" i="1" a="1"/>
  <c r="H75" i="1" s="1"/>
  <c r="I75" i="1" a="1"/>
  <c r="I75" i="1" s="1"/>
  <c r="J75" i="1" a="1"/>
  <c r="J75" i="1" s="1"/>
  <c r="N75" i="1" a="1"/>
  <c r="N75" i="1" s="1"/>
  <c r="B74" i="1" a="1"/>
  <c r="B74" i="1" s="1"/>
  <c r="H74" i="1" a="1"/>
  <c r="H74" i="1" s="1"/>
  <c r="I74" i="1" a="1"/>
  <c r="I74" i="1" s="1"/>
  <c r="J74" i="1" a="1"/>
  <c r="J74" i="1" s="1"/>
  <c r="N74" i="1" a="1"/>
  <c r="N74" i="1" s="1"/>
  <c r="B72" i="1" a="1"/>
  <c r="B72" i="1" s="1"/>
  <c r="H72" i="1" a="1"/>
  <c r="H72" i="1" s="1"/>
  <c r="I72" i="1" a="1"/>
  <c r="I72" i="1" s="1"/>
  <c r="J72" i="1" a="1"/>
  <c r="J72" i="1" s="1"/>
  <c r="N72" i="1" a="1"/>
  <c r="N72" i="1" s="1"/>
  <c r="B71" i="1" a="1"/>
  <c r="B71" i="1" s="1"/>
  <c r="H71" i="1" a="1"/>
  <c r="H71" i="1" s="1"/>
  <c r="I71" i="1" a="1"/>
  <c r="I71" i="1" s="1"/>
  <c r="J71" i="1" a="1"/>
  <c r="J71" i="1" s="1"/>
  <c r="N71" i="1" a="1"/>
  <c r="N71" i="1" s="1"/>
  <c r="B70" i="1" a="1"/>
  <c r="B70" i="1" s="1"/>
  <c r="H70" i="1" a="1"/>
  <c r="H70" i="1" s="1"/>
  <c r="I70" i="1" a="1"/>
  <c r="I70" i="1" s="1"/>
  <c r="J70" i="1" a="1"/>
  <c r="J70" i="1" s="1"/>
  <c r="N70" i="1" a="1"/>
  <c r="N70" i="1" s="1"/>
  <c r="B65" i="1" a="1"/>
  <c r="B65" i="1" s="1"/>
  <c r="H65" i="1" a="1"/>
  <c r="H65" i="1" s="1"/>
  <c r="I65" i="1" a="1"/>
  <c r="I65" i="1" s="1"/>
  <c r="J65" i="1" a="1"/>
  <c r="J65" i="1" s="1"/>
  <c r="N65" i="1" a="1"/>
  <c r="N65" i="1" s="1"/>
  <c r="B61" i="1" a="1"/>
  <c r="B61" i="1" s="1"/>
  <c r="H61" i="1" a="1"/>
  <c r="H61" i="1" s="1"/>
  <c r="I61" i="1" a="1"/>
  <c r="I61" i="1" s="1"/>
  <c r="J61" i="1" a="1"/>
  <c r="J61" i="1" s="1"/>
  <c r="N61" i="1" a="1"/>
  <c r="N61" i="1" s="1"/>
  <c r="B54" i="1" a="1"/>
  <c r="B54" i="1" s="1"/>
  <c r="H54" i="1" a="1"/>
  <c r="H54" i="1" s="1"/>
  <c r="I54" i="1" a="1"/>
  <c r="I54" i="1" s="1"/>
  <c r="J54" i="1" a="1"/>
  <c r="J54" i="1" s="1"/>
  <c r="N54" i="1" a="1"/>
  <c r="N54" i="1" s="1"/>
  <c r="B49" i="1" a="1"/>
  <c r="B49" i="1" s="1"/>
  <c r="H49" i="1" a="1"/>
  <c r="H49" i="1" s="1"/>
  <c r="I49" i="1" a="1"/>
  <c r="I49" i="1" s="1"/>
  <c r="J49" i="1" a="1"/>
  <c r="J49" i="1" s="1"/>
  <c r="N49" i="1" a="1"/>
  <c r="N49" i="1" s="1"/>
  <c r="B48" i="1" a="1"/>
  <c r="B48" i="1" s="1"/>
  <c r="H48" i="1" a="1"/>
  <c r="H48" i="1" s="1"/>
  <c r="I48" i="1" a="1"/>
  <c r="I48" i="1" s="1"/>
  <c r="J48" i="1" a="1"/>
  <c r="J48" i="1" s="1"/>
  <c r="N48" i="1" a="1"/>
  <c r="N48" i="1" s="1"/>
  <c r="B45" i="1" a="1"/>
  <c r="B45" i="1" s="1"/>
  <c r="H45" i="1" a="1"/>
  <c r="H45" i="1" s="1"/>
  <c r="I45" i="1" a="1"/>
  <c r="I45" i="1" s="1"/>
  <c r="J45" i="1" a="1"/>
  <c r="J45" i="1" s="1"/>
  <c r="N45" i="1" a="1"/>
  <c r="N45" i="1" s="1"/>
  <c r="B44" i="1" a="1"/>
  <c r="B44" i="1" s="1"/>
  <c r="H44" i="1" a="1"/>
  <c r="H44" i="1" s="1"/>
  <c r="I44" i="1" a="1"/>
  <c r="I44" i="1" s="1"/>
  <c r="J44" i="1" a="1"/>
  <c r="J44" i="1" s="1"/>
  <c r="N44" i="1" a="1"/>
  <c r="N44" i="1" s="1"/>
  <c r="B42" i="1" a="1"/>
  <c r="B42" i="1" s="1"/>
  <c r="H42" i="1" a="1"/>
  <c r="H42" i="1" s="1"/>
  <c r="I42" i="1" a="1"/>
  <c r="I42" i="1" s="1"/>
  <c r="J42" i="1" a="1"/>
  <c r="J42" i="1" s="1"/>
  <c r="N42" i="1" a="1"/>
  <c r="N42" i="1" s="1"/>
  <c r="B39" i="1" a="1"/>
  <c r="B39" i="1" s="1"/>
  <c r="H39" i="1" a="1"/>
  <c r="H39" i="1" s="1"/>
  <c r="I39" i="1" a="1"/>
  <c r="I39" i="1" s="1"/>
  <c r="J39" i="1" a="1"/>
  <c r="J39" i="1" s="1"/>
  <c r="N39" i="1" a="1"/>
  <c r="N39" i="1" s="1"/>
  <c r="B37" i="1" a="1"/>
  <c r="B37" i="1" s="1"/>
  <c r="H37" i="1" a="1"/>
  <c r="H37" i="1" s="1"/>
  <c r="I37" i="1" a="1"/>
  <c r="I37" i="1" s="1"/>
  <c r="J37" i="1" a="1"/>
  <c r="J37" i="1" s="1"/>
  <c r="N37" i="1" a="1"/>
  <c r="N37" i="1" s="1"/>
  <c r="B36" i="1" a="1"/>
  <c r="B36" i="1" s="1"/>
  <c r="H36" i="1" a="1"/>
  <c r="H36" i="1" s="1"/>
  <c r="I36" i="1" a="1"/>
  <c r="I36" i="1" s="1"/>
  <c r="J36" i="1" a="1"/>
  <c r="J36" i="1" s="1"/>
  <c r="N36" i="1" a="1"/>
  <c r="N36" i="1" s="1"/>
  <c r="B35" i="1" a="1"/>
  <c r="B35" i="1" s="1"/>
  <c r="H35" i="1" a="1"/>
  <c r="H35" i="1" s="1"/>
  <c r="I35" i="1" a="1"/>
  <c r="I35" i="1" s="1"/>
  <c r="J35" i="1" a="1"/>
  <c r="J35" i="1" s="1"/>
  <c r="N35" i="1" a="1"/>
  <c r="N35" i="1" s="1"/>
  <c r="B34" i="1" a="1"/>
  <c r="B34" i="1" s="1"/>
  <c r="H34" i="1" a="1"/>
  <c r="H34" i="1" s="1"/>
  <c r="I34" i="1" a="1"/>
  <c r="I34" i="1" s="1"/>
  <c r="J34" i="1" a="1"/>
  <c r="J34" i="1" s="1"/>
  <c r="N34" i="1" a="1"/>
  <c r="N34" i="1" s="1"/>
  <c r="B30" i="1" a="1"/>
  <c r="B30" i="1" s="1"/>
  <c r="H30" i="1" a="1"/>
  <c r="H30" i="1" s="1"/>
  <c r="I30" i="1" a="1"/>
  <c r="I30" i="1" s="1"/>
  <c r="J30" i="1" a="1"/>
  <c r="J30" i="1" s="1"/>
  <c r="N30" i="1" a="1"/>
  <c r="N30" i="1" s="1"/>
  <c r="B29" i="1" a="1"/>
  <c r="B29" i="1" s="1"/>
  <c r="H29" i="1" a="1"/>
  <c r="H29" i="1" s="1"/>
  <c r="I29" i="1" a="1"/>
  <c r="I29" i="1" s="1"/>
  <c r="J29" i="1" a="1"/>
  <c r="J29" i="1" s="1"/>
  <c r="N29" i="1" a="1"/>
  <c r="N29" i="1" s="1"/>
  <c r="B32" i="1" a="1"/>
  <c r="B32" i="1" s="1"/>
  <c r="H32" i="1" a="1"/>
  <c r="H32" i="1" s="1"/>
  <c r="I32" i="1" a="1"/>
  <c r="I32" i="1" s="1"/>
  <c r="J32" i="1" a="1"/>
  <c r="J32" i="1" s="1"/>
  <c r="N32" i="1" a="1"/>
  <c r="N32" i="1" s="1"/>
  <c r="B31" i="1" a="1"/>
  <c r="B31" i="1" s="1"/>
  <c r="H31" i="1" a="1"/>
  <c r="H31" i="1" s="1"/>
  <c r="I31" i="1" a="1"/>
  <c r="I31" i="1" s="1"/>
  <c r="J31" i="1" a="1"/>
  <c r="J31" i="1" s="1"/>
  <c r="N31" i="1" a="1"/>
  <c r="N31" i="1" s="1"/>
  <c r="B28" i="1" a="1"/>
  <c r="B28" i="1" s="1"/>
  <c r="H28" i="1" a="1"/>
  <c r="H28" i="1" s="1"/>
  <c r="I28" i="1" a="1"/>
  <c r="I28" i="1" s="1"/>
  <c r="J28" i="1" a="1"/>
  <c r="J28" i="1" s="1"/>
  <c r="N28" i="1" a="1"/>
  <c r="N28" i="1" s="1"/>
  <c r="B27" i="1" a="1"/>
  <c r="B27" i="1" s="1"/>
  <c r="H27" i="1" a="1"/>
  <c r="H27" i="1" s="1"/>
  <c r="I27" i="1" a="1"/>
  <c r="I27" i="1" s="1"/>
  <c r="J27" i="1" a="1"/>
  <c r="J27" i="1" s="1"/>
  <c r="N27" i="1" a="1"/>
  <c r="N27" i="1" s="1"/>
  <c r="B24" i="1" a="1"/>
  <c r="B24" i="1" s="1"/>
  <c r="H24" i="1" a="1"/>
  <c r="H24" i="1" s="1"/>
  <c r="I24" i="1" a="1"/>
  <c r="I24" i="1" s="1"/>
  <c r="J24" i="1" a="1"/>
  <c r="J24" i="1" s="1"/>
  <c r="N24" i="1" a="1"/>
  <c r="N24" i="1" s="1"/>
  <c r="B23" i="1" a="1"/>
  <c r="B23" i="1" s="1"/>
  <c r="H23" i="1" a="1"/>
  <c r="H23" i="1" s="1"/>
  <c r="I23" i="1" a="1"/>
  <c r="I23" i="1" s="1"/>
  <c r="J23" i="1" a="1"/>
  <c r="J23" i="1" s="1"/>
  <c r="N23" i="1" a="1"/>
  <c r="N23" i="1" s="1"/>
  <c r="B22" i="1" a="1"/>
  <c r="B22" i="1" s="1"/>
  <c r="H22" i="1" a="1"/>
  <c r="H22" i="1" s="1"/>
  <c r="I22" i="1" a="1"/>
  <c r="I22" i="1" s="1"/>
  <c r="J22" i="1" a="1"/>
  <c r="J22" i="1" s="1"/>
  <c r="N22" i="1" a="1"/>
  <c r="N22" i="1" s="1"/>
  <c r="B19" i="1" a="1"/>
  <c r="B19" i="1" s="1"/>
  <c r="H19" i="1" a="1"/>
  <c r="H19" i="1" s="1"/>
  <c r="I19" i="1" a="1"/>
  <c r="I19" i="1" s="1"/>
  <c r="J19" i="1" a="1"/>
  <c r="J19" i="1" s="1"/>
  <c r="N19" i="1" a="1"/>
  <c r="N19" i="1" s="1"/>
  <c r="B17" i="1" a="1"/>
  <c r="B17" i="1" s="1"/>
  <c r="H17" i="1" a="1"/>
  <c r="H17" i="1" s="1"/>
  <c r="I17" i="1" a="1"/>
  <c r="I17" i="1" s="1"/>
  <c r="J17" i="1" a="1"/>
  <c r="J17" i="1" s="1"/>
  <c r="N17" i="1" a="1"/>
  <c r="N17" i="1" s="1"/>
  <c r="B14" i="1" a="1"/>
  <c r="B14" i="1" s="1"/>
  <c r="H14" i="1" a="1"/>
  <c r="H14" i="1" s="1"/>
  <c r="I14" i="1" a="1"/>
  <c r="I14" i="1" s="1"/>
  <c r="J14" i="1" a="1"/>
  <c r="J14" i="1" s="1"/>
  <c r="N14" i="1" a="1"/>
  <c r="N14" i="1" s="1"/>
  <c r="B13" i="1" a="1"/>
  <c r="B13" i="1" s="1"/>
  <c r="H13" i="1" a="1"/>
  <c r="H13" i="1" s="1"/>
  <c r="I13" i="1" a="1"/>
  <c r="I13" i="1" s="1"/>
  <c r="J13" i="1" a="1"/>
  <c r="J13" i="1" s="1"/>
  <c r="N13" i="1" a="1"/>
  <c r="N13" i="1" s="1"/>
  <c r="B11" i="1" a="1"/>
  <c r="B11" i="1" s="1"/>
  <c r="H11" i="1" a="1"/>
  <c r="H11" i="1" s="1"/>
  <c r="I11" i="1" a="1"/>
  <c r="I11" i="1" s="1"/>
  <c r="J11" i="1" a="1"/>
  <c r="J11" i="1" s="1"/>
  <c r="N11" i="1" a="1"/>
  <c r="N11" i="1" s="1"/>
  <c r="B9" i="1" a="1"/>
  <c r="B9" i="1" s="1"/>
  <c r="H9" i="1" a="1"/>
  <c r="H9" i="1" s="1"/>
  <c r="I9" i="1" a="1"/>
  <c r="I9" i="1" s="1"/>
  <c r="J9" i="1" a="1"/>
  <c r="J9" i="1" s="1"/>
  <c r="N9" i="1" a="1"/>
  <c r="N9" i="1" s="1"/>
  <c r="B5" i="1" a="1"/>
  <c r="B5" i="1" s="1"/>
  <c r="H5" i="1" a="1"/>
  <c r="H5" i="1" s="1"/>
  <c r="I5" i="1" a="1"/>
  <c r="I5" i="1" s="1"/>
  <c r="J5" i="1" a="1"/>
  <c r="J5" i="1" s="1"/>
  <c r="N5" i="1" a="1"/>
  <c r="N5" i="1" s="1"/>
  <c r="B3" i="1" a="1"/>
  <c r="B3" i="1" s="1"/>
  <c r="H3" i="1" a="1"/>
  <c r="H3" i="1" s="1"/>
  <c r="I3" i="1" a="1"/>
  <c r="I3" i="1" s="1"/>
  <c r="J3" i="1" a="1"/>
  <c r="J3" i="1" s="1"/>
  <c r="N3" i="1" a="1"/>
  <c r="N3" i="1" s="1"/>
  <c r="L94" i="1" l="1"/>
  <c r="M94" i="1"/>
  <c r="L93" i="1"/>
  <c r="L92" i="1"/>
  <c r="M93" i="1"/>
  <c r="M92" i="1"/>
  <c r="L89" i="1"/>
  <c r="M89" i="1"/>
  <c r="L69" i="1"/>
  <c r="M69" i="1"/>
  <c r="L18" i="1"/>
  <c r="M18" i="1"/>
  <c r="L7" i="1"/>
  <c r="M81" i="1"/>
  <c r="M7" i="1"/>
  <c r="L81" i="1"/>
  <c r="L77" i="1"/>
  <c r="M77" i="1"/>
  <c r="L12" i="1"/>
  <c r="L56" i="1"/>
  <c r="M12" i="1"/>
  <c r="L91" i="1"/>
  <c r="M56" i="1"/>
  <c r="L62" i="1"/>
  <c r="M91" i="1"/>
  <c r="M62" i="1"/>
  <c r="L6" i="1"/>
  <c r="L60" i="1"/>
  <c r="M6" i="1"/>
  <c r="L10" i="1"/>
  <c r="M60" i="1"/>
  <c r="M10" i="1"/>
  <c r="M87" i="1"/>
  <c r="L90" i="1"/>
  <c r="M90" i="1"/>
  <c r="L87" i="1"/>
  <c r="L84" i="1"/>
  <c r="M84" i="1"/>
  <c r="L85" i="1"/>
  <c r="L79" i="1"/>
  <c r="M85" i="1"/>
  <c r="L75" i="1"/>
  <c r="M79" i="1"/>
  <c r="L74" i="1"/>
  <c r="M75" i="1"/>
  <c r="L72" i="1"/>
  <c r="M74" i="1"/>
  <c r="L71" i="1"/>
  <c r="M72" i="1"/>
  <c r="M71" i="1"/>
  <c r="L70" i="1"/>
  <c r="L65" i="1"/>
  <c r="M70" i="1"/>
  <c r="L61" i="1"/>
  <c r="M65" i="1"/>
  <c r="M61" i="1"/>
  <c r="L54" i="1"/>
  <c r="M54" i="1"/>
  <c r="L49" i="1"/>
  <c r="M48" i="1"/>
  <c r="M49" i="1"/>
  <c r="L48" i="1"/>
  <c r="L45" i="1"/>
  <c r="L44" i="1"/>
  <c r="M45" i="1"/>
  <c r="M44" i="1"/>
  <c r="L42" i="1"/>
  <c r="M42" i="1"/>
  <c r="L39" i="1"/>
  <c r="M39" i="1"/>
  <c r="L37" i="1"/>
  <c r="M36" i="1"/>
  <c r="M37" i="1"/>
  <c r="L36" i="1"/>
  <c r="L35" i="1"/>
  <c r="M35" i="1"/>
  <c r="L34" i="1"/>
  <c r="M34" i="1"/>
  <c r="L30" i="1"/>
  <c r="M30" i="1"/>
  <c r="L32" i="1"/>
  <c r="L29" i="1"/>
  <c r="M29" i="1"/>
  <c r="L31" i="1"/>
  <c r="M32" i="1"/>
  <c r="L28" i="1"/>
  <c r="M31" i="1"/>
  <c r="M28" i="1"/>
  <c r="L27" i="1"/>
  <c r="M27" i="1"/>
  <c r="M24" i="1"/>
  <c r="L24" i="1"/>
  <c r="L23" i="1"/>
  <c r="M23" i="1"/>
  <c r="L22" i="1"/>
  <c r="M22" i="1"/>
  <c r="L19" i="1"/>
  <c r="M19" i="1"/>
  <c r="L17" i="1"/>
  <c r="M17" i="1"/>
  <c r="L14" i="1"/>
  <c r="L13" i="1"/>
  <c r="M14" i="1"/>
  <c r="M13" i="1"/>
  <c r="L11" i="1"/>
  <c r="L9" i="1"/>
  <c r="M11" i="1"/>
  <c r="M9" i="1"/>
  <c r="L5" i="1"/>
  <c r="M5" i="1"/>
  <c r="M3" i="1"/>
  <c r="L3" i="1"/>
  <c r="B58" i="1" l="1" a="1"/>
  <c r="B58" i="1" s="1"/>
  <c r="H58" i="1" a="1"/>
  <c r="H58" i="1" s="1"/>
  <c r="I58" i="1" a="1"/>
  <c r="I58" i="1" s="1"/>
  <c r="J58" i="1" a="1"/>
  <c r="J58" i="1" s="1"/>
  <c r="N58" i="1" a="1"/>
  <c r="N58" i="1" s="1"/>
  <c r="B66" i="1" a="1"/>
  <c r="B66" i="1" s="1"/>
  <c r="H66" i="1" a="1"/>
  <c r="H66" i="1" s="1"/>
  <c r="I66" i="1" a="1"/>
  <c r="I66" i="1" s="1"/>
  <c r="J66" i="1" a="1"/>
  <c r="J66" i="1" s="1"/>
  <c r="N66" i="1" a="1"/>
  <c r="N66" i="1" s="1"/>
  <c r="B40" i="1" a="1"/>
  <c r="B40" i="1" s="1"/>
  <c r="H40" i="1" a="1"/>
  <c r="H40" i="1" s="1"/>
  <c r="I40" i="1" a="1"/>
  <c r="I40" i="1" s="1"/>
  <c r="J40" i="1" a="1"/>
  <c r="J40" i="1" s="1"/>
  <c r="N40" i="1" a="1"/>
  <c r="N40" i="1" s="1"/>
  <c r="H64" i="1" a="1"/>
  <c r="H64" i="1" s="1"/>
  <c r="H67" i="1" a="1"/>
  <c r="H67" i="1" s="1"/>
  <c r="H68" i="1" a="1"/>
  <c r="H68" i="1" s="1"/>
  <c r="H73" i="1" a="1"/>
  <c r="H73" i="1" s="1"/>
  <c r="H76" i="1" a="1"/>
  <c r="H76" i="1" s="1"/>
  <c r="H78" i="1" a="1"/>
  <c r="H78" i="1" s="1"/>
  <c r="H80" i="1" a="1"/>
  <c r="H80" i="1" s="1"/>
  <c r="H82" i="1" a="1"/>
  <c r="H82" i="1" s="1"/>
  <c r="H83" i="1" a="1"/>
  <c r="H83" i="1" s="1"/>
  <c r="H86" i="1" a="1"/>
  <c r="H86" i="1" s="1"/>
  <c r="H88" i="1" a="1"/>
  <c r="H88" i="1" s="1"/>
  <c r="H52" i="1" a="1"/>
  <c r="H52" i="1" s="1"/>
  <c r="H55" i="1" a="1"/>
  <c r="H55" i="1" s="1"/>
  <c r="H47" i="1" a="1"/>
  <c r="H47" i="1" s="1"/>
  <c r="N2" i="1" a="1"/>
  <c r="N2" i="1" s="1"/>
  <c r="N4" i="1" a="1"/>
  <c r="N4" i="1" s="1"/>
  <c r="N8" i="1" a="1"/>
  <c r="N8" i="1" s="1"/>
  <c r="N15" i="1" a="1"/>
  <c r="N15" i="1" s="1"/>
  <c r="N16" i="1" a="1"/>
  <c r="N16" i="1" s="1"/>
  <c r="N20" i="1" a="1"/>
  <c r="N20" i="1" s="1"/>
  <c r="N21" i="1" a="1"/>
  <c r="N21" i="1" s="1"/>
  <c r="N25" i="1" a="1"/>
  <c r="N25" i="1" s="1"/>
  <c r="N26" i="1" a="1"/>
  <c r="N26" i="1" s="1"/>
  <c r="N33" i="1" a="1"/>
  <c r="N33" i="1" s="1"/>
  <c r="N38" i="1" a="1"/>
  <c r="N38" i="1" s="1"/>
  <c r="N41" i="1" a="1"/>
  <c r="N41" i="1" s="1"/>
  <c r="N43" i="1" a="1"/>
  <c r="N43" i="1" s="1"/>
  <c r="N46" i="1" a="1"/>
  <c r="N46" i="1" s="1"/>
  <c r="N50" i="1" a="1"/>
  <c r="N50" i="1" s="1"/>
  <c r="N51" i="1" a="1"/>
  <c r="N51" i="1" s="1"/>
  <c r="N53" i="1" a="1"/>
  <c r="N53" i="1" s="1"/>
  <c r="N57" i="1" a="1"/>
  <c r="N57" i="1" s="1"/>
  <c r="N59" i="1" a="1"/>
  <c r="N59" i="1" s="1"/>
  <c r="N63" i="1" a="1"/>
  <c r="N63" i="1" s="1"/>
  <c r="N64" i="1" a="1"/>
  <c r="N64" i="1" s="1"/>
  <c r="N67" i="1" a="1"/>
  <c r="N67" i="1" s="1"/>
  <c r="N68" i="1" a="1"/>
  <c r="N68" i="1" s="1"/>
  <c r="N73" i="1" a="1"/>
  <c r="N73" i="1" s="1"/>
  <c r="N76" i="1" a="1"/>
  <c r="N76" i="1" s="1"/>
  <c r="N78" i="1" a="1"/>
  <c r="N78" i="1" s="1"/>
  <c r="N80" i="1" a="1"/>
  <c r="N80" i="1" s="1"/>
  <c r="N82" i="1" a="1"/>
  <c r="N82" i="1" s="1"/>
  <c r="N83" i="1" a="1"/>
  <c r="N83" i="1" s="1"/>
  <c r="N86" i="1" a="1"/>
  <c r="N86" i="1" s="1"/>
  <c r="N88" i="1" a="1"/>
  <c r="N88" i="1" s="1"/>
  <c r="N52" i="1" a="1"/>
  <c r="N52" i="1" s="1"/>
  <c r="N55" i="1" a="1"/>
  <c r="N55" i="1" s="1"/>
  <c r="N47" i="1" a="1"/>
  <c r="N47" i="1" s="1"/>
  <c r="J2" i="1" a="1"/>
  <c r="J2" i="1" s="1"/>
  <c r="J4" i="1" a="1"/>
  <c r="J4" i="1" s="1"/>
  <c r="J8" i="1" a="1"/>
  <c r="J8" i="1" s="1"/>
  <c r="J15" i="1" a="1"/>
  <c r="J15" i="1" s="1"/>
  <c r="J16" i="1" a="1"/>
  <c r="J16" i="1" s="1"/>
  <c r="J20" i="1" a="1"/>
  <c r="J20" i="1" s="1"/>
  <c r="J21" i="1" a="1"/>
  <c r="J21" i="1" s="1"/>
  <c r="J25" i="1" a="1"/>
  <c r="J25" i="1" s="1"/>
  <c r="J26" i="1" a="1"/>
  <c r="J26" i="1" s="1"/>
  <c r="J33" i="1" a="1"/>
  <c r="J33" i="1" s="1"/>
  <c r="J38" i="1" a="1"/>
  <c r="J38" i="1" s="1"/>
  <c r="J41" i="1" a="1"/>
  <c r="J41" i="1" s="1"/>
  <c r="J43" i="1" a="1"/>
  <c r="J43" i="1" s="1"/>
  <c r="J46" i="1" a="1"/>
  <c r="J46" i="1" s="1"/>
  <c r="J50" i="1" a="1"/>
  <c r="J50" i="1" s="1"/>
  <c r="J51" i="1" a="1"/>
  <c r="J51" i="1" s="1"/>
  <c r="J53" i="1" a="1"/>
  <c r="J53" i="1" s="1"/>
  <c r="J57" i="1" a="1"/>
  <c r="J57" i="1" s="1"/>
  <c r="J59" i="1" a="1"/>
  <c r="J59" i="1" s="1"/>
  <c r="J63" i="1" a="1"/>
  <c r="J63" i="1" s="1"/>
  <c r="J64" i="1" a="1"/>
  <c r="J64" i="1" s="1"/>
  <c r="J67" i="1" a="1"/>
  <c r="J67" i="1" s="1"/>
  <c r="J68" i="1" a="1"/>
  <c r="J68" i="1" s="1"/>
  <c r="J73" i="1" a="1"/>
  <c r="J73" i="1" s="1"/>
  <c r="J76" i="1" a="1"/>
  <c r="J76" i="1" s="1"/>
  <c r="J78" i="1" a="1"/>
  <c r="J78" i="1" s="1"/>
  <c r="J80" i="1" a="1"/>
  <c r="J80" i="1" s="1"/>
  <c r="J82" i="1" a="1"/>
  <c r="J82" i="1" s="1"/>
  <c r="J83" i="1" a="1"/>
  <c r="J83" i="1" s="1"/>
  <c r="J86" i="1" a="1"/>
  <c r="J86" i="1" s="1"/>
  <c r="J88" i="1" a="1"/>
  <c r="J88" i="1" s="1"/>
  <c r="J52" i="1" a="1"/>
  <c r="J52" i="1" s="1"/>
  <c r="J55" i="1" a="1"/>
  <c r="J55" i="1" s="1"/>
  <c r="J47" i="1" a="1"/>
  <c r="J47" i="1" s="1"/>
  <c r="I2" i="1" a="1"/>
  <c r="I2" i="1" s="1"/>
  <c r="I4" i="1" a="1"/>
  <c r="I4" i="1" s="1"/>
  <c r="I8" i="1" a="1"/>
  <c r="I8" i="1" s="1"/>
  <c r="I15" i="1" a="1"/>
  <c r="I15" i="1" s="1"/>
  <c r="I16" i="1" a="1"/>
  <c r="I16" i="1" s="1"/>
  <c r="I20" i="1" a="1"/>
  <c r="I20" i="1" s="1"/>
  <c r="I21" i="1" a="1"/>
  <c r="I21" i="1" s="1"/>
  <c r="I25" i="1" a="1"/>
  <c r="I25" i="1" s="1"/>
  <c r="I26" i="1" a="1"/>
  <c r="I26" i="1" s="1"/>
  <c r="I33" i="1" a="1"/>
  <c r="I33" i="1" s="1"/>
  <c r="I38" i="1" a="1"/>
  <c r="I38" i="1" s="1"/>
  <c r="I41" i="1" a="1"/>
  <c r="I41" i="1" s="1"/>
  <c r="I43" i="1" a="1"/>
  <c r="I43" i="1" s="1"/>
  <c r="I46" i="1" a="1"/>
  <c r="I46" i="1" s="1"/>
  <c r="I50" i="1" a="1"/>
  <c r="I50" i="1" s="1"/>
  <c r="I51" i="1" a="1"/>
  <c r="I51" i="1" s="1"/>
  <c r="I53" i="1" a="1"/>
  <c r="I53" i="1" s="1"/>
  <c r="I57" i="1" a="1"/>
  <c r="I57" i="1" s="1"/>
  <c r="I59" i="1" a="1"/>
  <c r="I59" i="1" s="1"/>
  <c r="I63" i="1" a="1"/>
  <c r="I63" i="1" s="1"/>
  <c r="I64" i="1" a="1"/>
  <c r="I64" i="1" s="1"/>
  <c r="I67" i="1" a="1"/>
  <c r="I67" i="1" s="1"/>
  <c r="I68" i="1" a="1"/>
  <c r="I68" i="1" s="1"/>
  <c r="I73" i="1" a="1"/>
  <c r="I73" i="1" s="1"/>
  <c r="I76" i="1" a="1"/>
  <c r="I76" i="1" s="1"/>
  <c r="I78" i="1" a="1"/>
  <c r="I78" i="1" s="1"/>
  <c r="I80" i="1" a="1"/>
  <c r="I80" i="1" s="1"/>
  <c r="I82" i="1" a="1"/>
  <c r="I82" i="1" s="1"/>
  <c r="I83" i="1" a="1"/>
  <c r="I83" i="1" s="1"/>
  <c r="I86" i="1" a="1"/>
  <c r="I86" i="1" s="1"/>
  <c r="I88" i="1" a="1"/>
  <c r="I88" i="1" s="1"/>
  <c r="I52" i="1" a="1"/>
  <c r="I52" i="1" s="1"/>
  <c r="I55" i="1" a="1"/>
  <c r="I55" i="1" s="1"/>
  <c r="I47" i="1" a="1"/>
  <c r="I47" i="1" s="1"/>
  <c r="H2" i="1" a="1"/>
  <c r="H2" i="1" s="1"/>
  <c r="H4" i="1" a="1"/>
  <c r="H4" i="1" s="1"/>
  <c r="H8" i="1" a="1"/>
  <c r="H8" i="1" s="1"/>
  <c r="H15" i="1" a="1"/>
  <c r="H15" i="1" s="1"/>
  <c r="H16" i="1" a="1"/>
  <c r="H16" i="1" s="1"/>
  <c r="H20" i="1" a="1"/>
  <c r="H20" i="1" s="1"/>
  <c r="H21" i="1" a="1"/>
  <c r="H21" i="1" s="1"/>
  <c r="H25" i="1" a="1"/>
  <c r="H25" i="1" s="1"/>
  <c r="H26" i="1" a="1"/>
  <c r="H26" i="1" s="1"/>
  <c r="H33" i="1" a="1"/>
  <c r="H33" i="1" s="1"/>
  <c r="H38" i="1" a="1"/>
  <c r="H38" i="1" s="1"/>
  <c r="H41" i="1" a="1"/>
  <c r="H41" i="1" s="1"/>
  <c r="H43" i="1" a="1"/>
  <c r="H43" i="1" s="1"/>
  <c r="H46" i="1" a="1"/>
  <c r="H46" i="1" s="1"/>
  <c r="H50" i="1" a="1"/>
  <c r="H50" i="1" s="1"/>
  <c r="H51" i="1" a="1"/>
  <c r="H51" i="1" s="1"/>
  <c r="H53" i="1" a="1"/>
  <c r="H53" i="1" s="1"/>
  <c r="H57" i="1" a="1"/>
  <c r="H57" i="1" s="1"/>
  <c r="H59" i="1" a="1"/>
  <c r="H59" i="1" s="1"/>
  <c r="H63" i="1" a="1"/>
  <c r="H63" i="1" s="1"/>
  <c r="B47" i="1" a="1"/>
  <c r="B47" i="1" s="1"/>
  <c r="B55" i="1" a="1"/>
  <c r="B55" i="1" s="1"/>
  <c r="B52" i="1" a="1"/>
  <c r="B52" i="1" s="1"/>
  <c r="B88" i="1" a="1"/>
  <c r="B88" i="1" s="1"/>
  <c r="B86" i="1" a="1"/>
  <c r="B86" i="1" s="1"/>
  <c r="B83" i="1" a="1"/>
  <c r="B83" i="1" s="1"/>
  <c r="B82" i="1" a="1"/>
  <c r="B82" i="1" s="1"/>
  <c r="B80" i="1" a="1"/>
  <c r="B80" i="1" s="1"/>
  <c r="B78" i="1" a="1"/>
  <c r="B78" i="1" s="1"/>
  <c r="B76" i="1" a="1"/>
  <c r="B76" i="1" s="1"/>
  <c r="B73" i="1" a="1"/>
  <c r="B73" i="1" s="1"/>
  <c r="B68" i="1" a="1"/>
  <c r="B68" i="1" s="1"/>
  <c r="B67" i="1" a="1"/>
  <c r="B67" i="1" s="1"/>
  <c r="B64" i="1" a="1"/>
  <c r="B64" i="1" s="1"/>
  <c r="B63" i="1" a="1"/>
  <c r="B63" i="1" s="1"/>
  <c r="B59" i="1" a="1"/>
  <c r="B59" i="1" s="1"/>
  <c r="B57" i="1" a="1"/>
  <c r="B57" i="1" s="1"/>
  <c r="B53" i="1" a="1"/>
  <c r="B53" i="1" s="1"/>
  <c r="B51" i="1" a="1"/>
  <c r="B51" i="1" s="1"/>
  <c r="B50" i="1" a="1"/>
  <c r="B50" i="1" s="1"/>
  <c r="B46" i="1" a="1"/>
  <c r="B46" i="1" s="1"/>
  <c r="B43" i="1" a="1"/>
  <c r="B43" i="1" s="1"/>
  <c r="B41" i="1" a="1"/>
  <c r="B41" i="1" s="1"/>
  <c r="B38" i="1" a="1"/>
  <c r="B38" i="1" s="1"/>
  <c r="B33" i="1" a="1"/>
  <c r="B33" i="1" s="1"/>
  <c r="B26" i="1" a="1"/>
  <c r="B26" i="1" s="1"/>
  <c r="B25" i="1" a="1"/>
  <c r="B25" i="1" s="1"/>
  <c r="B21" i="1" a="1"/>
  <c r="B21" i="1" s="1"/>
  <c r="B20" i="1" a="1"/>
  <c r="B20" i="1" s="1"/>
  <c r="B16" i="1" a="1"/>
  <c r="B16" i="1" s="1"/>
  <c r="B15" i="1" a="1"/>
  <c r="B15" i="1" s="1"/>
  <c r="B8" i="1" a="1"/>
  <c r="B8" i="1" s="1"/>
  <c r="B4" i="1" a="1"/>
  <c r="B4" i="1" s="1"/>
  <c r="B2" i="1" a="1"/>
  <c r="B2" i="1" s="1"/>
  <c r="L58" i="1" l="1"/>
  <c r="L66" i="1"/>
  <c r="M58" i="1"/>
  <c r="M66" i="1"/>
  <c r="L40" i="1"/>
  <c r="M40" i="1"/>
  <c r="M46" i="1"/>
  <c r="M16" i="1"/>
  <c r="M47" i="1"/>
  <c r="M73" i="1"/>
  <c r="M86" i="1"/>
  <c r="M63" i="1"/>
  <c r="M4" i="1"/>
  <c r="L80" i="1"/>
  <c r="L53" i="1"/>
  <c r="L25" i="1"/>
  <c r="M33" i="1"/>
  <c r="M78" i="1"/>
  <c r="M51" i="1"/>
  <c r="L21" i="1"/>
  <c r="M83" i="1"/>
  <c r="M59" i="1"/>
  <c r="M2" i="1"/>
  <c r="M76" i="1"/>
  <c r="M55" i="1"/>
  <c r="M68" i="1"/>
  <c r="M43" i="1"/>
  <c r="M15" i="1"/>
  <c r="M8" i="1"/>
  <c r="L82" i="1"/>
  <c r="L57" i="1"/>
  <c r="M52" i="1"/>
  <c r="M67" i="1"/>
  <c r="M41" i="1"/>
  <c r="L26" i="1"/>
  <c r="M50" i="1"/>
  <c r="M20" i="1"/>
  <c r="M88" i="1"/>
  <c r="M64" i="1"/>
  <c r="M38" i="1"/>
  <c r="M82" i="1"/>
  <c r="M57" i="1"/>
  <c r="M26" i="1"/>
  <c r="M80" i="1"/>
  <c r="M53" i="1"/>
  <c r="M25" i="1"/>
  <c r="L2" i="1"/>
  <c r="M21" i="1"/>
  <c r="L78" i="1"/>
  <c r="L51" i="1"/>
  <c r="L46" i="1"/>
  <c r="L47" i="1"/>
  <c r="L73" i="1"/>
  <c r="L16" i="1"/>
  <c r="L83" i="1"/>
  <c r="L59" i="1"/>
  <c r="L33" i="1"/>
  <c r="L86" i="1"/>
  <c r="L63" i="1"/>
  <c r="L4" i="1"/>
  <c r="L76" i="1"/>
  <c r="L50" i="1"/>
  <c r="L20" i="1"/>
  <c r="L55" i="1"/>
  <c r="L68" i="1"/>
  <c r="L43" i="1"/>
  <c r="L15" i="1"/>
  <c r="L67" i="1"/>
  <c r="L41" i="1"/>
  <c r="L8" i="1"/>
  <c r="L52" i="1"/>
  <c r="L88" i="1"/>
  <c r="L64" i="1"/>
  <c r="L3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4">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5"/>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4"/>
        </ext>
      </extLst>
    </bk>
    <bk>
      <extLst>
        <ext uri="{3e2802c4-a4d2-4d8b-9148-e3be6c30e623}">
          <xlrd:rvb i="247"/>
        </ext>
      </extLst>
    </bk>
    <bk>
      <extLst>
        <ext uri="{3e2802c4-a4d2-4d8b-9148-e3be6c30e623}">
          <xlrd:rvb i="253"/>
        </ext>
      </extLst>
    </bk>
    <bk>
      <extLst>
        <ext uri="{3e2802c4-a4d2-4d8b-9148-e3be6c30e623}">
          <xlrd:rvb i="256"/>
        </ext>
      </extLst>
    </bk>
    <bk>
      <extLst>
        <ext uri="{3e2802c4-a4d2-4d8b-9148-e3be6c30e623}">
          <xlrd:rvb i="259"/>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1"/>
        </ext>
      </extLst>
    </bk>
    <bk>
      <extLst>
        <ext uri="{3e2802c4-a4d2-4d8b-9148-e3be6c30e623}">
          <xlrd:rvb i="274"/>
        </ext>
      </extLst>
    </bk>
    <bk>
      <extLst>
        <ext uri="{3e2802c4-a4d2-4d8b-9148-e3be6c30e623}">
          <xlrd:rvb i="277"/>
        </ext>
      </extLst>
    </bk>
    <bk>
      <extLst>
        <ext uri="{3e2802c4-a4d2-4d8b-9148-e3be6c30e623}">
          <xlrd:rvb i="280"/>
        </ext>
      </extLst>
    </bk>
    <bk>
      <extLst>
        <ext uri="{3e2802c4-a4d2-4d8b-9148-e3be6c30e623}">
          <xlrd:rvb i="283"/>
        </ext>
      </extLst>
    </bk>
    <bk>
      <extLst>
        <ext uri="{3e2802c4-a4d2-4d8b-9148-e3be6c30e623}">
          <xlrd:rvb i="286"/>
        </ext>
      </extLst>
    </bk>
    <bk>
      <extLst>
        <ext uri="{3e2802c4-a4d2-4d8b-9148-e3be6c30e623}">
          <xlrd:rvb i="289"/>
        </ext>
      </extLst>
    </bk>
    <bk>
      <extLst>
        <ext uri="{3e2802c4-a4d2-4d8b-9148-e3be6c30e623}">
          <xlrd:rvb i="292"/>
        </ext>
      </extLst>
    </bk>
    <bk>
      <extLst>
        <ext uri="{3e2802c4-a4d2-4d8b-9148-e3be6c30e623}">
          <xlrd:rvb i="295"/>
        </ext>
      </extLst>
    </bk>
  </futureMetadata>
  <cellMetadata count="1">
    <bk>
      <rc t="1" v="0"/>
    </bk>
  </cellMetadata>
  <valueMetadata count="94">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valueMetadata>
</metadata>
</file>

<file path=xl/sharedStrings.xml><?xml version="1.0" encoding="utf-8"?>
<sst xmlns="http://schemas.openxmlformats.org/spreadsheetml/2006/main" count="54" uniqueCount="26">
  <si>
    <t>Ticker</t>
  </si>
  <si>
    <t>Sector</t>
  </si>
  <si>
    <t>Category</t>
  </si>
  <si>
    <t>DataField</t>
  </si>
  <si>
    <t>Owned</t>
  </si>
  <si>
    <t>consumer_staples</t>
  </si>
  <si>
    <t>technology</t>
  </si>
  <si>
    <t>consumer_discretionary</t>
  </si>
  <si>
    <t>financials</t>
  </si>
  <si>
    <t>health_care</t>
  </si>
  <si>
    <t>communication_services</t>
  </si>
  <si>
    <t>energy</t>
  </si>
  <si>
    <t>industrials</t>
  </si>
  <si>
    <t>materials</t>
  </si>
  <si>
    <t>reit</t>
  </si>
  <si>
    <t>FyEnd</t>
  </si>
  <si>
    <t>S&amp;P</t>
  </si>
  <si>
    <t>Price</t>
  </si>
  <si>
    <t>P/E</t>
  </si>
  <si>
    <t>52High</t>
  </si>
  <si>
    <t>52Low</t>
  </si>
  <si>
    <t>Watch</t>
  </si>
  <si>
    <t>Alert</t>
  </si>
  <si>
    <t>MarketCap</t>
  </si>
  <si>
    <t>tech_kong</t>
  </si>
  <si>
    <t>silicon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</si>
</sst>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7">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cellXfs>
  <cellStyles count="2">
    <cellStyle name="Comma" xfId="1" builtinId="3"/>
    <cellStyle name="Normal" xfId="0" builtinId="0"/>
  </cellStyles>
  <dxfs count="10">
    <dxf>
      <font>
        <color rgb="FF006100"/>
      </font>
      <fill>
        <patternFill>
          <bgColor rgb="FFC6EFCE"/>
        </patternFill>
      </fill>
    </dxf>
    <dxf>
      <font>
        <color rgb="FF9C0006"/>
      </font>
      <fill>
        <patternFill>
          <bgColor rgb="FFFFC7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96">
  <rv s="0">
    <v>https://www.bing.com/financeapi/forcetrigger?t=a1mou2&amp;q=XNAS%3aAAPL&amp;form=skydnc</v>
    <v>Learn more on Bing</v>
  </rv>
  <rv s="1">
    <v>0</v>
    <v>APPLE INC. (XNAS:AAPL)</v>
    <v>2</v>
    <v>3</v>
    <v>Finance</v>
    <v>4</v>
    <v>en-US</v>
    <v>a1mou2</v>
    <v>268435456</v>
    <v>1</v>
    <v>Powered by Refinitiv</v>
    <v>288.62</v>
    <v>169.21010000000001</v>
    <v>1.0902000000000001</v>
    <v>-0.21440000000000001</v>
    <v>-7.8420000000000009E-4</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274.36</v>
    <v>Computers, Phones &amp; Household Electronics</v>
    <v>Stock</v>
    <v>46020.678407001564</v>
    <v>0</v>
    <v>272.35000000000002</v>
    <v>4036686040560</v>
    <v>APPLE INC.</v>
    <v>APPLE INC.</v>
    <v>272.69</v>
    <v>36.784700000000001</v>
    <v>273.39999999999998</v>
    <v>273.18560000000002</v>
    <v>14776350000</v>
    <v>AAPL</v>
    <v>APPLE INC. (XNAS:AAPL)</v>
    <v>6382781</v>
    <v>44892080</v>
    <v>1977</v>
  </rv>
  <rv s="2">
    <v>1</v>
  </rv>
  <rv s="0">
    <v>https://www.bing.com/financeapi/forcetrigger?t=a1mpqh&amp;q=XNYS%3aABBV&amp;form=skydnc</v>
    <v>Learn more on Bing</v>
  </rv>
  <rv s="1">
    <v>0</v>
    <v>ABBVIE INC. (XNYS:ABBV)</v>
    <v>2</v>
    <v>3</v>
    <v>Finance</v>
    <v>4</v>
    <v>en-US</v>
    <v>a1mpqh</v>
    <v>268435456</v>
    <v>1</v>
    <v>Powered by Refinitiv</v>
    <v>244.81</v>
    <v>164.39</v>
    <v>0.34860000000000002</v>
    <v>1.48</v>
    <v>6.4349999999999997E-3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55000</v>
    <v>New York Stock Exchange</v>
    <v>XNYS</v>
    <v>XNYS</v>
    <v>1 N Waukegan Rd, NORTH CHICAGO, IL, 60064 US</v>
    <v>232.01499999999999</v>
    <v>Pharmaceuticals</v>
    <v>Stock</v>
    <v>46020.678392858594</v>
    <v>3</v>
    <v>229.74</v>
    <v>409078932100</v>
    <v>ABBVIE INC.</v>
    <v>ABBVIE INC.</v>
    <v>230.15</v>
    <v>174.6472</v>
    <v>229.98</v>
    <v>231.46</v>
    <v>1767385000</v>
    <v>ABBV</v>
    <v>ABBVIE INC. (XNYS:ABBV)</v>
    <v>547432</v>
    <v>5636523</v>
    <v>2012</v>
  </rv>
  <rv s="2">
    <v>4</v>
  </rv>
  <rv s="0">
    <v>https://www.bing.com/financeapi/forcetrigger?t=a1mvm7&amp;q=XNYS%3aADM&amp;form=skydnc</v>
    <v>Learn more on Bing</v>
  </rv>
  <rv s="1">
    <v>0</v>
    <v>ARCHER-DANIELS-MIDLAND COMPANY. (XNYS:ADM)</v>
    <v>2</v>
    <v>3</v>
    <v>Finance</v>
    <v>4</v>
    <v>en-US</v>
    <v>a1mvm7</v>
    <v>268435456</v>
    <v>1</v>
    <v>Powered by Refinitiv</v>
    <v>65</v>
    <v>40.98</v>
    <v>0.68830000000000002</v>
    <v>0.08</v>
    <v>1.3810000000000001E-3</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42383</v>
    <v>New York Stock Exchange</v>
    <v>XNYS</v>
    <v>XNYS</v>
    <v>77 W. Wacker Dr., CHICAGO, IL, 60601 US</v>
    <v>58.395000000000003</v>
    <v>Food &amp; Tobacco</v>
    <v>Stock</v>
    <v>46020.67837040469</v>
    <v>6</v>
    <v>57.72</v>
    <v>27868236903</v>
    <v>ARCHER-DANIELS-MIDLAND COMPANY.</v>
    <v>ARCHER-DANIELS-MIDLAND COMPANY.</v>
    <v>57.875</v>
    <v>23.523399999999999</v>
    <v>57.91</v>
    <v>57.99</v>
    <v>480569700</v>
    <v>ADM</v>
    <v>ARCHER-DANIELS-MIDLAND COMPANY. (XNYS:ADM)</v>
    <v>338528</v>
    <v>2745348</v>
    <v>1923</v>
  </rv>
  <rv s="2">
    <v>7</v>
  </rv>
  <rv s="0">
    <v>https://www.bing.com/financeapi/forcetrigger?t=a1mw4c&amp;q=XNAS%3aADP&amp;form=skydnc</v>
    <v>Learn more on Bing</v>
  </rv>
  <rv s="1">
    <v>0</v>
    <v>AUTOMATIC DATA PROCESSING, INC. (XNAS:ADP)</v>
    <v>2</v>
    <v>3</v>
    <v>Finance</v>
    <v>4</v>
    <v>en-US</v>
    <v>a1mw4c</v>
    <v>268435456</v>
    <v>1</v>
    <v>Powered by Refinitiv</v>
    <v>329.92950000000002</v>
    <v>247.18350000000001</v>
    <v>0.86399999999999999</v>
    <v>-0.25</v>
    <v>-9.6579999999999995E-4</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Boulvard, ROSELAND, NJ, 07068 US</v>
    <v>260.83</v>
    <v>Software &amp; IT Services</v>
    <v>Stock</v>
    <v>46020.678346260938</v>
    <v>9</v>
    <v>258.57010000000002</v>
    <v>104586389332</v>
    <v>AUTOMATIC DATA PROCESSING, INC.</v>
    <v>AUTOMATIC DATA PROCESSING, INC.</v>
    <v>259.14999999999998</v>
    <v>25.500499999999999</v>
    <v>258.83999999999997</v>
    <v>258.58999999999997</v>
    <v>404448700</v>
    <v>ADP</v>
    <v>AUTOMATIC DATA PROCESSING, INC. (XNAS:ADP)</v>
    <v>365657</v>
    <v>2535024</v>
    <v>1961</v>
  </rv>
  <rv s="2">
    <v>10</v>
  </rv>
  <rv s="0">
    <v>https://www.bing.com/financeapi/forcetrigger?t=a1ndww&amp;q=XNAS%3aAMD&amp;form=skydnc</v>
    <v>Learn more on Bing</v>
  </rv>
  <rv s="1">
    <v>0</v>
    <v>ADVANCED MICRO DEVICES, INC. (XNAS:AMD)</v>
    <v>2</v>
    <v>3</v>
    <v>Finance</v>
    <v>4</v>
    <v>en-US</v>
    <v>a1ndww</v>
    <v>268435456</v>
    <v>1</v>
    <v>Powered by Refinitiv</v>
    <v>267.07990000000001</v>
    <v>76.48</v>
    <v>1.9464999999999999</v>
    <v>-1.385</v>
    <v>-6.4419999999999998E-3</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28000</v>
    <v>Nasdaq Stock Market</v>
    <v>XNAS</v>
    <v>XNAS</v>
    <v>2485 Augustine Drive, SANTA CLARA, CA, 95054 US</v>
    <v>215.47989999999999</v>
    <v>Semiconductors &amp; Semiconductor Equipment</v>
    <v>Stock</v>
    <v>46020.678376157033</v>
    <v>12</v>
    <v>209.24</v>
    <v>347757911410</v>
    <v>ADVANCED MICRO DEVICES, INC.</v>
    <v>ADVANCED MICRO DEVICES, INC.</v>
    <v>211.62</v>
    <v>111.4616</v>
    <v>214.99</v>
    <v>213.60499999999999</v>
    <v>1628042000</v>
    <v>AMD</v>
    <v>ADVANCED MICRO DEVICES, INC. (XNAS:AMD)</v>
    <v>9022267</v>
    <v>34315305</v>
    <v>1969</v>
  </rv>
  <rv s="2">
    <v>13</v>
  </rv>
  <rv s="0">
    <v>https://www.bing.com/financeapi/forcetrigger?t=a1ngur&amp;q=XNYS%3aAMT&amp;form=skydnc</v>
    <v>Learn more on Bing</v>
  </rv>
  <rv s="1">
    <v>0</v>
    <v>AMERICAN TOWER CORPORATION (XNYS:AMT)</v>
    <v>2</v>
    <v>3</v>
    <v>Finance</v>
    <v>4</v>
    <v>en-US</v>
    <v>a1ngur</v>
    <v>268435456</v>
    <v>1</v>
    <v>Powered by Refinitiv</v>
    <v>234.33</v>
    <v>170.77</v>
    <v>0.92669999999999997</v>
    <v>0.96</v>
    <v>5.4949999999999999E-3</v>
    <v>USD</v>
    <v>American Tower Corporation is a global real estate investment trust (REIT) and an independent owner, operator and developer of multitenant communications real estate with a portfolio of nearly 150,000 communications sites and a highly interconnected footprint of United States data center facilities. The Company's segments include U.S. &amp; Canada property, Africa &amp; APAC property, Europe property, Latin America property, Data Centers and Services. The Company’s primary business is leasing space on multitenant communications sites to wireless service providers, radio and television broadcast companies, wireless data providers, government agencies and municipalities and tenants in a number of other industries. The Company’s Data Centers segment relates to data center facilities and related assets that it owns and operates in the United States. Its Services segment offers tower-related services in the United States, including AZP, structural and mount analyses, and construction management.</v>
    <v>4691</v>
    <v>New York Stock Exchange</v>
    <v>XNYS</v>
    <v>XNYS</v>
    <v>116 Huntington Ave, BOSTON, MA, 02116 US</v>
    <v>176.51</v>
    <v>Residential &amp; Commercial REIT</v>
    <v>Stock</v>
    <v>46020.678360126563</v>
    <v>15</v>
    <v>174.995</v>
    <v>82585740000</v>
    <v>AMERICAN TOWER CORPORATION</v>
    <v>AMERICAN TOWER CORPORATION</v>
    <v>175</v>
    <v>28.020199999999999</v>
    <v>174.71</v>
    <v>175.67</v>
    <v>468146600</v>
    <v>AMT</v>
    <v>AMERICAN TOWER CORPORATION (XNYS:AMT)</v>
    <v>426373</v>
    <v>3381404</v>
    <v>1996</v>
  </rv>
  <rv s="2">
    <v>16</v>
  </rv>
  <rv s="0">
    <v>https://www.bing.com/financeapi/forcetrigger?t=a1nhlh&amp;q=XNAS%3aAMZN&amp;form=skydnc</v>
    <v>Learn more on Bing</v>
  </rv>
  <rv s="1">
    <v>0</v>
    <v>AMAZON.COM, INC. (XNAS:AMZN)</v>
    <v>2</v>
    <v>3</v>
    <v>Finance</v>
    <v>4</v>
    <v>en-US</v>
    <v>a1nhlh</v>
    <v>268435456</v>
    <v>1</v>
    <v>Powered by Refinitiv</v>
    <v>258.60000000000002</v>
    <v>161.38</v>
    <v>1.375</v>
    <v>-1.079</v>
    <v>-4.64E-3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232.6</v>
    <v>Diversified Retail</v>
    <v>Stock</v>
    <v>46020.678394895309</v>
    <v>18</v>
    <v>230.77</v>
    <v>2485689000000</v>
    <v>AMAZON.COM, INC.</v>
    <v>AMAZON.COM, INC.</v>
    <v>231.99</v>
    <v>32.694000000000003</v>
    <v>232.52</v>
    <v>231.441</v>
    <v>10690220000</v>
    <v>AMZN</v>
    <v>AMAZON.COM, INC. (XNAS:AMZN)</v>
    <v>5843544</v>
    <v>39726230</v>
    <v>1996</v>
  </rv>
  <rv s="2">
    <v>19</v>
  </rv>
  <rv s="0">
    <v>https://www.bing.com/financeapi/forcetrigger?t=a1nkm7&amp;q=XNYS%3aAOS&amp;form=skydnc</v>
    <v>Learn more on Bing</v>
  </rv>
  <rv s="1">
    <v>0</v>
    <v>A. O. SMITH CORPORATION (XNYS:AOS)</v>
    <v>2</v>
    <v>3</v>
    <v>Finance</v>
    <v>4</v>
    <v>en-US</v>
    <v>a1nkm7</v>
    <v>268435456</v>
    <v>1</v>
    <v>Powered by Refinitiv</v>
    <v>77.31</v>
    <v>58.83</v>
    <v>1.3505</v>
    <v>-0.12</v>
    <v>-1.771E-3</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12700</v>
    <v>New York Stock Exchange</v>
    <v>XNYS</v>
    <v>XNYS</v>
    <v>11270 W Park Pl, MILWAUKEE, WI, 53224-3623 US</v>
    <v>68.040000000000006</v>
    <v>Machinery, Equipment &amp; Components</v>
    <v>Stock</v>
    <v>46020.678353078125</v>
    <v>21</v>
    <v>67.424800000000005</v>
    <v>9418044792</v>
    <v>A. O. SMITH CORPORATION</v>
    <v>A. O. SMITH CORPORATION</v>
    <v>67.58</v>
    <v>18.262799999999999</v>
    <v>67.760000000000005</v>
    <v>67.64</v>
    <v>139237800</v>
    <v>AOS</v>
    <v>A. O. SMITH CORPORATION (XNYS:AOS)</v>
    <v>154860</v>
    <v>1332282</v>
    <v>1986</v>
  </rv>
  <rv s="2">
    <v>22</v>
  </rv>
  <rv s="0">
    <v>https://www.bing.com/financeapi/forcetrigger?t=a1ntlh&amp;q=XNAS%3aASML&amp;form=skydnc</v>
    <v>Learn more on Bing</v>
  </rv>
  <rv s="1">
    <v>0</v>
    <v>ASML Holding NV (XNAS:ASML)</v>
    <v>2</v>
    <v>3</v>
    <v>Finance</v>
    <v>4</v>
    <v>en-US</v>
    <v>a1ntlh</v>
    <v>268435456</v>
    <v>1</v>
    <v>Powered by Refinitiv</v>
    <v>1141.7190000000001</v>
    <v>578.51</v>
    <v>1.8622000000000001</v>
    <v>-4.59</v>
    <v>-4.2789999999999998E-3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1073.6500000000001</v>
    <v>Semiconductors &amp; Semiconductor Equipment</v>
    <v>Stock</v>
    <v>46020.678353310155</v>
    <v>24</v>
    <v>1061.0689</v>
    <v>411544800000</v>
    <v>ASML Holding NV</v>
    <v>ASML Holding NV</v>
    <v>1064.69</v>
    <v>37.689700000000002</v>
    <v>1072.75</v>
    <v>1068.1600000000001</v>
    <v>388147700</v>
    <v>ASML</v>
    <v>ASML Holding NV (XNAS:ASML)</v>
    <v>169353</v>
    <v>1374248</v>
    <v>1994</v>
  </rv>
  <rv s="2">
    <v>25</v>
  </rv>
  <rv s="0">
    <v>https://www.bing.com/financeapi/forcetrigger?t=a1nz8m&amp;q=XNAS%3aAVGO&amp;form=skydnc</v>
    <v>Learn more on Bing</v>
  </rv>
  <rv s="1">
    <v>0</v>
    <v>BROADCOM INC. (XNAS:AVGO)</v>
    <v>2</v>
    <v>3</v>
    <v>Finance</v>
    <v>4</v>
    <v>en-US</v>
    <v>a1nz8m</v>
    <v>268435456</v>
    <v>1</v>
    <v>Powered by Refinitiv</v>
    <v>414.61</v>
    <v>138.1</v>
    <v>1.1997</v>
    <v>-2.89</v>
    <v>-8.206999999999999E-3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350.2</v>
    <v>Semiconductors &amp; Semiconductor Equipment</v>
    <v>Stock</v>
    <v>46020.6783765625</v>
    <v>27</v>
    <v>344.69</v>
    <v>1655842531760</v>
    <v>BROADCOM INC.</v>
    <v>BROADCOM INC.</v>
    <v>348.79</v>
    <v>73.215900000000005</v>
    <v>352.13</v>
    <v>349.24</v>
    <v>4741274000</v>
    <v>AVGO</v>
    <v>BROADCOM INC. (XNAS:AVGO)</v>
    <v>6786147</v>
    <v>40457324</v>
    <v>2018</v>
  </rv>
  <rv s="2">
    <v>28</v>
  </rv>
  <rv s="0">
    <v>https://www.bing.com/financeapi/forcetrigger?t=a1o1jc&amp;q=XNYS%3aAWK&amp;form=skydnc</v>
    <v>Learn more on Bing</v>
  </rv>
  <rv s="1">
    <v>0</v>
    <v>AMERICAN WATER WORKS COMPANY, INC. (XNYS:AWK)</v>
    <v>2</v>
    <v>3</v>
    <v>Finance</v>
    <v>4</v>
    <v>en-US</v>
    <v>a1o1jc</v>
    <v>268435456</v>
    <v>1</v>
    <v>Powered by Refinitiv</v>
    <v>155.5</v>
    <v>118.74</v>
    <v>0.75509999999999999</v>
    <v>0.45500000000000002</v>
    <v>3.4849999999999998E-3</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It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approximately 14 states. The Company's utilities operate in states such as Pennsylvania, Georgia, Hawaii, Indiana, Iowa, Kentucky, Maryland, Tennessee, Virginia and West Virginia. The Company also serves commercial customers, fire service customers, industrial customers, public authorities, other utilities and community water and wastewater systems.</v>
    <v>6700</v>
    <v>New York Stock Exchange</v>
    <v>XNYS</v>
    <v>XNYS</v>
    <v>1 Water Street, CAMDEN, NJ, 08102-1658 US</v>
    <v>131.46</v>
    <v>Water Utilities</v>
    <v>Stock</v>
    <v>46020.678287175782</v>
    <v>30</v>
    <v>129.56</v>
    <v>25562167218</v>
    <v>AMERICAN WATER WORKS COMPANY, INC.</v>
    <v>AMERICAN WATER WORKS COMPANY, INC.</v>
    <v>130.76</v>
    <v>22.972899999999999</v>
    <v>130.55000000000001</v>
    <v>131.005</v>
    <v>195123600</v>
    <v>AWK</v>
    <v>AMERICAN WATER WORKS COMPANY, INC. (XNYS:AWK)</v>
    <v>113879</v>
    <v>2130059</v>
    <v>1936</v>
  </rv>
  <rv s="2">
    <v>31</v>
  </rv>
  <rv s="0">
    <v>https://www.bing.com/financeapi/forcetrigger?t=a1o9gh&amp;q=XNYS%3aBBY&amp;form=skydnc</v>
    <v>Learn more on Bing</v>
  </rv>
  <rv s="1">
    <v>0</v>
    <v>Best Buy Co., Inc. (XNYS:BBY)</v>
    <v>2</v>
    <v>3</v>
    <v>Finance</v>
    <v>4</v>
    <v>en-US</v>
    <v>a1o9gh</v>
    <v>268435456</v>
    <v>1</v>
    <v>Powered by Refinitiv</v>
    <v>91.68</v>
    <v>54.99</v>
    <v>1.4174</v>
    <v>-1.2150000000000001</v>
    <v>-1.7454000000000001E-2</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85000</v>
    <v>New York Stock Exchange</v>
    <v>XNYS</v>
    <v>XNYS</v>
    <v>7601 Penn Ave S, RICHFIELD, MN, 55423 US</v>
    <v>68.900000000000006</v>
    <v>Specialty Retailers</v>
    <v>Stock</v>
    <v>46020.678343390624</v>
    <v>33</v>
    <v>68.05</v>
    <v>14331153164</v>
    <v>Best Buy Co., Inc.</v>
    <v>Best Buy Co., Inc.</v>
    <v>68.795000000000002</v>
    <v>22.568899999999999</v>
    <v>69.61</v>
    <v>68.394999999999996</v>
    <v>209535100</v>
    <v>BBY</v>
    <v>Best Buy Co., Inc. (XNYS:BBY)</v>
    <v>960681</v>
    <v>4845990</v>
    <v>1966</v>
  </rv>
  <rv s="2">
    <v>34</v>
  </rv>
  <rv s="0">
    <v>https://www.bing.com/financeapi/forcetrigger?t=a1odur&amp;q=XNYS%3aBF.A&amp;form=skydnc</v>
    <v>Learn more on Bing</v>
  </rv>
  <rv s="1">
    <v>0</v>
    <v>BROWN-FORMAN CORPORATION (XNYS:BF.A)</v>
    <v>2</v>
    <v>3</v>
    <v>Finance</v>
    <v>4</v>
    <v>en-US</v>
    <v>a1odur</v>
    <v>268435456</v>
    <v>1</v>
    <v>Powered by Refinitiv</v>
    <v>38.33</v>
    <v>25.98</v>
    <v>0.40899999999999997</v>
    <v>-0.12</v>
    <v>-4.5910000000000005E-3</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26.38</v>
    <v>Beverages</v>
    <v>Stock</v>
    <v>46020.678155647656</v>
    <v>36</v>
    <v>25.98</v>
    <v>12123020000</v>
    <v>BROWN-FORMAN CORPORATION</v>
    <v>BROWN-FORMAN CORPORATION</v>
    <v>26.23</v>
    <v>0</v>
    <v>26.14</v>
    <v>26.02</v>
    <v>463209400</v>
    <v>BF.A</v>
    <v>BROWN-FORMAN CORPORATION (XNYS:BF.A)</v>
    <v>48449</v>
    <v>184132</v>
    <v>1933</v>
  </rv>
  <rv s="2">
    <v>37</v>
  </rv>
  <rv s="0">
    <v>https://www.bing.com/financeapi/forcetrigger?t=a1om4c&amp;q=XNYS%3aBLK&amp;form=skydnc</v>
    <v>Learn more on Bing</v>
  </rv>
  <rv s="1">
    <v>0</v>
    <v>BLACKROCK, INC. (XNYS:BLK)</v>
    <v>2</v>
    <v>3</v>
    <v>Finance</v>
    <v>4</v>
    <v>en-US</v>
    <v>a1om4c</v>
    <v>268435456</v>
    <v>1</v>
    <v>Powered by Refinitiv</v>
    <v>1219.9399000000001</v>
    <v>773.74009999999998</v>
    <v>1.4869000000000001</v>
    <v>-2.645</v>
    <v>-2.431E-3</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24600</v>
    <v>New York Stock Exchange</v>
    <v>XNYS</v>
    <v>XNYS</v>
    <v>50 Hudson Yards, NEW YORK, NY, 10001 US</v>
    <v>1092.05</v>
    <v>Investment Banking &amp; Investment Services</v>
    <v>Stock</v>
    <v>46020.678395022653</v>
    <v>39</v>
    <v>1082.76</v>
    <v>168410871668</v>
    <v>BLACKROCK, INC.</v>
    <v>BLACKROCK, INC.</v>
    <v>1090.56</v>
    <v>28.2087</v>
    <v>1088.1099999999999</v>
    <v>1085.4649999999999</v>
    <v>155150900</v>
    <v>BLK</v>
    <v>BLACKROCK, INC. (XNYS:BLK)</v>
    <v>67394</v>
    <v>625968</v>
    <v>2024</v>
  </rv>
  <rv s="2">
    <v>40</v>
  </rv>
  <rv s="0">
    <v>https://www.bing.com/financeapi/forcetrigger?t=a1ook2&amp;q=XNYS%3aBMY&amp;form=skydnc</v>
    <v>Learn more on Bing</v>
  </rv>
  <rv s="1">
    <v>0</v>
    <v>BRISTOL-MYERS SQUIBB COMPANY (XNYS:BMY)</v>
    <v>2</v>
    <v>3</v>
    <v>Finance</v>
    <v>4</v>
    <v>en-US</v>
    <v>a1ook2</v>
    <v>268435456</v>
    <v>1</v>
    <v>Powered by Refinitiv</v>
    <v>63.33</v>
    <v>42.52</v>
    <v>0.30559999999999998</v>
    <v>-0.36</v>
    <v>-6.5890000000000002E-3</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34100</v>
    <v>New York Stock Exchange</v>
    <v>XNYS</v>
    <v>XNYS</v>
    <v>Route 206 And Province Line Road, PRINCETON, NJ, 08543 US</v>
    <v>54.73</v>
    <v>Pharmaceuticals</v>
    <v>Stock</v>
    <v>46020.678343147658</v>
    <v>42</v>
    <v>54.24</v>
    <v>111233500000</v>
    <v>BRISTOL-MYERS SQUIBB COMPANY</v>
    <v>BRISTOL-MYERS SQUIBB COMPANY</v>
    <v>54.65</v>
    <v>18.3658</v>
    <v>54.64</v>
    <v>54.28</v>
    <v>2035753000</v>
    <v>BMY</v>
    <v>BRISTOL-MYERS SQUIBB COMPANY (XNYS:BMY)</v>
    <v>1987443</v>
    <v>16745417</v>
    <v>1933</v>
  </rv>
  <rv s="2">
    <v>43</v>
  </rv>
  <rv s="0">
    <v>https://www.bing.com/financeapi/forcetrigger?t=a1p7zr&amp;q=XNYS%3aCAT&amp;form=skydnc</v>
    <v>Learn more on Bing</v>
  </rv>
  <rv s="1">
    <v>0</v>
    <v>CATERPILLAR INC. (XNYS:CAT)</v>
    <v>2</v>
    <v>3</v>
    <v>Finance</v>
    <v>4</v>
    <v>en-US</v>
    <v>a1p7zr</v>
    <v>268435456</v>
    <v>1</v>
    <v>Powered by Refinitiv</v>
    <v>627.5</v>
    <v>267.3</v>
    <v>1.5660000000000001</v>
    <v>-5.95</v>
    <v>-1.0206E-2</v>
    <v>USD</v>
    <v>Caterpillar Inc. is a manufacturer of construction and mining equipment, off-highway diesel and natural gas engines, industrial gas turbines and diesel-electric locomotives. The Company operates through its various segments, namely Construction Industries, Resource Industries, and Energy &amp; Transportation. It also provides financing and related services through its Financial Products segment. The Construction Industries segment is primarily responsible for supporting customers using machinery in infrastructure and building construction applications. The Resource Industries segment develops and manufactures high productivity equipment for both surface and underground mining operations, as well as provide hydraulic systems, electronics and software for its machines and engines. The Energy &amp; Transportation segment offers product and services that includes reciprocating engines, generator sets, integrated systems and solutions, turbines and turbine-related services.</v>
    <v>112900</v>
    <v>New York Stock Exchange</v>
    <v>XNYS</v>
    <v>XNYS</v>
    <v>5205 N. O'connor Boulevard, Suite 100, IRVING, TX, 75039 US</v>
    <v>583.49</v>
    <v>Machinery, Equipment &amp; Components</v>
    <v>Stock</v>
    <v>46020.678376967189</v>
    <v>45</v>
    <v>575.46</v>
    <v>270047628179</v>
    <v>CATERPILLAR INC.</v>
    <v>CATERPILLAR INC.</v>
    <v>580</v>
    <v>29.6083</v>
    <v>583</v>
    <v>577.04999999999995</v>
    <v>467979600</v>
    <v>CAT</v>
    <v>CATERPILLAR INC. (XNYS:CAT)</v>
    <v>554703</v>
    <v>2631506</v>
    <v>1986</v>
  </rv>
  <rv s="2">
    <v>46</v>
  </rv>
  <rv s="0">
    <v>https://www.bing.com/financeapi/forcetrigger?t=a1pcf2&amp;q=XNYS%3aCCI&amp;form=skydnc</v>
    <v>Learn more on Bing</v>
  </rv>
  <rv s="1">
    <v>0</v>
    <v>CROWN CASTLE INC. (XNYS:CCI)</v>
    <v>2</v>
    <v>3</v>
    <v>Finance</v>
    <v>4</v>
    <v>en-US</v>
    <v>a1pcf2</v>
    <v>268435456</v>
    <v>1</v>
    <v>Powered by Refinitiv</v>
    <v>115.76</v>
    <v>84.2</v>
    <v>0.97419999999999995</v>
    <v>0.35</v>
    <v>3.9649999999999998E-3</v>
    <v>USD</v>
    <v>Crown Castle Inc. owns, operates and leases more than 40,000 cell towers and approximately 90,000 route miles of fiber supporting small cells and fiber solutions across every United States market. Its core business is providing access, including space or capacity, to its shared communications infrastructure via long-term tenant contracts in various forms, including lease, license, sublease and service agreements in the United States. Its segments include Towers and Fiber, which includes both small cells and fiber solutions. The Towers segment provides access, including space or capacity, to the Company's more than 40,000 towers throughout the United States. The Towers segment also provides ancillary services relating to the Company's towers, consisting of site development services and installation services. The Fiber segment consists of communications infrastructure offerings of small cells and fiber solutions.</v>
    <v>3900</v>
    <v>New York Stock Exchange</v>
    <v>XNYS</v>
    <v>XNYS</v>
    <v>8020 Katy Freeway, HOUSTON, TX, 77024 US</v>
    <v>89.144999999999996</v>
    <v>Residential &amp; Commercial REIT</v>
    <v>Stock</v>
    <v>46020.678338575781</v>
    <v>48</v>
    <v>88.275000000000006</v>
    <v>38596503770</v>
    <v>CROWN CASTLE INC.</v>
    <v>CROWN CASTLE INC.</v>
    <v>88.3</v>
    <v>0</v>
    <v>88.28</v>
    <v>88.63</v>
    <v>435479000</v>
    <v>CCI</v>
    <v>CROWN CASTLE INC. (XNYS:CCI)</v>
    <v>479952</v>
    <v>2802034</v>
    <v>2014</v>
  </rv>
  <rv s="2">
    <v>49</v>
  </rv>
  <rv s="0">
    <v>https://www.bing.com/financeapi/forcetrigger?t=a1pshw&amp;q=XNYS%3aCL&amp;form=skydnc</v>
    <v>Learn more on Bing</v>
  </rv>
  <rv s="1">
    <v>0</v>
    <v>COLGATE-PALMOLIVE COMPANY (XNYS:CL)</v>
    <v>2</v>
    <v>3</v>
    <v>Finance</v>
    <v>4</v>
    <v>en-US</v>
    <v>a1pshw</v>
    <v>268435456</v>
    <v>1</v>
    <v>Powered by Refinitiv</v>
    <v>100.18</v>
    <v>74.545000000000002</v>
    <v>0.2969</v>
    <v>0.05</v>
    <v>6.2710000000000001E-4</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34000</v>
    <v>New York Stock Exchange</v>
    <v>XNYS</v>
    <v>XNYS</v>
    <v>300 PARK AVE, NEW YORK, NY, 10022 US</v>
    <v>80.094999999999999</v>
    <v>Personal &amp; Household Products &amp; Services</v>
    <v>Stock</v>
    <v>46020.678383610939</v>
    <v>51</v>
    <v>79.53</v>
    <v>64307857722</v>
    <v>COLGATE-PALMOLIVE COMPANY</v>
    <v>COLGATE-PALMOLIVE COMPANY</v>
    <v>79.66</v>
    <v>22.357399999999998</v>
    <v>79.73</v>
    <v>79.78</v>
    <v>806064900</v>
    <v>CL</v>
    <v>COLGATE-PALMOLIVE COMPANY (XNYS:CL)</v>
    <v>750964</v>
    <v>6123489</v>
    <v>1923</v>
  </rv>
  <rv s="2">
    <v>52</v>
  </rv>
  <rv s="0">
    <v>https://www.bing.com/financeapi/forcetrigger?t=a1pvu2&amp;q=XNYS%3aCLX&amp;form=skydnc</v>
    <v>Learn more on Bing</v>
  </rv>
  <rv s="1">
    <v>0</v>
    <v>THE CLOROX COMPANY (XNYS:CLX)</v>
    <v>2</v>
    <v>3</v>
    <v>Finance</v>
    <v>4</v>
    <v>en-US</v>
    <v>a1pvu2</v>
    <v>268435456</v>
    <v>1</v>
    <v>Powered by Refinitiv</v>
    <v>164.2184</v>
    <v>96.6601</v>
    <v>0.56950000000000001</v>
    <v>0.44</v>
    <v>4.4660000000000004E-3</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products within this segment include laundry additives, home care products, bags and wraps, cat litter, water-filtration products and others.</v>
    <v>7600</v>
    <v>New York Stock Exchange</v>
    <v>XNYS</v>
    <v>XNYS</v>
    <v>1221 Broadway, OAKLAND, CA, 94612-1888 US</v>
    <v>99.565899999999999</v>
    <v>Personal &amp; Household Products &amp; Services</v>
    <v>Stock</v>
    <v>46020.678388078122</v>
    <v>54</v>
    <v>98.12</v>
    <v>12072400188</v>
    <v>THE CLOROX COMPANY</v>
    <v>THE CLOROX COMPANY</v>
    <v>98.6</v>
    <v>15.5108</v>
    <v>98.53</v>
    <v>98.97</v>
    <v>121980400</v>
    <v>CLX</v>
    <v>THE CLOROX COMPANY (XNYS:CLX)</v>
    <v>543372</v>
    <v>2388799</v>
    <v>1986</v>
  </rv>
  <rv s="2">
    <v>55</v>
  </rv>
  <rv s="0">
    <v>https://www.bing.com/financeapi/forcetrigger?t=a1pwqh&amp;q=XNAS%3aCMCSA&amp;form=skydnc</v>
    <v>Learn more on Bing</v>
  </rv>
  <rv s="1">
    <v>0</v>
    <v>COMCAST CORPORATION (XNAS:CMCSA)</v>
    <v>2</v>
    <v>3</v>
    <v>Finance</v>
    <v>4</v>
    <v>en-US</v>
    <v>a1pwqh</v>
    <v>268435456</v>
    <v>1</v>
    <v>Powered by Refinitiv</v>
    <v>38.4</v>
    <v>25.75</v>
    <v>0.82210000000000005</v>
    <v>-9.5000000000000001E-2</v>
    <v>-3.2029999999999997E-3</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It operates through two primary businesses: Connectivity &amp; Platforms and Content &amp; Experiences. Connectivity &amp; Platforms includes its broadband, wireless, video and wireline voice businesses in the United States, United Kingdom and Italy. It also includes the operations of its Sky-branded entertainment television networks in the United Kingdom and Italy. Content &amp; Experiences includes its media and entertainment businesses that produce and distribute entertainment, sports, news and other content for global audiences and that own and operate theme parks and attractions in the United States and Asia.</v>
    <v>182000</v>
    <v>Nasdaq Stock Market</v>
    <v>XNAS</v>
    <v>XNAS</v>
    <v>One Comcast Center, PHILADELPHIA, PA, 19103-2838 US</v>
    <v>29.754999999999999</v>
    <v>Telecommunications Services</v>
    <v>Stock</v>
    <v>46020.678365647655</v>
    <v>57</v>
    <v>29.55</v>
    <v>107731755675</v>
    <v>COMCAST CORPORATION</v>
    <v>COMCAST CORPORATION</v>
    <v>29.66</v>
    <v>4.9088000000000003</v>
    <v>29.66</v>
    <v>29.565000000000001</v>
    <v>3643895000</v>
    <v>CMCSA</v>
    <v>COMCAST CORPORATION (XNAS:CMCSA)</v>
    <v>4409636</v>
    <v>38477833</v>
    <v>2001</v>
  </rv>
  <rv s="2">
    <v>58</v>
  </rv>
  <rv s="0">
    <v>https://www.bing.com/financeapi/forcetrigger?t=a1q19c&amp;q=XNYS%3aCNI&amp;form=skydnc</v>
    <v>Learn more on Bing</v>
  </rv>
  <rv s="1">
    <v>0</v>
    <v>Canadian National Railway Company (XNYS:CNI)</v>
    <v>2</v>
    <v>5</v>
    <v>Finance</v>
    <v>4</v>
    <v>en-US</v>
    <v>a1q19c</v>
    <v>268435456</v>
    <v>1</v>
    <v>Powered by Refinitiv</v>
    <v>108.745</v>
    <v>90.74</v>
    <v>0.89380000000000004</v>
    <v>0.70499999999999996</v>
    <v>7.1440000000000002E-3</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24237</v>
    <v>New York Stock Exchange</v>
    <v>XNYS</v>
    <v>XNYS</v>
    <v>935 de la Gauchetiere Street West, MONTREAL, QC, H3B 2M9 CA</v>
    <v>99.584999999999994</v>
    <v>Freight &amp; Logistics Services</v>
    <v>Stock</v>
    <v>46020.67818966406</v>
    <v>60</v>
    <v>98.605000000000004</v>
    <v>83159860000</v>
    <v>Canadian National Railway Company</v>
    <v>Canadian National Railway Company</v>
    <v>98.67</v>
    <v>18.7882</v>
    <v>98.69</v>
    <v>99.394999999999996</v>
    <v>616497500</v>
    <v>CNI</v>
    <v>Canadian National Railway Company (XNYS:CNI)</v>
    <v>136112</v>
    <v>1496289</v>
    <v>1995</v>
  </rv>
  <rv s="2">
    <v>61</v>
  </rv>
  <rv s="0">
    <v>https://www.bing.com/financeapi/forcetrigger?t=a1q6k2&amp;q=XNAS%3aCOST&amp;form=skydnc</v>
    <v>Learn more on Bing</v>
  </rv>
  <rv s="1">
    <v>0</v>
    <v>COSTCO WHOLESALE CORPORATION (XNAS:COST)</v>
    <v>2</v>
    <v>3</v>
    <v>Finance</v>
    <v>4</v>
    <v>en-US</v>
    <v>a1q6k2</v>
    <v>268435456</v>
    <v>1</v>
    <v>Powered by Refinitiv</v>
    <v>1078.2349999999999</v>
    <v>844.06</v>
    <v>1.0076000000000001</v>
    <v>-4.2915999999999999</v>
    <v>-4.914E-3</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874.5</v>
    <v>Diversified Retail</v>
    <v>Stock</v>
    <v>46020.678352892966</v>
    <v>63</v>
    <v>868.35029999999995</v>
    <v>385748430572</v>
    <v>COSTCO WHOLESALE CORPORATION</v>
    <v>COSTCO WHOLESALE CORPORATION</v>
    <v>872.56</v>
    <v>46.552900000000001</v>
    <v>873.35</v>
    <v>869.05840000000001</v>
    <v>443869400</v>
    <v>COST</v>
    <v>COSTCO WHOLESALE CORPORATION (XNAS:COST)</v>
    <v>551934</v>
    <v>2941201</v>
    <v>1987</v>
  </rv>
  <rv s="2">
    <v>64</v>
  </rv>
  <rv s="0">
    <v>https://www.bing.com/financeapi/forcetrigger?t=a1q7jc&amp;q=XNYS%3aCPB&amp;form=skydnc</v>
    <v>Learn more on Bing</v>
  </rv>
  <rv s="1">
    <v>0</v>
    <v>THE CAMPBELL'S COMPANY (XNAS:CPB)</v>
    <v>2</v>
    <v>3</v>
    <v>Finance</v>
    <v>4</v>
    <v>en-US</v>
    <v>a1q7jc</v>
    <v>268435456</v>
    <v>1</v>
    <v>Powered by Refinitiv</v>
    <v>43.85</v>
    <v>27.643599999999999</v>
    <v>-5.16E-2</v>
    <v>-8.4599999999999995E-2</v>
    <v>-3.0049999999999999E-3</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28.27</v>
    <v>Food &amp; Tobacco</v>
    <v>Stock</v>
    <v>46020.678353390627</v>
    <v>66</v>
    <v>28.05</v>
    <v>8367255576</v>
    <v>THE CAMPBELL'S COMPANY</v>
    <v>THE CAMPBELL'S COMPANY</v>
    <v>28.2</v>
    <v>14.5319</v>
    <v>28.15</v>
    <v>28.0654</v>
    <v>298134200</v>
    <v>CPB</v>
    <v>THE CAMPBELL'S COMPANY (XNAS:CPB)</v>
    <v>889342</v>
    <v>7086923</v>
    <v>1922</v>
  </rv>
  <rv s="2">
    <v>67</v>
  </rv>
  <rv s="0">
    <v>https://www.bing.com/financeapi/forcetrigger?t=a1qlnm&amp;q=XNYS%3aCVS&amp;form=skydnc</v>
    <v>Learn more on Bing</v>
  </rv>
  <rv s="1">
    <v>0</v>
    <v>CVS HEALTH CORPORATION (XNYS:CVS)</v>
    <v>2</v>
    <v>3</v>
    <v>Finance</v>
    <v>4</v>
    <v>en-US</v>
    <v>a1qlnm</v>
    <v>268435456</v>
    <v>1</v>
    <v>Powered by Refinitiv</v>
    <v>85.15</v>
    <v>43.65</v>
    <v>0.4824</v>
    <v>0.17</v>
    <v>2.1349999999999997E-3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80.224999999999994</v>
    <v>Healthcare Providers &amp; Services</v>
    <v>Stock</v>
    <v>46020.678390000001</v>
    <v>69</v>
    <v>79.61</v>
    <v>101275284960</v>
    <v>CVS HEALTH CORPORATION</v>
    <v>CVS HEALTH CORPORATION</v>
    <v>79.62</v>
    <v>209.01230000000001</v>
    <v>79.61</v>
    <v>79.78</v>
    <v>1269432000</v>
    <v>CVS</v>
    <v>CVS HEALTH CORPORATION (XNYS:CVS)</v>
    <v>1030852</v>
    <v>7178551</v>
    <v>1996</v>
  </rv>
  <rv s="2">
    <v>70</v>
  </rv>
  <rv s="0">
    <v>https://www.bing.com/financeapi/forcetrigger?t=a1qlz2&amp;q=XNYS%3aCVX&amp;form=skydnc</v>
    <v>Learn more on Bing</v>
  </rv>
  <rv s="1">
    <v>0</v>
    <v>CHEVRON CORPORATION (XNYS:CVX)</v>
    <v>2</v>
    <v>3</v>
    <v>Finance</v>
    <v>4</v>
    <v>en-US</v>
    <v>a1qlz2</v>
    <v>268435456</v>
    <v>1</v>
    <v>Powered by Refinitiv</v>
    <v>168.96</v>
    <v>132.04</v>
    <v>0.68720000000000003</v>
    <v>1.29</v>
    <v>8.5990000000000007E-3</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45298</v>
    <v>New York Stock Exchange</v>
    <v>XNYS</v>
    <v>XNYS</v>
    <v>1400 SMITH STREET, HOUSTON, TX, 77002 US</v>
    <v>151.63650000000001</v>
    <v>Oil &amp; Gas</v>
    <v>Stock</v>
    <v>46020.67835820547</v>
    <v>72</v>
    <v>150.08500000000001</v>
    <v>304666013820</v>
    <v>CHEVRON CORPORATION</v>
    <v>CHEVRON CORPORATION</v>
    <v>151.04</v>
    <v>21.3657</v>
    <v>150.02000000000001</v>
    <v>151.31</v>
    <v>2013522000</v>
    <v>CVX</v>
    <v>CHEVRON CORPORATION (XNYS:CVX)</v>
    <v>1479562</v>
    <v>8749667</v>
    <v>1926</v>
  </rv>
  <rv s="2">
    <v>73</v>
  </rv>
  <rv s="0">
    <v>https://www.bing.com/financeapi/forcetrigger?t=a1qpw7&amp;q=XNYS%3aD&amp;form=skydnc</v>
    <v>Learn more on Bing</v>
  </rv>
  <rv s="1">
    <v>0</v>
    <v>Dominion Energy, Inc. (XNYS:D)</v>
    <v>2</v>
    <v>3</v>
    <v>Finance</v>
    <v>4</v>
    <v>en-US</v>
    <v>a1qpw7</v>
    <v>268435456</v>
    <v>1</v>
    <v>Powered by Refinitiv</v>
    <v>62.87</v>
    <v>48.07</v>
    <v>0.69310000000000005</v>
    <v>0.39</v>
    <v>6.5880000000000001E-3</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14700</v>
    <v>New York Stock Exchange</v>
    <v>XNYS</v>
    <v>XNYS</v>
    <v>600 EAST CANAL STREET, RICHMOND, VA, 23219 US</v>
    <v>59.69</v>
    <v>Electrical Utilities &amp; IPPs</v>
    <v>Stock</v>
    <v>46020.678325312503</v>
    <v>75</v>
    <v>59.15</v>
    <v>50884693547</v>
    <v>Dominion Energy, Inc.</v>
    <v>Dominion Energy, Inc.</v>
    <v>59.244999999999997</v>
    <v>22.368600000000001</v>
    <v>59.2</v>
    <v>59.59</v>
    <v>853913300</v>
    <v>D</v>
    <v>Dominion Energy, Inc. (XNYS:D)</v>
    <v>779704</v>
    <v>7102101</v>
    <v>1983</v>
  </rv>
  <rv s="2">
    <v>76</v>
  </rv>
  <rv s="0">
    <v>https://www.bing.com/financeapi/forcetrigger?t=a1qvjc&amp;q=XNYS%3aDE&amp;form=skydnc</v>
    <v>Learn more on Bing</v>
  </rv>
  <rv s="1">
    <v>0</v>
    <v>DEERE &amp; COMPANY (XNYS:DE)</v>
    <v>2</v>
    <v>3</v>
    <v>Finance</v>
    <v>4</v>
    <v>en-US</v>
    <v>a1qvjc</v>
    <v>268435456</v>
    <v>1</v>
    <v>Powered by Refinitiv</v>
    <v>533.78</v>
    <v>403.01</v>
    <v>1.0093000000000001</v>
    <v>-2.06</v>
    <v>-4.3930000000000002E-3</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73100</v>
    <v>New York Stock Exchange</v>
    <v>XNYS</v>
    <v>XNYS</v>
    <v>One John Deere Place, MOLINE, IL, 61265 US</v>
    <v>471.75</v>
    <v>Machinery, Equipment &amp; Components</v>
    <v>Stock</v>
    <v>46020.678357221877</v>
    <v>78</v>
    <v>465.94</v>
    <v>126262843898</v>
    <v>DEERE &amp; COMPANY</v>
    <v>DEERE &amp; COMPANY</v>
    <v>469.45</v>
    <v>25.227399999999999</v>
    <v>468.93</v>
    <v>466.87</v>
    <v>270445400</v>
    <v>DE</v>
    <v>DEERE &amp; COMPANY (XNYS:DE)</v>
    <v>232348</v>
    <v>1694147</v>
    <v>1958</v>
  </rv>
  <rv s="2">
    <v>79</v>
  </rv>
  <rv s="0">
    <v>https://www.bing.com/financeapi/forcetrigger?t=a1qwoc&amp;q=XNYS%3aDEO&amp;form=skydnc</v>
    <v>Learn more on Bing</v>
  </rv>
  <rv s="1">
    <v>0</v>
    <v>DIAGEO PLC (XNYS:DEO)</v>
    <v>2</v>
    <v>3</v>
    <v>Finance</v>
    <v>4</v>
    <v>en-US</v>
    <v>a1qwoc</v>
    <v>268435456</v>
    <v>1</v>
    <v>Powered by Refinitiv</v>
    <v>127.32989999999999</v>
    <v>85.114999999999995</v>
    <v>0.44740000000000002</v>
    <v>-0.45</v>
    <v>-5.2129999999999998E-3</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86.81</v>
    <v>Beverages</v>
    <v>Stock</v>
    <v>46020.678316191406</v>
    <v>81</v>
    <v>85.8155</v>
    <v>47782060000</v>
    <v>DIAGEO PLC</v>
    <v>DIAGEO PLC</v>
    <v>85.93</v>
    <v>20.3185</v>
    <v>86.32</v>
    <v>85.87</v>
    <v>556603100</v>
    <v>DEO</v>
    <v>DIAGEO PLC (XNYS:DEO)</v>
    <v>651609</v>
    <v>1567717</v>
    <v>1886</v>
  </rv>
  <rv s="2">
    <v>82</v>
  </rv>
  <rv s="0">
    <v>https://www.bing.com/financeapi/forcetrigger?t=bpifbh&amp;q=XNYS%3aDOW&amp;form=skydnc</v>
    <v>Learn more on Bing</v>
  </rv>
  <rv s="3">
    <v>6</v>
    <v>Dow Inc. (XNYS:DOW)</v>
    <v>2</v>
    <v>7</v>
    <v>Finance</v>
    <v>4</v>
    <v>en-US</v>
    <v>bpifbh</v>
    <v>268435456</v>
    <v>1</v>
    <v>Powered by Refinitiv</v>
    <v>42.173999999999999</v>
    <v>20.401900000000001</v>
    <v>0.77529999999999999</v>
    <v>-0.27</v>
    <v>-1.1592999999999999E-2</v>
    <v>USD</v>
    <v>Dow Inc. serves as a holding company for The Dow Chemical Company and its subsidiaries. The Company conducts its operations through six global businesses, which are organized into segments, such as Packaging &amp; Specialty Plastics, Industrial Intermediates &amp; Infrastructure and Performance Materials &amp; Coatings. Packaging &amp; Specialty Plastics segment consists of two integrated global businesses: Hydrocarbons &amp; Energy and Packaging and Specialty Plastics. This segment employs a polyolefin product portfolio. Industrial Intermediates &amp; Infrastructure segment consists of two customer-centric global businesses: Industrial Solutions and Polyurethanes &amp; Construction Chemicals that develop intermediate chemicals that are essential to manufacturing processes, as well as downstream, customized materials and formulations that use advanced development technologies. Performance Materials &amp; Coatings segment consists of two global businesses: Coatings &amp; Performance Monomers and Consumer Solutions.</v>
    <v>36000</v>
    <v>New York Stock Exchange</v>
    <v>XNYS</v>
    <v>XNYS</v>
    <v>2211 H.H. Dow Way, MIDLAND, MI, 48674 US</v>
    <v>23.25</v>
    <v>Chemicals</v>
    <v>Stock</v>
    <v>46020.678341353909</v>
    <v>84</v>
    <v>22.9801</v>
    <v>16361865548</v>
    <v>Dow Inc.</v>
    <v>Dow Inc.</v>
    <v>23.2</v>
    <v>23.29</v>
    <v>23.02</v>
    <v>710767400</v>
    <v>DOW</v>
    <v>Dow Inc. (XNYS:DOW)</v>
    <v>2285298</v>
    <v>11794685</v>
    <v>2018</v>
  </rv>
  <rv s="2">
    <v>85</v>
  </rv>
  <rv s="4">
    <v>12</v>
    <v>P/E</v>
    <v>0</v>
  </rv>
  <rv s="0">
    <v>https://www.bing.com/financeapi/forcetrigger?t=a1rdzr&amp;q=XNYS%3aDUK&amp;form=skydnc</v>
    <v>Learn more on Bing</v>
  </rv>
  <rv s="1">
    <v>0</v>
    <v>DUKE ENERGY CORPORATION (XNYS:DUK)</v>
    <v>2</v>
    <v>3</v>
    <v>Finance</v>
    <v>4</v>
    <v>en-US</v>
    <v>a1rdzr</v>
    <v>268435456</v>
    <v>1</v>
    <v>Powered by Refinitiv</v>
    <v>130.03</v>
    <v>105.2</v>
    <v>0.48399999999999999</v>
    <v>0.68</v>
    <v>5.803E-3</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26413</v>
    <v>New York Stock Exchange</v>
    <v>XNYS</v>
    <v>XNYS</v>
    <v>525 South Tryon Street, CHARLOTTE, NC, 28202-1803 US</v>
    <v>118.03</v>
    <v>Electrical Utilities &amp; IPPs</v>
    <v>Stock</v>
    <v>46020.678316238278</v>
    <v>88</v>
    <v>117.08</v>
    <v>91655149032</v>
    <v>DUKE ENERGY CORPORATION</v>
    <v>DUKE ENERGY CORPORATION</v>
    <v>117.3</v>
    <v>18.517499999999998</v>
    <v>117.18</v>
    <v>117.86</v>
    <v>777661200</v>
    <v>DUK</v>
    <v>DUKE ENERGY CORPORATION (XNYS:DUK)</v>
    <v>586950</v>
    <v>3409636</v>
    <v>2005</v>
  </rv>
  <rv s="2">
    <v>89</v>
  </rv>
  <rv s="0">
    <v>https://www.bing.com/financeapi/forcetrigger?t=a1rmkr&amp;q=XNYS%3aED&amp;form=skydnc</v>
    <v>Learn more on Bing</v>
  </rv>
  <rv s="1">
    <v>0</v>
    <v>CONSOLIDATED EDISON, INC. (XNYS:ED)</v>
    <v>2</v>
    <v>3</v>
    <v>Finance</v>
    <v>4</v>
    <v>en-US</v>
    <v>a1rmkr</v>
    <v>268435456</v>
    <v>1</v>
    <v>Powered by Refinitiv</v>
    <v>114.87</v>
    <v>87.28</v>
    <v>0.37790000000000001</v>
    <v>0.53</v>
    <v>5.3369999999999997E-3</v>
    <v>USD</v>
    <v>Consolidated Edison, Inc. is an energy-delivery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and its utility subsidiary, Rockland Electric Company, provide electric service to customers in southeastern New York and northern New Jersey, a 1,300 square mile service area. O&amp;R delivers gas to customers in southeastern New York. Con Edison Transmission, Inc. falls primarily under the oversight of the Federal Energy Regulatory Commission and manages, through joint ventures, both electric and gas assets while seeking to develop electric transmission projects.</v>
    <v>15097</v>
    <v>New York Stock Exchange</v>
    <v>XNYS</v>
    <v>XNYS</v>
    <v>4 Irving Place, NEW YORK, NY, 10003 US</v>
    <v>100.07</v>
    <v>Electrical Utilities &amp; IPPs</v>
    <v>Stock</v>
    <v>46020.678336110941</v>
    <v>91</v>
    <v>99.21</v>
    <v>36032200948</v>
    <v>CONSOLIDATED EDISON, INC.</v>
    <v>CONSOLIDATED EDISON, INC.</v>
    <v>99.55</v>
    <v>17.438500000000001</v>
    <v>99.3</v>
    <v>99.83</v>
    <v>360935600</v>
    <v>ED</v>
    <v>CONSOLIDATED EDISON, INC. (XNYS:ED)</v>
    <v>228281</v>
    <v>2336860</v>
    <v>1997</v>
  </rv>
  <rv s="2">
    <v>92</v>
  </rv>
  <rv s="0">
    <v>https://www.bing.com/financeapi/forcetrigger?t=a1rxu2&amp;q=XNYS%3aEMN&amp;form=skydnc</v>
    <v>Learn more on Bing</v>
  </rv>
  <rv s="1">
    <v>0</v>
    <v>EASTMAN CHEMICAL COMPANY (XNYS:EMN)</v>
    <v>2</v>
    <v>3</v>
    <v>Finance</v>
    <v>4</v>
    <v>en-US</v>
    <v>a1rxu2</v>
    <v>268435456</v>
    <v>1</v>
    <v>Powered by Refinitiv</v>
    <v>103.82</v>
    <v>56.11</v>
    <v>1.2466999999999999</v>
    <v>-0.16</v>
    <v>-2.519E-3</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14000</v>
    <v>New York Stock Exchange</v>
    <v>XNYS</v>
    <v>XNYS</v>
    <v>Po Box 511, 200 South Wilcox Drive, KINGSPORT, TN, 37660 US</v>
    <v>64</v>
    <v>Chemicals</v>
    <v>Stock</v>
    <v>46020.678217846878</v>
    <v>94</v>
    <v>63.030099999999997</v>
    <v>7227462528</v>
    <v>EASTMAN CHEMICAL COMPANY</v>
    <v>EASTMAN CHEMICAL COMPANY</v>
    <v>63.55</v>
    <v>10.5563</v>
    <v>63.52</v>
    <v>63.36</v>
    <v>114069800</v>
    <v>EMN</v>
    <v>EASTMAN CHEMICAL COMPANY (XNYS:EMN)</v>
    <v>216484</v>
    <v>1669077</v>
    <v>1993</v>
  </rv>
  <rv s="2">
    <v>95</v>
  </rv>
  <rv s="0">
    <v>https://www.bing.com/financeapi/forcetrigger?t=a1s24c&amp;q=XNYS%3aEOG&amp;form=skydnc</v>
    <v>Learn more on Bing</v>
  </rv>
  <rv s="1">
    <v>0</v>
    <v>EOG RESOURCES, INC. (XNYS:EOG)</v>
    <v>2</v>
    <v>3</v>
    <v>Finance</v>
    <v>4</v>
    <v>en-US</v>
    <v>a1s24c</v>
    <v>268435456</v>
    <v>1</v>
    <v>Powered by Refinitiv</v>
    <v>138.18</v>
    <v>101.5936</v>
    <v>0.48499999999999999</v>
    <v>1.325</v>
    <v>1.2802000000000001E-2</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3150</v>
    <v>New York Stock Exchange</v>
    <v>XNYS</v>
    <v>XNYS</v>
    <v>1111 Bagby, Sky Lobby 2, HOUSTON, TX, 77002 US</v>
    <v>105.08</v>
    <v>Oil &amp; Gas</v>
    <v>Stock</v>
    <v>46020.678366770313</v>
    <v>97</v>
    <v>104.0301</v>
    <v>56877877280</v>
    <v>EOG RESOURCES, INC.</v>
    <v>EOG RESOURCES, INC.</v>
    <v>104.63</v>
    <v>10.421099999999999</v>
    <v>103.5</v>
    <v>104.825</v>
    <v>542598400</v>
    <v>EOG</v>
    <v>EOG RESOURCES, INC. (XNYS:EOG)</v>
    <v>744542</v>
    <v>3749713</v>
    <v>1985</v>
  </rv>
  <rv s="2">
    <v>98</v>
  </rv>
  <rv s="0">
    <v>https://www.bing.com/financeapi/forcetrigger?t=a1sl52&amp;q=XNAS%3aFAST&amp;form=skydnc</v>
    <v>Learn more on Bing</v>
  </rv>
  <rv s="1">
    <v>0</v>
    <v>Fastenal Company (XNAS:FAST)</v>
    <v>2</v>
    <v>3</v>
    <v>Finance</v>
    <v>4</v>
    <v>en-US</v>
    <v>a1sl52</v>
    <v>268435456</v>
    <v>1</v>
    <v>Powered by Refinitiv</v>
    <v>50.63</v>
    <v>35.305</v>
    <v>0.89639999999999997</v>
    <v>-0.13</v>
    <v>-3.1280000000000001E-3</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The Company also invests in digital solutions that aim to deliver value for its customers, leverage local inventory for same-day solutions, and provide service. It serves general and commercial contractors in non-residential end markets as well as farmers, truckers, railroads, oil exploration companies, oil production and refinement companies, mining companies, federal, state, and local governmental entities, schools, and certain retail trades.</v>
    <v>21568</v>
    <v>Nasdaq Stock Market</v>
    <v>XNAS</v>
    <v>XNAS</v>
    <v>2001 Theurer Blvd, WINONA, MN, 55987 US</v>
    <v>41.72</v>
    <v>Machinery, Equipment &amp; Components</v>
    <v>Stock</v>
    <v>46020.678354767966</v>
    <v>100</v>
    <v>41.38</v>
    <v>47563131480</v>
    <v>Fastenal Company</v>
    <v>Fastenal Company</v>
    <v>41.58</v>
    <v>38.846699999999998</v>
    <v>41.56</v>
    <v>41.43</v>
    <v>1148036000</v>
    <v>FAST</v>
    <v>Fastenal Company (XNAS:FAST)</v>
    <v>831051</v>
    <v>7209238</v>
    <v>1968</v>
  </rv>
  <rv s="2">
    <v>101</v>
  </rv>
  <rv s="0">
    <v>https://www.bing.com/financeapi/forcetrigger?t=a1sqr7&amp;q=XNYS%3aFDX&amp;form=skydnc</v>
    <v>Learn more on Bing</v>
  </rv>
  <rv s="1">
    <v>0</v>
    <v>FEDEX CORPORATION (XNYS:FDX)</v>
    <v>2</v>
    <v>3</v>
    <v>Finance</v>
    <v>4</v>
    <v>en-US</v>
    <v>a1sqr7</v>
    <v>268435456</v>
    <v>1</v>
    <v>Powered by Refinitiv</v>
    <v>296.995</v>
    <v>194.29499999999999</v>
    <v>1.3626</v>
    <v>-3.03</v>
    <v>-1.0225E-2</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296.995</v>
    <v>Freight &amp; Logistics Services</v>
    <v>Stock</v>
    <v>46020.678382418751</v>
    <v>103</v>
    <v>292.58</v>
    <v>68961517240</v>
    <v>FEDEX CORPORATION</v>
    <v>FEDEX CORPORATION</v>
    <v>295.79000000000002</v>
    <v>16.190999999999999</v>
    <v>296.33</v>
    <v>293.3</v>
    <v>235122800</v>
    <v>FDX</v>
    <v>FEDEX CORPORATION (XNYS:FDX)</v>
    <v>293337</v>
    <v>1685982</v>
    <v>1997</v>
  </rv>
  <rv s="2">
    <v>104</v>
  </rv>
  <rv s="0">
    <v>https://www.bing.com/financeapi/forcetrigger?t=a1t227&amp;q=XNYS%3aFLO&amp;form=skydnc</v>
    <v>Learn more on Bing</v>
  </rv>
  <rv s="1">
    <v>0</v>
    <v>FLOWERS FOODS, INC. (XNYS:FLO)</v>
    <v>2</v>
    <v>3</v>
    <v>Finance</v>
    <v>4</v>
    <v>en-US</v>
    <v>a1t227</v>
    <v>268435456</v>
    <v>1</v>
    <v>Powered by Refinitiv</v>
    <v>20.914999999999999</v>
    <v>10.34</v>
    <v>0.31440000000000001</v>
    <v>0.02</v>
    <v>1.8370000000000001E-3</v>
    <v>USD</v>
    <v>Flowers Foods, Inc. is a producer and marketer of packaged bakery foods in the United States. The Company operates bakeries across the country that produce a wide range of bakery products. Its principal products include breads, buns, rolls, snack items, bagels, English muffins, and tortillas and are sold under a variety of brand names, including Nature’s Own, Dave’s Killer Bread (DKB), Wonder, Canyon Bakehouse, Tastykake, and Mrs. Freshley’s. Its brands and products are sold through various channels throughout the United States. These channels include supermarkets, drugstores, mass merchandisers, discount stores, club stores, convenience stores, thrift outlet stores, and foodservice, among others. It also supplies national and regional restaurants, institutions and foodservice distributors, and retail in-store bakeries with breads and rolls; sells packaged bakery products to wholesale distributors for ultimate sale to a wide variety of food outlets; and sells packaged snack cakes.</v>
    <v>10200</v>
    <v>New York Stock Exchange</v>
    <v>XNYS</v>
    <v>XNYS</v>
    <v>1919 Flowers Cir, THOMASVILLE, GA, 31757 US</v>
    <v>10.965</v>
    <v>Food &amp; Tobacco</v>
    <v>Stock</v>
    <v>46020.678308205468</v>
    <v>106</v>
    <v>10.85</v>
    <v>2303954162</v>
    <v>FLOWERS FOODS, INC.</v>
    <v>FLOWERS FOODS, INC.</v>
    <v>10.92</v>
    <v>11.9209</v>
    <v>10.89</v>
    <v>10.91</v>
    <v>211178200</v>
    <v>FLO</v>
    <v>FLOWERS FOODS, INC. (XNYS:FLO)</v>
    <v>720378</v>
    <v>4364506</v>
    <v>2000</v>
  </rv>
  <rv s="2">
    <v>107</v>
  </rv>
  <rv s="0">
    <v>https://www.bing.com/financeapi/forcetrigger?t=a1tppr&amp;q=XNYS%3aGD&amp;form=skydnc</v>
    <v>Learn more on Bing</v>
  </rv>
  <rv s="1">
    <v>0</v>
    <v>GENERAL DYNAMICS CORPORATION (XNYS:GD)</v>
    <v>2</v>
    <v>3</v>
    <v>Finance</v>
    <v>4</v>
    <v>en-US</v>
    <v>a1tppr</v>
    <v>268435456</v>
    <v>1</v>
    <v>Powered by Refinitiv</v>
    <v>360.5</v>
    <v>239.2</v>
    <v>0.4118</v>
    <v>-0.92</v>
    <v>-2.6879999999999999E-3</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343.73</v>
    <v>Aerospace &amp; Defense</v>
    <v>Stock</v>
    <v>46020.678331041403</v>
    <v>109</v>
    <v>341.27</v>
    <v>92186724240</v>
    <v>GENERAL DYNAMICS CORPORATION</v>
    <v>GENERAL DYNAMICS CORPORATION</v>
    <v>342.99</v>
    <v>22.126100000000001</v>
    <v>342.2</v>
    <v>341.28</v>
    <v>270120500</v>
    <v>GD</v>
    <v>GENERAL DYNAMICS CORPORATION (XNYS:GD)</v>
    <v>89307</v>
    <v>1163196</v>
    <v>1952</v>
  </rv>
  <rv s="2">
    <v>110</v>
  </rv>
  <rv s="0">
    <v>https://www.bing.com/financeapi/forcetrigger?t=a1tvzr&amp;q=XNYS%3aGIS&amp;form=skydnc</v>
    <v>Learn more on Bing</v>
  </rv>
  <rv s="1">
    <v>0</v>
    <v>GENERAL MILLS, INC. (XNYS:GIS)</v>
    <v>2</v>
    <v>3</v>
    <v>Finance</v>
    <v>4</v>
    <v>en-US</v>
    <v>a1tvzr</v>
    <v>268435456</v>
    <v>1</v>
    <v>Powered by Refinitiv</v>
    <v>67.349999999999994</v>
    <v>45.15</v>
    <v>-6.9599999999999995E-2</v>
    <v>-0.115</v>
    <v>-2.444E-3</v>
    <v>USD</v>
    <v>General Mills, Inc. is a global manufacturer and marketer of branded consumer foods. Its segments include North America Retail; International; North America Pet, and North America Foodservice. The North America Retail segment reflects business with a variety of grocery stores, mass merchandisers, membership stores, natural food chains, drug, dollar and discount chains, convenience stores, and e-commerce grocery providers. The International segment consists of retail and foodservice businesses outside the United States and Canada. Its product categories include super-premium ice cream and frozen desserts, meal kits, salty snacks, snack bars, dessert and baking mixes, and shelf-stable vegetables. The North America Pet segment includes pet food products sold in the United States and Canada in national pet superstore chains, e-commerce retailers, and grocery stores. The North America Foodservice segment product categories include ready-to-eat cereals, snacks, and baking mixes.</v>
    <v>33000</v>
    <v>New York Stock Exchange</v>
    <v>XNYS</v>
    <v>XNYS</v>
    <v>Number One General Mills Blvd, MINNEAPOLIS, MN, 55426 US</v>
    <v>47.31</v>
    <v>Food &amp; Tobacco</v>
    <v>Stock</v>
    <v>46020.678359548438</v>
    <v>112</v>
    <v>46.92</v>
    <v>25043675863</v>
    <v>GENERAL MILLS, INC.</v>
    <v>GENERAL MILLS, INC.</v>
    <v>47.21</v>
    <v>10.0695</v>
    <v>47.05</v>
    <v>46.935000000000002</v>
    <v>533582100</v>
    <v>GIS</v>
    <v>GENERAL MILLS, INC. (XNYS:GIS)</v>
    <v>1284661</v>
    <v>7009090</v>
    <v>1928</v>
  </rv>
  <rv s="2">
    <v>113</v>
  </rv>
  <rv s="0">
    <v>https://www.bing.com/financeapi/forcetrigger?t=a1u3rw&amp;q=XNAS%3aGOOGL&amp;form=skydnc</v>
    <v>Learn more on Bing</v>
  </rv>
  <rv s="1">
    <v>0</v>
    <v>ALPHABET INC. (XNAS:GOOGL)</v>
    <v>2</v>
    <v>3</v>
    <v>Finance</v>
    <v>4</v>
    <v>en-US</v>
    <v>a1u3rw</v>
    <v>268435456</v>
    <v>1</v>
    <v>Powered by Refinitiv</v>
    <v>328.83</v>
    <v>140.53</v>
    <v>1.0823</v>
    <v>-1.3049999999999999</v>
    <v>-4.163E-3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190167</v>
    <v>Nasdaq Stock Market</v>
    <v>XNAS</v>
    <v>XNAS</v>
    <v>1600 Amphitheatre Parkway, MOUNTAIN VIEW, CA, 94043 US</v>
    <v>313.44</v>
    <v>Software &amp; IT Services</v>
    <v>Stock</v>
    <v>46020.678379432815</v>
    <v>115</v>
    <v>310.64999999999998</v>
    <v>3790965000000</v>
    <v>ALPHABET INC.</v>
    <v>ALPHABET INC.</v>
    <v>311.52999999999997</v>
    <v>30.7867</v>
    <v>313.51</v>
    <v>312.20499999999998</v>
    <v>12067000000</v>
    <v>GOOGL</v>
    <v>ALPHABET INC. (XNAS:GOOGL)</v>
    <v>7016629</v>
    <v>40487219</v>
    <v>2015</v>
  </rv>
  <rv s="2">
    <v>116</v>
  </rv>
  <rv s="0">
    <v>https://www.bing.com/financeapi/forcetrigger?t=a1uj52&amp;q=XNYS%3aHD&amp;form=skydnc</v>
    <v>Learn more on Bing</v>
  </rv>
  <rv s="1">
    <v>0</v>
    <v>THE HOME DEPOT, INC. (XNYS:HD)</v>
    <v>2</v>
    <v>3</v>
    <v>Finance</v>
    <v>4</v>
    <v>en-US</v>
    <v>a1uj52</v>
    <v>268435456</v>
    <v>1</v>
    <v>Powered by Refinitiv</v>
    <v>426.75</v>
    <v>326.31</v>
    <v>1.0680000000000001</v>
    <v>-3.41</v>
    <v>-9.7490000000000007E-3</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470000</v>
    <v>New York Stock Exchange</v>
    <v>XNYS</v>
    <v>XNYS</v>
    <v>2455 Paces Ferry Road, ATLANTA, GA, 30339 US</v>
    <v>350.31</v>
    <v>Specialty Retailers</v>
    <v>Stock</v>
    <v>46020.678352534378</v>
    <v>118</v>
    <v>346.00009999999997</v>
    <v>344815318255</v>
    <v>THE HOME DEPOT, INC.</v>
    <v>THE HOME DEPOT, INC.</v>
    <v>350.1</v>
    <v>23.6251</v>
    <v>349.78</v>
    <v>346.37</v>
    <v>995511500</v>
    <v>HD</v>
    <v>THE HOME DEPOT, INC. (XNYS:HD)</v>
    <v>653852</v>
    <v>4913662</v>
    <v>1978</v>
  </rv>
  <rv s="2">
    <v>119</v>
  </rv>
  <rv s="0">
    <v>https://www.bing.com/financeapi/forcetrigger?t=a1uv7w&amp;q=XNYS%3aHRL&amp;form=skydnc</v>
    <v>Learn more on Bing</v>
  </rv>
  <rv s="1">
    <v>0</v>
    <v>HORMEL FOODS CORPORATION (XNYS:HRL)</v>
    <v>2</v>
    <v>3</v>
    <v>Finance</v>
    <v>4</v>
    <v>en-US</v>
    <v>a1uv7w</v>
    <v>268435456</v>
    <v>1</v>
    <v>Powered by Refinitiv</v>
    <v>32.07</v>
    <v>21.03</v>
    <v>0.3276</v>
    <v>-0.17549999999999999</v>
    <v>-7.2340000000000008E-3</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24.33</v>
    <v>Food &amp; Tobacco</v>
    <v>Stock</v>
    <v>46020.67835894609</v>
    <v>121</v>
    <v>24.026199999999999</v>
    <v>13249049633</v>
    <v>HORMEL FOODS CORPORATION</v>
    <v>HORMEL FOODS CORPORATION</v>
    <v>24.3</v>
    <v>27.721599999999999</v>
    <v>24.26</v>
    <v>24.084499999999998</v>
    <v>550106900</v>
    <v>HRL</v>
    <v>HORMEL FOODS CORPORATION (XNYS:HRL)</v>
    <v>582987</v>
    <v>5467132</v>
    <v>1928</v>
  </rv>
  <rv s="2">
    <v>122</v>
  </rv>
  <rv s="0">
    <v>https://www.bing.com/financeapi/forcetrigger?t=a1uwu2&amp;q=XNYS%3aHSY&amp;form=skydnc</v>
    <v>Learn more on Bing</v>
  </rv>
  <rv s="1">
    <v>0</v>
    <v>THE HERSHEY COMPANY (XNYS:HSY)</v>
    <v>2</v>
    <v>3</v>
    <v>Finance</v>
    <v>4</v>
    <v>en-US</v>
    <v>a1uwu2</v>
    <v>268435456</v>
    <v>1</v>
    <v>Powered by Refinitiv</v>
    <v>199</v>
    <v>140.13</v>
    <v>0.17219999999999999</v>
    <v>-2.1800000000000002</v>
    <v>-1.1835E-2</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18540</v>
    <v>New York Stock Exchange</v>
    <v>XNYS</v>
    <v>XNYS</v>
    <v>19 East Chocolate Avenue, External Rptg &amp; Compliance, HERSHEY, PA, 17033 US</v>
    <v>184.61</v>
    <v>Food &amp; Tobacco</v>
    <v>Stock</v>
    <v>46020.678318888284</v>
    <v>124</v>
    <v>181.99</v>
    <v>36910943902</v>
    <v>THE HERSHEY COMPANY</v>
    <v>THE HERSHEY COMPANY</v>
    <v>184.37</v>
    <v>20.970500000000001</v>
    <v>184.2</v>
    <v>182.02</v>
    <v>202785100</v>
    <v>HSY</v>
    <v>THE HERSHEY COMPANY (XNYS:HSY)</v>
    <v>288277</v>
    <v>1477307</v>
    <v>1927</v>
  </rv>
  <rv s="2">
    <v>125</v>
  </rv>
  <rv s="0">
    <v>https://www.bing.com/financeapi/forcetrigger?t=a1vmf2&amp;q=XNAS%3aINTC&amp;form=skydnc</v>
    <v>Learn more on Bing</v>
  </rv>
  <rv s="1">
    <v>0</v>
    <v>INTEL CORPORATION (XNAS:INTC)</v>
    <v>2</v>
    <v>3</v>
    <v>Finance</v>
    <v>4</v>
    <v>en-US</v>
    <v>a1vmf2</v>
    <v>268435456</v>
    <v>1</v>
    <v>Powered by Refinitiv</v>
    <v>44.02</v>
    <v>17.664999999999999</v>
    <v>1.3445</v>
    <v>0.26</v>
    <v>7.1819999999999991E-3</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108900</v>
    <v>Nasdaq Stock Market</v>
    <v>XNAS</v>
    <v>XNAS</v>
    <v>2200 Mission College Blvd, Rnb-4-151, SANTA CLARA, CA, 95054 US</v>
    <v>36.700000000000003</v>
    <v>Semiconductors &amp; Semiconductor Equipment</v>
    <v>Stock</v>
    <v>46020.67834818281</v>
    <v>127</v>
    <v>35.82</v>
    <v>173914200000</v>
    <v>INTEL CORPORATION</v>
    <v>INTEL CORPORATION</v>
    <v>36.020000000000003</v>
    <v>3439.6226000000001</v>
    <v>36.200000000000003</v>
    <v>36.46</v>
    <v>4770000000</v>
    <v>INTC</v>
    <v>INTEL CORPORATION (XNAS:INTC)</v>
    <v>16560186</v>
    <v>79776599</v>
    <v>1989</v>
  </rv>
  <rv s="2">
    <v>128</v>
  </rv>
  <rv s="0">
    <v>https://www.bing.com/financeapi/forcetrigger?t=a1vmtc&amp;q=XNAS%3aINTU&amp;form=skydnc</v>
    <v>Learn more on Bing</v>
  </rv>
  <rv s="1">
    <v>0</v>
    <v>INTUIT INC. (XNAS:INTU)</v>
    <v>2</v>
    <v>3</v>
    <v>Finance</v>
    <v>4</v>
    <v>en-US</v>
    <v>a1vmtc</v>
    <v>268435456</v>
    <v>1</v>
    <v>Powered by Refinitiv</v>
    <v>813.7</v>
    <v>532.64499999999998</v>
    <v>1.2594000000000001</v>
    <v>-5.07</v>
    <v>-7.4939999999999998E-3</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678.57</v>
    <v>Financial Technology (Fintech) &amp; Infrastructure</v>
    <v>Stock</v>
    <v>46020.678366515625</v>
    <v>130</v>
    <v>671.31</v>
    <v>186855492668</v>
    <v>INTUIT INC.</v>
    <v>INTUIT INC.</v>
    <v>672.8</v>
    <v>46.110199999999999</v>
    <v>676.55</v>
    <v>671.48</v>
    <v>278274100</v>
    <v>INTU</v>
    <v>INTUIT INC. (XNAS:INTU)</v>
    <v>195614</v>
    <v>1970278</v>
    <v>1993</v>
  </rv>
  <rv s="2">
    <v>131</v>
  </rv>
  <rv s="0">
    <v>https://www.bing.com/financeapi/forcetrigger?t=a1w8ec&amp;q=XNYS%3aJNJ&amp;form=skydnc</v>
    <v>Learn more on Bing</v>
  </rv>
  <rv s="1">
    <v>0</v>
    <v>JOHNSON &amp; JOHNSON (XNYS:JNJ)</v>
    <v>2</v>
    <v>3</v>
    <v>Finance</v>
    <v>4</v>
    <v>en-US</v>
    <v>a1w8ec</v>
    <v>268435456</v>
    <v>1</v>
    <v>Powered by Refinitiv</v>
    <v>215.185</v>
    <v>140.68</v>
    <v>0.33279999999999998</v>
    <v>1.08</v>
    <v>5.202E-3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138100</v>
    <v>New York Stock Exchange</v>
    <v>XNYS</v>
    <v>XNYS</v>
    <v>One Johnson &amp; Johnson Plaza, NEW BRUNSWICK, NJ, 08933 US</v>
    <v>209.47</v>
    <v>Pharmaceuticals</v>
    <v>Stock</v>
    <v>46020.678382128906</v>
    <v>133</v>
    <v>207.9</v>
    <v>502843959450</v>
    <v>JOHNSON &amp; JOHNSON</v>
    <v>JOHNSON &amp; JOHNSON</v>
    <v>208.37</v>
    <v>20.144600000000001</v>
    <v>207.63</v>
    <v>208.71</v>
    <v>2409295000</v>
    <v>JNJ</v>
    <v>JOHNSON &amp; JOHNSON (XNYS:JNJ)</v>
    <v>1080459</v>
    <v>9009903</v>
    <v>1887</v>
  </rv>
  <rv s="2">
    <v>134</v>
  </rv>
  <rv s="0">
    <v>https://www.bing.com/financeapi/forcetrigger?t=a1wjz2&amp;q=XNYS%3aKMB&amp;form=skydnc</v>
    <v>Learn more on Bing</v>
  </rv>
  <rv s="1">
    <v>0</v>
    <v>KIMBERLY-CLARK CORPORATION (XNAS:KMB)</v>
    <v>2</v>
    <v>3</v>
    <v>Finance</v>
    <v>4</v>
    <v>en-US</v>
    <v>a1wjz2</v>
    <v>268435456</v>
    <v>1</v>
    <v>Powered by Refinitiv</v>
    <v>150.44999999999999</v>
    <v>99.22</v>
    <v>0.26800000000000002</v>
    <v>0.09</v>
    <v>8.9109999999999992E-4</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38000</v>
    <v>Nasdaq Stock Market</v>
    <v>XNAS</v>
    <v>XNAS</v>
    <v>351 Phelps Dr, IRVING, TX, 75038 US</v>
    <v>101.46</v>
    <v>Personal &amp; Household Products &amp; Services</v>
    <v>Stock</v>
    <v>46020.678297568753</v>
    <v>136</v>
    <v>100.83</v>
    <v>33551073479</v>
    <v>KIMBERLY-CLARK CORPORATION</v>
    <v>KIMBERLY-CLARK CORPORATION</v>
    <v>101</v>
    <v>18.8246</v>
    <v>101</v>
    <v>101.09</v>
    <v>331893100</v>
    <v>KMB</v>
    <v>KIMBERLY-CLARK CORPORATION (XNAS:KMB)</v>
    <v>767027</v>
    <v>5578187</v>
    <v>1928</v>
  </rv>
  <rv s="2">
    <v>137</v>
  </rv>
  <rv s="0">
    <v>https://www.bing.com/financeapi/forcetrigger?t=a1wljc&amp;q=XNYS%3aKO&amp;form=skydnc</v>
    <v>Learn more on Bing</v>
  </rv>
  <rv s="1">
    <v>0</v>
    <v>THE COCA-COLA COMPANY (XNYS:KO)</v>
    <v>2</v>
    <v>3</v>
    <v>Finance</v>
    <v>4</v>
    <v>en-US</v>
    <v>a1wljc</v>
    <v>268435456</v>
    <v>1</v>
    <v>Powered by Refinitiv</v>
    <v>74.38</v>
    <v>60.615000000000002</v>
    <v>0.38219999999999998</v>
    <v>0.26500000000000001</v>
    <v>3.7930000000000004E-3</v>
    <v>USD</v>
    <v>The Coca-Cola Company is a beverage company. The Company's segments include Europe, Middle East and Africa; Latin America; North America; Asia Pacific; Global Ventures;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AdeS.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69700</v>
    <v>New York Stock Exchange</v>
    <v>XNYS</v>
    <v>XNYS</v>
    <v>1 Coca Cola Plz NW, ATLANTA, GA, 30313-2420 US</v>
    <v>70.42</v>
    <v>Beverages</v>
    <v>Stock</v>
    <v>46020.678382314065</v>
    <v>139</v>
    <v>69.849999999999994</v>
    <v>301693347215</v>
    <v>THE COCA-COLA COMPANY</v>
    <v>THE COCA-COLA COMPANY</v>
    <v>70</v>
    <v>23.217400000000001</v>
    <v>69.87</v>
    <v>70.135000000000005</v>
    <v>4301609000</v>
    <v>KO</v>
    <v>THE COCA-COLA COMPANY (XNYS:KO)</v>
    <v>3867633</v>
    <v>17525392</v>
    <v>1919</v>
  </rv>
  <rv s="2">
    <v>140</v>
  </rv>
  <rv s="0">
    <v>https://www.bing.com/financeapi/forcetrigger?t=a1wyu2&amp;q=XNYS%3aLLY&amp;form=skydnc</v>
    <v>Learn more on Bing</v>
  </rv>
  <rv s="1">
    <v>0</v>
    <v>ELI LILLY AND COMPANY (XNYS:LLY)</v>
    <v>2</v>
    <v>3</v>
    <v>Finance</v>
    <v>4</v>
    <v>en-US</v>
    <v>a1wyu2</v>
    <v>268435456</v>
    <v>1</v>
    <v>Powered by Refinitiv</v>
    <v>1111.99</v>
    <v>623.78</v>
    <v>0.34339999999999998</v>
    <v>6.3650000000000002</v>
    <v>5.9059999999999998E-3</v>
    <v>USD</v>
    <v>Eli Lilly and Company is a medicine company, which discovers, develops, manufactures, markets, and sells pharmaceutical products worldwide. Its cardiometabolic health products include Basaglar; Humalog, Humalog Mix 75/25, Humalog U-100, Humalog U-200, Humalog Mix 50/50, insulin lispro, and others; Humulin, Humulin 70/30, and others; Jardiance; Mounjaro; Trulicity; Zepbound; VERVE-102; VERVE-201, and VERVE-301. Its oncology products include Cyramza, Erbitux, Tyvyt, and Verzenio. Its immunology products include Ebglyss, Olumiant, Omvoh, and Taltz. Its neuroscience products include Emgality and Kisunla. The Company is also engaged in radiopharmaceutical discovery, development, and manufacturing efforts, and clinical and pre-clinical radioligand therapies in development for the treatment of cancer. It is also developing an oral small molecule inhibitor of a4b7 integrin for inflammatory bowel disease (IBD). It is evaluating its novel gene therapy candidate, ixoberogene soroparvovec.</v>
    <v>47000</v>
    <v>New York Stock Exchange</v>
    <v>XNYS</v>
    <v>XNYS</v>
    <v>Lilly Corporate Ctr, Drop Code 1094, INDIANAPOLIS, IN, 46285 US</v>
    <v>1084.5099</v>
    <v>Pharmaceuticals</v>
    <v>Stock</v>
    <v>46020.678357916404</v>
    <v>142</v>
    <v>1074.47</v>
    <v>1018887000000</v>
    <v>ELI LILLY AND COMPANY</v>
    <v>ELI LILLY AND COMPANY</v>
    <v>1078.74</v>
    <v>53.015300000000003</v>
    <v>1077.75</v>
    <v>1084.115</v>
    <v>945383800</v>
    <v>LLY</v>
    <v>ELI LILLY AND COMPANY (XNYS:LLY)</v>
    <v>499359</v>
    <v>3369464</v>
    <v>1901</v>
  </rv>
  <rv s="2">
    <v>143</v>
  </rv>
  <rv s="0">
    <v>https://www.bing.com/financeapi/forcetrigger?t=a1wzw7&amp;q=XNYS%3aLMT&amp;form=skydnc</v>
    <v>Learn more on Bing</v>
  </rv>
  <rv s="1">
    <v>0</v>
    <v>LOCKHEED MARTIN CORPORATION (XNYS:LMT)</v>
    <v>2</v>
    <v>3</v>
    <v>Finance</v>
    <v>4</v>
    <v>en-US</v>
    <v>a1wzw7</v>
    <v>268435456</v>
    <v>1</v>
    <v>Powered by Refinitiv</v>
    <v>516</v>
    <v>410.11</v>
    <v>0.2505</v>
    <v>5.0999999999999996</v>
    <v>1.0558000000000001E-2</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121000</v>
    <v>New York Stock Exchange</v>
    <v>XNYS</v>
    <v>XNYS</v>
    <v>6801 ROCKLEDGE DR, BETHESDA, MD, 20817 US</v>
    <v>488.63380000000001</v>
    <v>Aerospace &amp; Defense</v>
    <v>Stock</v>
    <v>46020.678361863283</v>
    <v>145</v>
    <v>483.29</v>
    <v>112952208114</v>
    <v>LOCKHEED MARTIN CORPORATION</v>
    <v>LOCKHEED MARTIN CORPORATION</v>
    <v>484.05</v>
    <v>27.191299999999998</v>
    <v>483.03</v>
    <v>488.13</v>
    <v>231397800</v>
    <v>LMT</v>
    <v>LOCKHEED MARTIN CORPORATION (XNYS:LMT)</v>
    <v>306215</v>
    <v>1372769</v>
    <v>1994</v>
  </rv>
  <rv s="2">
    <v>146</v>
  </rv>
  <rv s="0">
    <v>https://www.bing.com/financeapi/forcetrigger?t=a1x2ur&amp;q=XNYS%3aLOW&amp;form=skydnc</v>
    <v>Learn more on Bing</v>
  </rv>
  <rv s="1">
    <v>0</v>
    <v>LOWE'S COMPANIES, INC. (XNYS:LOW)</v>
    <v>2</v>
    <v>3</v>
    <v>Finance</v>
    <v>4</v>
    <v>en-US</v>
    <v>a1x2ur</v>
    <v>268435456</v>
    <v>1</v>
    <v>Powered by Refinitiv</v>
    <v>274.98</v>
    <v>206.38499999999999</v>
    <v>0.95669999999999999</v>
    <v>-1.6</v>
    <v>-6.5439999999999995E-3</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245.36</v>
    <v>Specialty Retailers</v>
    <v>Stock</v>
    <v>46020.678303553126</v>
    <v>148</v>
    <v>242.67</v>
    <v>136249509834</v>
    <v>LOWE'S COMPANIES, INC.</v>
    <v>LOWE'S COMPANIES, INC.</v>
    <v>244.61</v>
    <v>20.1477</v>
    <v>244.49</v>
    <v>242.89</v>
    <v>560951500</v>
    <v>LOW</v>
    <v>LOWE'S COMPANIES, INC. (XNYS:LOW)</v>
    <v>253425</v>
    <v>3115427</v>
    <v>1952</v>
  </rv>
  <rv s="2">
    <v>149</v>
  </rv>
  <rv s="0">
    <v>https://www.bing.com/financeapi/forcetrigger?t=a1x4f2&amp;q=XNAS%3aLRCX&amp;form=skydnc</v>
    <v>Learn more on Bing</v>
  </rv>
  <rv s="1">
    <v>0</v>
    <v>LAM RESEARCH CORPORATION (XNAS:LRCX)</v>
    <v>2</v>
    <v>3</v>
    <v>Finance</v>
    <v>4</v>
    <v>en-US</v>
    <v>a1x4f2</v>
    <v>268435456</v>
    <v>1</v>
    <v>Powered by Refinitiv</v>
    <v>179.8</v>
    <v>56.32</v>
    <v>1.7879</v>
    <v>-1.7649999999999999</v>
    <v>-9.9119999999999989E-3</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179.13759999999999</v>
    <v>Semiconductors &amp; Semiconductor Equipment</v>
    <v>Stock</v>
    <v>46020.678386978907</v>
    <v>151</v>
    <v>175.46</v>
    <v>221444369150</v>
    <v>LAM RESEARCH CORPORATION</v>
    <v>LAM RESEARCH CORPORATION</v>
    <v>176.64</v>
    <v>38.8491</v>
    <v>178.07</v>
    <v>176.30500000000001</v>
    <v>1256030000</v>
    <v>LRCX</v>
    <v>LAM RESEARCH CORPORATION (XNAS:LRCX)</v>
    <v>2045569</v>
    <v>11081464</v>
    <v>1989</v>
  </rv>
  <rv s="2">
    <v>152</v>
  </rv>
  <rv s="0">
    <v>https://www.bing.com/financeapi/forcetrigger?t=a1x8c7&amp;q=XNYS%3aLYB&amp;form=skydnc</v>
    <v>Learn more on Bing</v>
  </rv>
  <rv s="1">
    <v>0</v>
    <v>LyondellBasell Industries NV (XNYS:LYB)</v>
    <v>2</v>
    <v>3</v>
    <v>Finance</v>
    <v>4</v>
    <v>en-US</v>
    <v>a1x8c7</v>
    <v>268435456</v>
    <v>1</v>
    <v>Powered by Refinitiv</v>
    <v>79.389899999999997</v>
    <v>41.58</v>
    <v>0.69689999999999996</v>
    <v>-0.23</v>
    <v>-5.3180000000000007E-3</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20000</v>
    <v>New York Stock Exchange</v>
    <v>XNYS</v>
    <v>XNYS</v>
    <v>4th Floor, One Vine Street, LONDON, W1J 0AH GB</v>
    <v>43.37</v>
    <v>Chemicals</v>
    <v>Stock</v>
    <v>46020.678398935153</v>
    <v>154</v>
    <v>42.61</v>
    <v>13846976460</v>
    <v>LyondellBasell Industries NV</v>
    <v>LyondellBasell Industries NV</v>
    <v>43.15</v>
    <v>0</v>
    <v>43.25</v>
    <v>43.02</v>
    <v>321873000</v>
    <v>LYB</v>
    <v>LyondellBasell Industries NV (XNYS:LYB)</v>
    <v>1012416</v>
    <v>5664803</v>
    <v>2009</v>
  </rv>
  <rv s="2">
    <v>155</v>
  </rv>
  <rv s="0">
    <v>https://www.bing.com/financeapi/forcetrigger?t=a1x9yc&amp;q=XNYS%3aMAN&amp;form=skydnc</v>
    <v>Learn more on Bing</v>
  </rv>
  <rv s="1">
    <v>0</v>
    <v>MANPOWERGROUP INC. (XNYS:MAN)</v>
    <v>2</v>
    <v>3</v>
    <v>Finance</v>
    <v>4</v>
    <v>en-US</v>
    <v>a1x9yc</v>
    <v>268435456</v>
    <v>1</v>
    <v>Powered by Refinitiv</v>
    <v>63.344999999999999</v>
    <v>26.14</v>
    <v>0.86699999999999999</v>
    <v>-0.245</v>
    <v>-8.2129999999999998E-3</v>
    <v>USD</v>
    <v>ManpowerGroup Inc. is a global workforce solutions company. The Company offers a comprehensive range of workforce solutions and services, which include recruitment and assessment; upskilling, reskilling, training and development; career management; outsourcing, and workforce consulting. Its portfolio of recruitment services includes permanent, temporary and contract recruitment of professionals, as well as administrative, industrial and information technology (IT) professional positions. These services are provided under its Manpower and Experis brands. Its Talent Solutions brand specializes in the delivery of customized workforce strategies and new solutions and creating added value that addresses its clients' complex global workforce needs. Its Talent Solutions combine global offerings of recruitment process outsourcing (RPO), TAPFIN - Managed Service Provider (MSP), and right management to provide data-driven capabilities that help organizations with their workforce transformation.</v>
    <v>26700</v>
    <v>New York Stock Exchange</v>
    <v>XNYS</v>
    <v>XNYS</v>
    <v>100 Manpower Place, MILWAUKEE, WI, 53212 US</v>
    <v>29.89</v>
    <v>Professional &amp; Commercial Services</v>
    <v>Stock</v>
    <v>46020.678340034377</v>
    <v>157</v>
    <v>29.51</v>
    <v>1369702070</v>
    <v>MANPOWERGROUP INC.</v>
    <v>MANPOWERGROUP INC.</v>
    <v>29.89</v>
    <v>0</v>
    <v>29.83</v>
    <v>29.585000000000001</v>
    <v>46297180</v>
    <v>MAN</v>
    <v>MANPOWERGROUP INC. (XNYS:MAN)</v>
    <v>77675</v>
    <v>948985</v>
    <v>1990</v>
  </rv>
  <rv s="2">
    <v>158</v>
  </rv>
  <rv s="0">
    <v>http://en.wikipedia.org/wiki/Public_domain</v>
    <v>Public domain</v>
  </rv>
  <rv s="0">
    <v>http://en.wikipedia.org/wiki/McDonald's</v>
    <v>Wikipedia</v>
  </rv>
  <rv s="5">
    <v>160</v>
    <v>161</v>
  </rv>
  <rv s="6">
    <v>12</v>
    <v>https://www.bing.com/th?id=AMMS_7d8255243964a8970376f8dd41121106&amp;qlt=95</v>
    <v>162</v>
    <v>0</v>
    <v>https://www.bing.com/images/search?form=xlimg&amp;q=mcdonald%27s</v>
    <v>Image of MCDONALD'S CORPORATION</v>
  </rv>
  <rv s="0">
    <v>https://www.bing.com/financeapi/forcetrigger?t=a1xdec&amp;q=XNYS%3aMCD&amp;form=skydnc</v>
    <v>Learn more on Bing</v>
  </rv>
  <rv s="7">
    <v>8</v>
    <v>MCDONALD'S CORPORATION (XNYS:MCD)</v>
    <v>10</v>
    <v>11</v>
    <v>Finance</v>
    <v>4</v>
    <v>en-US</v>
    <v>a1xdec</v>
    <v>268435456</v>
    <v>1</v>
    <v>Powered by Refinitiv</v>
    <v>326.32</v>
    <v>276.52999999999997</v>
    <v>0.52839999999999998</v>
    <v>-1.78</v>
    <v>-5.7289999999999997E-3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310.96499999999997</v>
    <v>163</v>
    <v>Hotels &amp; Entertainment Services</v>
    <v>Stock</v>
    <v>46020.67837519609</v>
    <v>164</v>
    <v>308.66500000000002</v>
    <v>219984494159</v>
    <v>MCDONALD'S CORPORATION</v>
    <v>MCDONALD'S CORPORATION</v>
    <v>310.5</v>
    <v>26.346499999999999</v>
    <v>310.68</v>
    <v>308.89999999999998</v>
    <v>712154400</v>
    <v>MCD</v>
    <v>MCDONALD'S CORPORATION (XNYS:MCD)</v>
    <v>525984</v>
    <v>3485048</v>
    <v>1964</v>
  </rv>
  <rv s="2">
    <v>165</v>
  </rv>
  <rv s="0">
    <v>https://www.bing.com/financeapi/forcetrigger?t=a1xfoc&amp;q=XNAS%3aMDLZ&amp;form=skydnc</v>
    <v>Learn more on Bing</v>
  </rv>
  <rv s="1">
    <v>0</v>
    <v>Mondelez International, Inc. (XNAS:MDLZ)</v>
    <v>2</v>
    <v>3</v>
    <v>Finance</v>
    <v>4</v>
    <v>en-US</v>
    <v>a1xfoc</v>
    <v>268435456</v>
    <v>1</v>
    <v>Powered by Refinitiv</v>
    <v>71.150000000000006</v>
    <v>53.1342</v>
    <v>0.39500000000000002</v>
    <v>-3.5000000000000003E-2</v>
    <v>-6.4060000000000007E-4</v>
    <v>USD</v>
    <v>Mondelez International, Inc. is a snack company. The Company’s core business is making and selling chocolate, biscuits and baked snacks. The Company also has additional businesses in adjacent, locally relevant categories including gum and candy, cheese and grocery and powdered beverages. Its portfolio includes global and local brands such as Oreo, Ritz, LU, Clif Bar and Tate’s Bake Shop biscuits and baked snacks, as well as Cadbury Dairy Milk, Milka and Toblerone chocolate. The Company’s segments include Latin America, AMEA, Europe and North America. It sells its products in over 150 countries and has operations in approximately 80 countries, including 147 principal manufacturing and processing facilities across 46 countries. It sells its products to supermarket chains, wholesalers, supercenters, club stores, mass merchandisers, distributors, convenience stores, gasoline stations, drug stores, value stores and other retail food outlets.</v>
    <v>90000</v>
    <v>Nasdaq Stock Market</v>
    <v>XNAS</v>
    <v>XNAS</v>
    <v>905 West Fulton Market, Suite 200, CHICAGO, IL, 60607 US</v>
    <v>55.064999999999998</v>
    <v>Food &amp; Tobacco</v>
    <v>Stock</v>
    <v>46020.678336110941</v>
    <v>167</v>
    <v>54.58</v>
    <v>70505190000</v>
    <v>Mondelez International, Inc.</v>
    <v>Mondelez International, Inc.</v>
    <v>54.7</v>
    <v>20.404699999999998</v>
    <v>54.64</v>
    <v>54.604999999999997</v>
    <v>1290359000</v>
    <v>MDLZ</v>
    <v>Mondelez International, Inc. (XNAS:MDLZ)</v>
    <v>1767887</v>
    <v>11530872</v>
    <v>2000</v>
  </rv>
  <rv s="2">
    <v>168</v>
  </rv>
  <rv s="0">
    <v>https://www.bing.com/financeapi/forcetrigger?t=a1xg3m&amp;q=XNYS%3aMDT&amp;form=skydnc</v>
    <v>Learn more on Bing</v>
  </rv>
  <rv s="1">
    <v>0</v>
    <v>MEDTRONIC PUBLIC LIMITED COMPANY (XNYS:MDT)</v>
    <v>2</v>
    <v>3</v>
    <v>Finance</v>
    <v>4</v>
    <v>en-US</v>
    <v>a1xg3m</v>
    <v>268435456</v>
    <v>1</v>
    <v>Powered by Refinitiv</v>
    <v>106.33</v>
    <v>79.290000000000006</v>
    <v>0.72050000000000003</v>
    <v>-0.1</v>
    <v>-1.036E-3</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96.91</v>
    <v>Healthcare Equipment &amp; Supplies</v>
    <v>Stock</v>
    <v>46020.678332510935</v>
    <v>170</v>
    <v>96.3</v>
    <v>123611789880</v>
    <v>MEDTRONIC PUBLIC LIMITED COMPANY</v>
    <v>MEDTRONIC PUBLIC LIMITED COMPANY</v>
    <v>96.795000000000002</v>
    <v>26.07</v>
    <v>96.52</v>
    <v>96.42</v>
    <v>1282014000</v>
    <v>MDT</v>
    <v>MEDTRONIC PUBLIC LIMITED COMPANY (XNYS:MDT)</v>
    <v>742928</v>
    <v>6527606</v>
    <v>2014</v>
  </rv>
  <rv s="2">
    <v>171</v>
  </rv>
  <rv s="0">
    <v>https://www.bing.com/financeapi/forcetrigger?t=a1slm7&amp;q=XNAS%3aMETA&amp;form=skydnc</v>
    <v>Learn more on Bing</v>
  </rv>
  <rv s="1">
    <v>0</v>
    <v>Meta Platforms, Inc. (XNAS:META)</v>
    <v>2</v>
    <v>3</v>
    <v>Finance</v>
    <v>4</v>
    <v>en-US</v>
    <v>a1slm7</v>
    <v>268435456</v>
    <v>1</v>
    <v>Powered by Refinitiv</v>
    <v>796.25</v>
    <v>479.8</v>
    <v>1.288</v>
    <v>-5.7149999999999999</v>
    <v>-8.6160000000000004E-3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78450</v>
    <v>Nasdaq Stock Market</v>
    <v>XNAS</v>
    <v>XNAS</v>
    <v>1 Meta Way, MENLO PARK, CA, 94025 US</v>
    <v>660.25</v>
    <v>Software &amp; IT Services</v>
    <v>Stock</v>
    <v>46020.678392696092</v>
    <v>173</v>
    <v>655.5</v>
    <v>1657436199600</v>
    <v>Meta Platforms, Inc.</v>
    <v>Meta Platforms, Inc.</v>
    <v>658.14</v>
    <v>22.6234</v>
    <v>663.29</v>
    <v>657.57500000000005</v>
    <v>2520528000</v>
    <v>META</v>
    <v>Meta Platforms, Inc. (XNAS:META)</v>
    <v>2865979</v>
    <v>17051924</v>
    <v>2004</v>
  </rv>
  <rv s="2">
    <v>174</v>
  </rv>
  <rv s="0">
    <v>http://zh.wikipedia.org/wiki/味可美</v>
    <v>Wikipedia</v>
  </rv>
  <rv s="5">
    <v>160</v>
    <v>176</v>
  </rv>
  <rv s="6">
    <v>12</v>
    <v>https://www.bing.com/th?id=AMMS_8d96836a886471f7120ce0135f3ca8bd&amp;qlt=95</v>
    <v>177</v>
    <v>0</v>
    <v>https://www.bing.com/images/search?form=xlimg&amp;q=mccormick+%26+company</v>
    <v>Image of MCCORMICK &amp; COMPANY, INCORPORATED</v>
  </rv>
  <rv s="0">
    <v>https://www.bing.com/financeapi/forcetrigger?t=a1xof2&amp;q=XNYS%3aMKC.V&amp;form=skydnc</v>
    <v>Learn more on Bing</v>
  </rv>
  <rv s="8">
    <v>13</v>
    <v>MCCORMICK &amp; COMPANY, INCORPORATED (XNYS:MKC.V)</v>
    <v>10</v>
    <v>14</v>
    <v>Finance</v>
    <v>15</v>
    <v>en-US</v>
    <v>a1xof2</v>
    <v>268435456</v>
    <v>1</v>
    <v>Powered by Refinitiv</v>
    <v>85.5</v>
    <v>62.78</v>
    <v>0.61880000000000002</v>
    <v>0.5</v>
    <v>7.3939999999999995E-3</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68.12</v>
    <v>178</v>
    <v>Food &amp; Tobacco</v>
    <v>Stock</v>
    <v>46020.665861099216</v>
    <v>179</v>
    <v>68.12</v>
    <v>18486570000</v>
    <v>MCCORMICK &amp; COMPANY, INCORPORATED</v>
    <v>MCCORMICK &amp; COMPANY, INCORPORATED</v>
    <v>68.12</v>
    <v>67.62</v>
    <v>68.12</v>
    <v>268375700</v>
    <v>MKC.V</v>
    <v>MCCORMICK &amp; COMPANY, INCORPORATED (XNYS:MKC.V)</v>
    <v>215</v>
    <v>3389</v>
    <v>1915</v>
  </rv>
  <rv s="2">
    <v>180</v>
  </rv>
  <rv s="0">
    <v>https://www.bing.com/financeapi/forcetrigger?t=a1xroc&amp;q=XNYS%3aMMM&amp;form=skydnc</v>
    <v>Learn more on Bing</v>
  </rv>
  <rv s="1">
    <v>0</v>
    <v>3M COMPANY (XNYS:MMM)</v>
    <v>2</v>
    <v>3</v>
    <v>Finance</v>
    <v>4</v>
    <v>en-US</v>
    <v>a1xroc</v>
    <v>268435456</v>
    <v>1</v>
    <v>Powered by Refinitiv</v>
    <v>174.69</v>
    <v>121.97709999999999</v>
    <v>1.0679000000000001</v>
    <v>-1.1200000000000001</v>
    <v>-6.9099999999999995E-3</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61500</v>
    <v>New York Stock Exchange</v>
    <v>XNYS</v>
    <v>XNYS</v>
    <v>3M Center, Bldg. 220-9E-02, SAINT PAUL, MN, 55144-1000 US</v>
    <v>162.69999999999999</v>
    <v>Consumer Goods Conglomerates</v>
    <v>Stock</v>
    <v>46020.678369560155</v>
    <v>182</v>
    <v>160.85499999999999</v>
    <v>85505976000</v>
    <v>3M COMPANY</v>
    <v>3M COMPANY</v>
    <v>162</v>
    <v>25.720700000000001</v>
    <v>162.08000000000001</v>
    <v>160.96</v>
    <v>531225000</v>
    <v>MMM</v>
    <v>3M COMPANY (XNYS:MMM)</v>
    <v>460437</v>
    <v>2692242</v>
    <v>1929</v>
  </rv>
  <rv s="2">
    <v>183</v>
  </rv>
  <rv s="0">
    <v>https://www.bing.com/financeapi/forcetrigger?t=a1xtpr&amp;q=XNYS%3aMO&amp;form=skydnc</v>
    <v>Learn more on Bing</v>
  </rv>
  <rv s="1">
    <v>0</v>
    <v>Altria Group, Inc. (XNYS:MO)</v>
    <v>2</v>
    <v>3</v>
    <v>Finance</v>
    <v>4</v>
    <v>en-US</v>
    <v>a1xtpr</v>
    <v>268435456</v>
    <v>1</v>
    <v>Powered by Refinitiv</v>
    <v>68.599999999999994</v>
    <v>50.08</v>
    <v>0.49780000000000002</v>
    <v>0.105</v>
    <v>1.823E-3</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6200</v>
    <v>New York Stock Exchange</v>
    <v>XNYS</v>
    <v>XNYS</v>
    <v>6601 W Broad St, RICHMOND, VA, 23230 US</v>
    <v>57.85</v>
    <v>Food &amp; Tobacco</v>
    <v>Stock</v>
    <v>46020.678360346872</v>
    <v>185</v>
    <v>57.545000000000002</v>
    <v>96867767760</v>
    <v>Altria Group, Inc.</v>
    <v>Altria Group, Inc.</v>
    <v>57.65</v>
    <v>11.008800000000001</v>
    <v>57.6</v>
    <v>57.704999999999998</v>
    <v>1678672000</v>
    <v>MO</v>
    <v>Altria Group, Inc. (XNYS:MO)</v>
    <v>1821412</v>
    <v>9053568</v>
    <v>1985</v>
  </rv>
  <rv s="2">
    <v>186</v>
  </rv>
  <rv s="0">
    <v>https://www.bing.com/financeapi/forcetrigger?t=a1xxmw&amp;q=XNYS%3aMRK&amp;form=skydnc</v>
    <v>Learn more on Bing</v>
  </rv>
  <rv s="1">
    <v>0</v>
    <v>MERCK &amp; CO., INC. (XNYS:MRK)</v>
    <v>2</v>
    <v>3</v>
    <v>Finance</v>
    <v>4</v>
    <v>en-US</v>
    <v>a1xxmw</v>
    <v>268435456</v>
    <v>1</v>
    <v>Powered by Refinitiv</v>
    <v>107.59</v>
    <v>73.31</v>
    <v>0.30330000000000001</v>
    <v>0.45</v>
    <v>4.2139999999999999E-3</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107.59</v>
    <v>Pharmaceuticals</v>
    <v>Stock</v>
    <v>46020.678383714847</v>
    <v>188</v>
    <v>106.51</v>
    <v>266147219060</v>
    <v>MERCK &amp; CO., INC.</v>
    <v>MERCK &amp; CO., INC.</v>
    <v>106.97</v>
    <v>14.182499999999999</v>
    <v>106.78</v>
    <v>107.23</v>
    <v>2482022000</v>
    <v>MRK</v>
    <v>MERCK &amp; CO., INC. (XNYS:MRK)</v>
    <v>2126880</v>
    <v>15674987</v>
    <v>1970</v>
  </rv>
  <rv s="2">
    <v>189</v>
  </rv>
  <rv s="0">
    <v>https://en.wikipedia.org/wiki/Microsoft</v>
    <v>Wikipedia</v>
  </rv>
  <rv s="5">
    <v>160</v>
    <v>191</v>
  </rv>
  <rv s="6">
    <v>12</v>
    <v>https://www.bing.com/th?id=AMMS_e6e837c7bf3a77408619758b7447855a&amp;qlt=95</v>
    <v>192</v>
    <v>0</v>
    <v>https://www.bing.com/images/search?form=xlimg&amp;q=microsoft</v>
    <v>Image of MICROSOFT CORPORATION</v>
  </rv>
  <rv s="0">
    <v>https://www.bing.com/financeapi/forcetrigger?t=a1xzim&amp;q=XNAS%3aMSFT&amp;form=skydnc</v>
    <v>Learn more on Bing</v>
  </rv>
  <rv s="7">
    <v>8</v>
    <v>MICROSOFT CORPORATION (XNAS:MSFT)</v>
    <v>10</v>
    <v>11</v>
    <v>Finance</v>
    <v>4</v>
    <v>en-US</v>
    <v>a1xzim</v>
    <v>268435456</v>
    <v>1</v>
    <v>Powered by Refinitiv</v>
    <v>555.45000000000005</v>
    <v>344.79</v>
    <v>1.071</v>
    <v>-1.9850000000000001</v>
    <v>-4.0699999999999998E-3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488.35</v>
    <v>193</v>
    <v>Software &amp; IT Services</v>
    <v>Stock</v>
    <v>46020.678362048435</v>
    <v>194</v>
    <v>484.18</v>
    <v>3610091318325</v>
    <v>MICROSOFT CORPORATION</v>
    <v>MICROSOFT CORPORATION</v>
    <v>485</v>
    <v>34.557899999999997</v>
    <v>487.71</v>
    <v>485.72500000000002</v>
    <v>7432377000</v>
    <v>MSFT</v>
    <v>MICROSOFT CORPORATION (XNAS:MSFT)</v>
    <v>2942597</v>
    <v>24689094</v>
    <v>1993</v>
  </rv>
  <rv s="2">
    <v>195</v>
  </rv>
  <rv s="0">
    <v>https://www.bing.com/financeapi/forcetrigger?t=a1yjxm&amp;q=XNYS%3aNKE&amp;form=skydnc</v>
    <v>Learn more on Bing</v>
  </rv>
  <rv s="1">
    <v>0</v>
    <v>NIKE, INC. (XNYS:NKE)</v>
    <v>2</v>
    <v>3</v>
    <v>Finance</v>
    <v>4</v>
    <v>en-US</v>
    <v>a1yjxm</v>
    <v>268435456</v>
    <v>1</v>
    <v>Powered by Refinitiv</v>
    <v>82.44</v>
    <v>52.28</v>
    <v>1.2844</v>
    <v>-0.17499999999999999</v>
    <v>-2.872E-3</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61.75</v>
    <v>Textiles &amp; Apparel</v>
    <v>Stock</v>
    <v>46020.678351839844</v>
    <v>197</v>
    <v>60.515000000000001</v>
    <v>89808101755</v>
    <v>NIKE, INC.</v>
    <v>NIKE, INC.</v>
    <v>60.564999999999998</v>
    <v>35.625100000000003</v>
    <v>60.93</v>
    <v>60.755000000000003</v>
    <v>1478201000</v>
    <v>NKE</v>
    <v>NIKE, INC. (XNYS:NKE)</v>
    <v>7472368</v>
    <v>20437721</v>
    <v>1969</v>
  </rv>
  <rv s="2">
    <v>198</v>
  </rv>
  <rv s="0">
    <v>https://www.bing.com/financeapi/forcetrigger?t=a1yngh&amp;q=XNYS%3aNOC&amp;form=skydnc</v>
    <v>Learn more on Bing</v>
  </rv>
  <rv s="1">
    <v>0</v>
    <v>NORTHROP GRUMMAN CORPORATION (XNYS:NOC)</v>
    <v>2</v>
    <v>3</v>
    <v>Finance</v>
    <v>4</v>
    <v>en-US</v>
    <v>a1yngh</v>
    <v>268435456</v>
    <v>1</v>
    <v>Powered by Refinitiv</v>
    <v>640.90099999999995</v>
    <v>426.24</v>
    <v>4.8000000000000001E-2</v>
    <v>2.2050000000000001</v>
    <v>3.8190000000000003E-3</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97000</v>
    <v>New York Stock Exchange</v>
    <v>XNYS</v>
    <v>XNYS</v>
    <v>2980 Fairview Park Drive, FALLS CHURCH, VA, 22042 US</v>
    <v>580.75890000000004</v>
    <v>Aerospace &amp; Defense</v>
    <v>Stock</v>
    <v>46020.678328714843</v>
    <v>200</v>
    <v>577.01009999999997</v>
    <v>82717001957</v>
    <v>NORTHROP GRUMMAN CORPORATION</v>
    <v>NORTHROP GRUMMAN CORPORATION</v>
    <v>579.9</v>
    <v>20.86</v>
    <v>577.37</v>
    <v>579.57500000000005</v>
    <v>142720100</v>
    <v>NOC</v>
    <v>NORTHROP GRUMMAN CORPORATION (XNYS:NOC)</v>
    <v>58306</v>
    <v>674417</v>
    <v>2010</v>
  </rv>
  <rv s="2">
    <v>201</v>
  </rv>
  <rv s="0">
    <v>https://www.bing.com/financeapi/forcetrigger?t=a1yv52&amp;q=XNAS%3aNVDA&amp;form=skydnc</v>
    <v>Learn more on Bing</v>
  </rv>
  <rv s="1">
    <v>0</v>
    <v>NVIDIA CORPORATION (XNAS:NVDA)</v>
    <v>2</v>
    <v>3</v>
    <v>Finance</v>
    <v>4</v>
    <v>en-US</v>
    <v>a1yv52</v>
    <v>268435456</v>
    <v>1</v>
    <v>Powered by Refinitiv</v>
    <v>212.18989999999999</v>
    <v>86.62</v>
    <v>2.3151999999999999</v>
    <v>-3.36</v>
    <v>-1.7635000000000001E-2</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188.755</v>
    <v>Semiconductors &amp; Semiconductor Equipment</v>
    <v>Stock</v>
    <v>46020.678362048435</v>
    <v>203</v>
    <v>185.91</v>
    <v>4548231000000</v>
    <v>NVIDIA CORPORATION</v>
    <v>NVIDIA CORPORATION</v>
    <v>187.74</v>
    <v>46.357900000000001</v>
    <v>190.53</v>
    <v>187.17</v>
    <v>24300000000</v>
    <v>NVDA</v>
    <v>NVIDIA CORPORATION (XNAS:NVDA)</v>
    <v>55380992</v>
    <v>194589370</v>
    <v>1998</v>
  </rv>
  <rv s="2">
    <v>204</v>
  </rv>
  <rv s="0">
    <v>https://www.bing.com/financeapi/forcetrigger?t=a1z11h&amp;q=XNYS%3aO&amp;form=skydnc</v>
    <v>Learn more on Bing</v>
  </rv>
  <rv s="1">
    <v>0</v>
    <v>REALTY INCOME CORPORATION (XNYS:O)</v>
    <v>2</v>
    <v>3</v>
    <v>Finance</v>
    <v>4</v>
    <v>en-US</v>
    <v>a1z11h</v>
    <v>268435456</v>
    <v>1</v>
    <v>Powered by Refinitiv</v>
    <v>61.085000000000001</v>
    <v>50.71</v>
    <v>0.79969999999999997</v>
    <v>0.2112</v>
    <v>3.7259999999999997E-3</v>
    <v>USD</v>
    <v>Realty Income Corporation is a real estate investment trust. The Company is engaged in acquiring and managing freestanding commercial properties that generate rental revenue under long-term net lease agreements with its commercial clients. It is engaged in a single business activity, which is the leasing of property to clients, generally on a net basis. That business activity spans various geographic boundaries and includes property types and clients engaged in various industries. The Company owns or holds interests in approximately 15,621 properties located in all 50 United States (U.S.) states, the United Kingdom, France, Germany, Ireland, Italy, Portugal, and Spain with clients doing business in 89 industries. Its property types include retail, industrial, gaming and others, such as agriculture and office. Its primary industry concentrations include grocery stores, convenience stores, dollar stores, drug stores, home improvement, restaurants-quick service and others.</v>
    <v>468</v>
    <v>New York Stock Exchange</v>
    <v>XNYS</v>
    <v>XNYS</v>
    <v>11995 El Camino Real, SAN DIEGO, CA, 92130 US</v>
    <v>57.05</v>
    <v>Residential &amp; Commercial REIT</v>
    <v>Stock</v>
    <v>46020.678340439059</v>
    <v>206</v>
    <v>56.76</v>
    <v>52343743906</v>
    <v>REALTY INCOME CORPORATION</v>
    <v>REALTY INCOME CORPORATION</v>
    <v>56.82</v>
    <v>53.1539</v>
    <v>56.69</v>
    <v>56.901200000000003</v>
    <v>919905800</v>
    <v>O</v>
    <v>REALTY INCOME CORPORATION (XNYS:O)</v>
    <v>1237906</v>
    <v>6475534</v>
    <v>1997</v>
  </rv>
  <rv s="2">
    <v>207</v>
  </rv>
  <rv s="0">
    <v>https://www.bing.com/financeapi/forcetrigger?t=axyhnm&amp;q=XNAS%3aPEP&amp;form=skydnc</v>
    <v>Learn more on Bing</v>
  </rv>
  <rv s="1">
    <v>0</v>
    <v>PEPSICO, INC. (XNAS:PEP)</v>
    <v>2</v>
    <v>3</v>
    <v>Finance</v>
    <v>4</v>
    <v>en-US</v>
    <v>axyhnm</v>
    <v>268435456</v>
    <v>1</v>
    <v>Powered by Refinitiv</v>
    <v>160.15</v>
    <v>127.6</v>
    <v>0.4173</v>
    <v>0.41</v>
    <v>2.8519999999999999E-3</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319000</v>
    <v>Nasdaq Stock Market</v>
    <v>XNAS</v>
    <v>XNAS</v>
    <v>700 ANDERSON HILL RD, PURCHASE, NY, 10577 US</v>
    <v>145.05000000000001</v>
    <v>Beverages</v>
    <v>Stock</v>
    <v>46020.678352221876</v>
    <v>209</v>
    <v>143.6</v>
    <v>197156754600</v>
    <v>PEPSICO, INC.</v>
    <v>PEPSICO, INC.</v>
    <v>143.74</v>
    <v>27.4178</v>
    <v>143.78</v>
    <v>144.19</v>
    <v>1367340000</v>
    <v>PEP</v>
    <v>PEPSICO, INC. (XNAS:PEP)</v>
    <v>1344639</v>
    <v>7854449</v>
    <v>1986</v>
  </rv>
  <rv s="2">
    <v>210</v>
  </rv>
  <rv s="0">
    <v>https://www.bing.com/financeapi/forcetrigger?t=a1zqnm&amp;q=XNYS%3aPFE&amp;form=skydnc</v>
    <v>Learn more on Bing</v>
  </rv>
  <rv s="1">
    <v>0</v>
    <v>PFIZER INC. (XNYS:PFE)</v>
    <v>2</v>
    <v>3</v>
    <v>Finance</v>
    <v>4</v>
    <v>en-US</v>
    <v>a1zqnm</v>
    <v>268435456</v>
    <v>1</v>
    <v>Powered by Refinitiv</v>
    <v>27.69</v>
    <v>20.914999999999999</v>
    <v>0.43020000000000003</v>
    <v>-4.4000000000000003E-3</v>
    <v>-1.7540000000000001E-4</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25.2</v>
    <v>Pharmaceuticals</v>
    <v>Stock</v>
    <v>46020.678391978909</v>
    <v>212</v>
    <v>25.04</v>
    <v>142629396604</v>
    <v>PFIZER INC.</v>
    <v>PFIZER INC.</v>
    <v>25.04</v>
    <v>14.6221</v>
    <v>25.09</v>
    <v>25.085599999999999</v>
    <v>5685708000</v>
    <v>PFE</v>
    <v>PFIZER INC. (XNYS:PFE)</v>
    <v>8570347</v>
    <v>49210427</v>
    <v>1942</v>
  </rv>
  <rv s="2">
    <v>213</v>
  </rv>
  <rv s="0">
    <v>http://en.wikipedia.org/wiki/Qualcomm</v>
    <v>Wikipedia</v>
  </rv>
  <rv s="5">
    <v>160</v>
    <v>215</v>
  </rv>
  <rv s="6">
    <v>12</v>
    <v>https://www.bing.com/th?id=AMMS_2b1c176dae370ecc0d55a1517537f595&amp;qlt=95</v>
    <v>216</v>
    <v>0</v>
    <v>https://www.bing.com/images/search?form=xlimg&amp;q=qualcomm</v>
    <v>Image of QUALCOMM INCORPORATED</v>
  </rv>
  <rv s="0">
    <v>https://www.bing.com/financeapi/forcetrigger?t=a21k2w&amp;q=XNAS%3aQCOM&amp;form=skydnc</v>
    <v>Learn more on Bing</v>
  </rv>
  <rv s="7">
    <v>8</v>
    <v>QUALCOMM INCORPORATED (XNAS:QCOM)</v>
    <v>10</v>
    <v>11</v>
    <v>Finance</v>
    <v>4</v>
    <v>en-US</v>
    <v>a21k2w</v>
    <v>268435456</v>
    <v>1</v>
    <v>Powered by Refinitiv</v>
    <v>205.95</v>
    <v>120.8019</v>
    <v>1.2146999999999999</v>
    <v>-1.1200000000000001</v>
    <v>-6.4070000000000004E-3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175.19</v>
    <v>217</v>
    <v>Semiconductors &amp; Semiconductor Equipment</v>
    <v>Stock</v>
    <v>46020.678357441408</v>
    <v>218</v>
    <v>173.35</v>
    <v>186869900000</v>
    <v>QUALCOMM INCORPORATED</v>
    <v>QUALCOMM INCORPORATED</v>
    <v>174.01</v>
    <v>35.515099999999997</v>
    <v>174.81</v>
    <v>173.69</v>
    <v>1068989000</v>
    <v>QCOM</v>
    <v>QUALCOMM INCORPORATED (XNAS:QCOM)</v>
    <v>767083</v>
    <v>8307227</v>
    <v>1991</v>
  </rv>
  <rv s="2">
    <v>219</v>
  </rv>
  <rv s="0">
    <v>https://www.bing.com/financeapi/forcetrigger?t=a22n4c&amp;q=XNYS%3aSCHW&amp;form=skydnc</v>
    <v>Learn more on Bing</v>
  </rv>
  <rv s="1">
    <v>0</v>
    <v>THE CHARLES SCHWAB CORPORATION (XNYS:SCHW)</v>
    <v>2</v>
    <v>3</v>
    <v>Finance</v>
    <v>4</v>
    <v>en-US</v>
    <v>a22n4c</v>
    <v>268435456</v>
    <v>1</v>
    <v>Powered by Refinitiv</v>
    <v>102.28</v>
    <v>65.88</v>
    <v>0.94450000000000001</v>
    <v>-0.28000000000000003</v>
    <v>-2.748E-3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32700</v>
    <v>New York Stock Exchange</v>
    <v>XNYS</v>
    <v>XNYS</v>
    <v>3000 Schwab Way, WESTLAKE, TX, 76262 US</v>
    <v>101.8</v>
    <v>Investment Banking &amp; Investment Services</v>
    <v>Stock</v>
    <v>46020.678344339845</v>
    <v>221</v>
    <v>101.25</v>
    <v>180554568570</v>
    <v>THE CHARLES SCHWAB CORPORATION</v>
    <v>THE CHARLES SCHWAB CORPORATION</v>
    <v>101.67</v>
    <v>23.825800000000001</v>
    <v>101.89</v>
    <v>101.61</v>
    <v>1776937000</v>
    <v>SCHW</v>
    <v>THE CHARLES SCHWAB CORPORATION (XNYS:SCHW)</v>
    <v>917745</v>
    <v>9271572</v>
    <v>1986</v>
  </rv>
  <rv s="2">
    <v>222</v>
  </rv>
  <rv s="0">
    <v>https://www.bing.com/financeapi/forcetrigger?t=a22xk2&amp;q=XNYS%3aSHW&amp;form=skydnc</v>
    <v>Learn more on Bing</v>
  </rv>
  <rv s="1">
    <v>0</v>
    <v>THE SHERWIN-WILLIAMS COMPANY (XNYS:SHW)</v>
    <v>2</v>
    <v>3</v>
    <v>Finance</v>
    <v>4</v>
    <v>en-US</v>
    <v>a22xk2</v>
    <v>268435456</v>
    <v>1</v>
    <v>Powered by Refinitiv</v>
    <v>379.65</v>
    <v>308.83999999999997</v>
    <v>1.2541</v>
    <v>-0.45</v>
    <v>-1.3830000000000001E-3</v>
    <v>USD</v>
    <v>The Sherwin-Williams Company is engaged in the manufacture, development, distribution, and sale of paint, coatings and related products to professional, industrial, commercial, and retail customers primarily in North and South America with additional operations in the Caribbean region, Europe, Asia and Australia. Its Paint Stores Group segment is engaged in servicing the needs of architectural and industrial paint contractors and do-it-yourself homeowners. The Consumer Brands Group segment manufactures and distributes a broad portfolio of branded and private-label architectural paint, stains, varnishes, industrial products, wood finishes products, wood preservatives, applicators, corrosion inhibitors, aerosols, caulks and adhesives to retailers, including home centers and hardware stores, dedicated dealers and distributors. The Performance Coatings Group segment develops and sells industrial coatings for wood finishing and general industrial (metal and plastic) applications and others.</v>
    <v>63890</v>
    <v>New York Stock Exchange</v>
    <v>XNYS</v>
    <v>XNYS</v>
    <v>101 Prospect Ave Nw, CLEVELAND, OH, 44115 US</v>
    <v>326.8</v>
    <v>Chemicals</v>
    <v>Stock</v>
    <v>46020.678332753909</v>
    <v>224</v>
    <v>323.93</v>
    <v>80562908565</v>
    <v>THE SHERWIN-WILLIAMS COMPANY</v>
    <v>THE SHERWIN-WILLIAMS COMPANY</v>
    <v>325.97000000000003</v>
    <v>31.718399999999999</v>
    <v>325.44</v>
    <v>324.99</v>
    <v>247893500</v>
    <v>SHW</v>
    <v>THE SHERWIN-WILLIAMS COMPANY (XNYS:SHW)</v>
    <v>240065</v>
    <v>1719487</v>
    <v>1884</v>
  </rv>
  <rv s="2">
    <v>225</v>
  </rv>
  <rv s="0">
    <v>https://www.bing.com/financeapi/forcetrigger?t=a2319c&amp;q=XNYS%3aSJM&amp;form=skydnc</v>
    <v>Learn more on Bing</v>
  </rv>
  <rv s="1">
    <v>0</v>
    <v>THE J. M. SMUCKER COMPANY (XNYS:SJM)</v>
    <v>2</v>
    <v>3</v>
    <v>Finance</v>
    <v>4</v>
    <v>en-US</v>
    <v>a2319c</v>
    <v>268435456</v>
    <v>1</v>
    <v>Powered by Refinitiv</v>
    <v>121.48</v>
    <v>93.3</v>
    <v>0.21429999999999999</v>
    <v>-1.03</v>
    <v>-1.0334000000000001E-2</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100.19</v>
    <v>Food &amp; Tobacco</v>
    <v>Stock</v>
    <v>46020.678310867967</v>
    <v>227</v>
    <v>98.64</v>
    <v>10524325752</v>
    <v>THE J. M. SMUCKER COMPANY</v>
    <v>THE J. M. SMUCKER COMPANY</v>
    <v>99.47</v>
    <v>0</v>
    <v>99.67</v>
    <v>98.64</v>
    <v>106694300</v>
    <v>SJM</v>
    <v>THE J. M. SMUCKER COMPANY (XNYS:SJM)</v>
    <v>337673</v>
    <v>1697119</v>
    <v>1921</v>
  </rv>
  <rv s="2">
    <v>228</v>
  </rv>
  <rv s="0">
    <v>https://www.bing.com/financeapi/forcetrigger?t=a237gh&amp;q=XNYS%3aSNA&amp;form=skydnc</v>
    <v>Learn more on Bing</v>
  </rv>
  <rv s="1">
    <v>0</v>
    <v>SNAP-ON INCORPORATED (XNYS:SNA)</v>
    <v>2</v>
    <v>3</v>
    <v>Finance</v>
    <v>4</v>
    <v>en-US</v>
    <v>a237gh</v>
    <v>268435456</v>
    <v>1</v>
    <v>Powered by Refinitiv</v>
    <v>365.78</v>
    <v>289.81</v>
    <v>0.78990000000000005</v>
    <v>0.24990000000000001</v>
    <v>7.0589999999999997E-4</v>
    <v>USD</v>
    <v>Snap-on Incorporated is a manufacturer and marketer of tools, equipment, diagnostics, repair information and systems solutions. The Company's Commercial and Industrial Group segment serves a range of industrial and commercial customers worldwide, including customers in the aerospace, natural resources, government, power generation, transportation and technical education market segments, through direct and distributor channels. Its Snap-on Tools Group segment consists of operations primarily serving vehicle service and repair technicians through the Company’s mobile tool distribution channel. Its Repair Systems and Information Group segment consists of business operations serving other professional vehicle repair customers worldwide, owners and managers of independent repair shops and original equipment manufacturer dealerships, through direct and distributor channels. Its Financial Services segment consists of the business operations of its finance subsidiaries.</v>
    <v>13000</v>
    <v>New York Stock Exchange</v>
    <v>XNYS</v>
    <v>XNYS</v>
    <v>2801 80th St, KENOSHA, WI, 53143 US</v>
    <v>355.99</v>
    <v>Machinery, Equipment &amp; Components</v>
    <v>Stock</v>
    <v>46020.678283367968</v>
    <v>230</v>
    <v>352.4701</v>
    <v>18423672929</v>
    <v>SNAP-ON INCORPORATED</v>
    <v>SNAP-ON INCORPORATED</v>
    <v>354.04</v>
    <v>18.5703</v>
    <v>354</v>
    <v>354.24990000000003</v>
    <v>52007560</v>
    <v>SNA</v>
    <v>SNAP-ON INCORPORATED (XNYS:SNA)</v>
    <v>59274</v>
    <v>295158</v>
    <v>1930</v>
  </rv>
  <rv s="2">
    <v>231</v>
  </rv>
  <rv s="0">
    <v>https://www.bing.com/financeapi/forcetrigger?t=a23a5r&amp;q=XNYS%3aSO&amp;form=skydnc</v>
    <v>Learn more on Bing</v>
  </rv>
  <rv s="1">
    <v>0</v>
    <v>THE SOUTHERN COMPANY (XNYS:SO)</v>
    <v>2</v>
    <v>3</v>
    <v>Finance</v>
    <v>4</v>
    <v>en-US</v>
    <v>a23a5r</v>
    <v>268435456</v>
    <v>1</v>
    <v>Powered by Refinitiv</v>
    <v>100.83499999999999</v>
    <v>80.459999999999994</v>
    <v>0.442</v>
    <v>0.82</v>
    <v>9.4070000000000004E-3</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28600</v>
    <v>New York Stock Exchange</v>
    <v>XNYS</v>
    <v>XNYS</v>
    <v>30 Ivan Allen Jr. Blvd., N.W., ATLANTA, GA, 30308 US</v>
    <v>88.075000000000003</v>
    <v>Electrical Utilities &amp; IPPs</v>
    <v>Stock</v>
    <v>46020.678347325782</v>
    <v>233</v>
    <v>87.25</v>
    <v>96886228950</v>
    <v>THE SOUTHERN COMPANY</v>
    <v>THE SOUTHERN COMPANY</v>
    <v>87.295000000000002</v>
    <v>21.847300000000001</v>
    <v>87.17</v>
    <v>87.99</v>
    <v>1101105000</v>
    <v>SO</v>
    <v>THE SOUTHERN COMPANY (XNYS:SO)</v>
    <v>712914</v>
    <v>6205548</v>
    <v>1945</v>
  </rv>
  <rv s="2">
    <v>234</v>
  </rv>
  <rv s="0">
    <v>https://www.bing.com/financeapi/forcetrigger?t=a23d6h&amp;q=XNYS%3aSPG&amp;form=skydnc</v>
    <v>Learn more on Bing</v>
  </rv>
  <rv s="1">
    <v>0</v>
    <v>SIMON PROPERTY GROUP, INC. (XNYS:SPG)</v>
    <v>2</v>
    <v>3</v>
    <v>Finance</v>
    <v>4</v>
    <v>en-US</v>
    <v>a23d6h</v>
    <v>268435456</v>
    <v>1</v>
    <v>Powered by Refinitiv</v>
    <v>190.13499999999999</v>
    <v>136.34</v>
    <v>1.3980999999999999</v>
    <v>0.1201</v>
    <v>6.3979999999999994E-4</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2400</v>
    <v>New York Stock Exchange</v>
    <v>XNYS</v>
    <v>XNYS</v>
    <v>225 West Washington Street, INDIANAPOLIS, IN, 46204-3438 US</v>
    <v>188.71</v>
    <v>Residential &amp; Commercial REIT</v>
    <v>Stock</v>
    <v>46020.678314501565</v>
    <v>236</v>
    <v>187.5701</v>
    <v>61320911530</v>
    <v>SIMON PROPERTY GROUP, INC.</v>
    <v>SIMON PROPERTY GROUP, INC.</v>
    <v>188.59</v>
    <v>21.9893</v>
    <v>187.71</v>
    <v>187.83009999999999</v>
    <v>326470100</v>
    <v>SPG</v>
    <v>SIMON PROPERTY GROUP, INC. (XNYS:SPG)</v>
    <v>118192</v>
    <v>1412595</v>
    <v>1998</v>
  </rv>
  <rv s="2">
    <v>237</v>
  </rv>
  <rv s="0">
    <v>https://www.bing.com/financeapi/forcetrigger?t=a23d9c&amp;q=XNYS%3aSPGI&amp;form=skydnc</v>
    <v>Learn more on Bing</v>
  </rv>
  <rv s="1">
    <v>0</v>
    <v>S&amp;P Global Inc. (XNYS:SPGI)</v>
    <v>2</v>
    <v>3</v>
    <v>Finance</v>
    <v>4</v>
    <v>en-US</v>
    <v>a23d9c</v>
    <v>268435456</v>
    <v>1</v>
    <v>Powered by Refinitiv</v>
    <v>579.04999999999995</v>
    <v>427.14</v>
    <v>1.2124999999999999</v>
    <v>1.66</v>
    <v>3.1350000000000002E-3</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42350</v>
    <v>New York Stock Exchange</v>
    <v>XNYS</v>
    <v>XNYS</v>
    <v>55 Water Street, NEW YORK, NY, 10041 US</v>
    <v>532.41999999999996</v>
    <v>Professional &amp; Commercial Services</v>
    <v>Stock</v>
    <v>46020.678379189063</v>
    <v>239</v>
    <v>528.995</v>
    <v>160820108000</v>
    <v>S&amp;P Global Inc.</v>
    <v>S&amp;P Global Inc.</v>
    <v>530.54999999999995</v>
    <v>38.610999999999997</v>
    <v>529.45000000000005</v>
    <v>531.11</v>
    <v>302800000</v>
    <v>SPGI</v>
    <v>S&amp;P Global Inc. (XNYS:SPGI)</v>
    <v>280902</v>
    <v>1549819</v>
    <v>1925</v>
  </rv>
  <rv s="2">
    <v>240</v>
  </rv>
  <rv s="0">
    <v>https://www.bing.com/financeapi/forcetrigger?t=a23www&amp;q=XNYS%3aT&amp;form=skydnc</v>
    <v>Learn more on Bing</v>
  </rv>
  <rv s="1">
    <v>0</v>
    <v>AT&amp;T INC. (XNYS:T)</v>
    <v>2</v>
    <v>3</v>
    <v>Finance</v>
    <v>4</v>
    <v>en-US</v>
    <v>a23www</v>
    <v>268435456</v>
    <v>1</v>
    <v>Powered by Refinitiv</v>
    <v>29.79</v>
    <v>21.38</v>
    <v>0.36659999999999998</v>
    <v>0.185</v>
    <v>7.5049999999999995E-3</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135670</v>
    <v>New York Stock Exchange</v>
    <v>XNYS</v>
    <v>XNYS</v>
    <v>208 S. Akard St, DALLAS, TX, 75202 US</v>
    <v>24.94</v>
    <v>Telecommunications Services</v>
    <v>Stock</v>
    <v>46020.6783459375</v>
    <v>242</v>
    <v>24.64</v>
    <v>176066490750</v>
    <v>AT&amp;T INC.</v>
    <v>AT&amp;T INC.</v>
    <v>24.64</v>
    <v>8.0582999999999991</v>
    <v>24.65</v>
    <v>24.835000000000001</v>
    <v>7089450000</v>
    <v>T</v>
    <v>AT&amp;T INC. (XNYS:T)</v>
    <v>6600024</v>
    <v>37302530</v>
    <v>1983</v>
  </rv>
  <rv s="2">
    <v>243</v>
  </rv>
  <rv s="0">
    <v>https://www.bing.com/financeapi/forcetrigger?t=a246z2&amp;q=XNYS%3aTGT&amp;form=skydnc</v>
    <v>Learn more on Bing</v>
  </rv>
  <rv s="1">
    <v>0</v>
    <v>TARGET CORPORATION (XNYS:TGT)</v>
    <v>2</v>
    <v>3</v>
    <v>Finance</v>
    <v>4</v>
    <v>en-US</v>
    <v>a246z2</v>
    <v>268435456</v>
    <v>1</v>
    <v>Powered by Refinitiv</v>
    <v>145.08000000000001</v>
    <v>83.44</v>
    <v>1.1344000000000001</v>
    <v>-0.88</v>
    <v>-8.8400000000000006E-3</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440000</v>
    <v>New York Stock Exchange</v>
    <v>XNYS</v>
    <v>XNYS</v>
    <v>1000 Nicollet Mall, MINNEAPOLIS, MN, 55403 US</v>
    <v>100.2424</v>
    <v>Diversified Retail</v>
    <v>Stock</v>
    <v>46020.678354212498</v>
    <v>245</v>
    <v>98.408000000000001</v>
    <v>44678407488</v>
    <v>TARGET CORPORATION</v>
    <v>TARGET CORPORATION</v>
    <v>99.5</v>
    <v>11.9726</v>
    <v>99.55</v>
    <v>98.67</v>
    <v>452806400</v>
    <v>TGT</v>
    <v>TARGET CORPORATION (XNYS:TGT)</v>
    <v>1830607</v>
    <v>7657847</v>
    <v>1902</v>
  </rv>
  <rv s="2">
    <v>246</v>
  </rv>
  <rv s="0">
    <v>http://it.wikipedia.org/wiki/T._Rowe_Price</v>
    <v>Wikipedia</v>
  </rv>
  <rv s="5">
    <v>160</v>
    <v>248</v>
  </rv>
  <rv s="6">
    <v>12</v>
    <v>https://www.bing.com/th?id=AMMS_4c600be848f66590834841f27e6f786d&amp;qlt=95</v>
    <v>249</v>
    <v>0</v>
    <v>https://www.bing.com/images/search?form=xlimg&amp;q=t.+rowe+price</v>
    <v>Image of T. ROWE PRICE GROUP, INC.</v>
  </rv>
  <rv s="0">
    <v>https://www.bing.com/financeapi/forcetrigger?t=a24i3m&amp;q=XNAS%3aTROW&amp;form=skydnc</v>
    <v>Learn more on Bing</v>
  </rv>
  <rv s="7">
    <v>8</v>
    <v>T. ROWE PRICE GROUP, INC. (XNAS:TROW)</v>
    <v>10</v>
    <v>11</v>
    <v>Finance</v>
    <v>4</v>
    <v>en-US</v>
    <v>a24i3m</v>
    <v>268435456</v>
    <v>1</v>
    <v>Powered by Refinitiv</v>
    <v>118.32</v>
    <v>77.849999999999994</v>
    <v>1.5351999999999999</v>
    <v>-0.04</v>
    <v>-3.8190000000000001E-4</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8158</v>
    <v>Nasdaq Stock Market</v>
    <v>XNAS</v>
    <v>XNAS</v>
    <v>Harbor Point, 1307 Point Street, BALTIMORE, MD, 21231 US</v>
    <v>104.935</v>
    <v>250</v>
    <v>Investment Banking &amp; Investment Services</v>
    <v>Stock</v>
    <v>46020.678325613284</v>
    <v>251</v>
    <v>104.17</v>
    <v>22851596270</v>
    <v>T. ROWE PRICE GROUP, INC.</v>
    <v>T. ROWE PRICE GROUP, INC.</v>
    <v>104.57</v>
    <v>11.405200000000001</v>
    <v>104.75</v>
    <v>104.71</v>
    <v>218237000</v>
    <v>TROW</v>
    <v>T. ROWE PRICE GROUP, INC. (XNAS:TROW)</v>
    <v>303840</v>
    <v>1847620</v>
    <v>2000</v>
  </rv>
  <rv s="2">
    <v>252</v>
  </rv>
  <rv s="0">
    <v>https://www.bing.com/financeapi/forcetrigger?t=a24kjc&amp;q=XNYS%3aTSM&amp;form=skydnc</v>
    <v>Learn more on Bing</v>
  </rv>
  <rv s="1">
    <v>0</v>
    <v>Taiwan Semiconductor Manufacturing Co., Ltd. (XNYS:TSM)</v>
    <v>2</v>
    <v>3</v>
    <v>Finance</v>
    <v>4</v>
    <v>en-US</v>
    <v>a24kjc</v>
    <v>268435456</v>
    <v>1</v>
    <v>Powered by Refinitiv</v>
    <v>313.98</v>
    <v>134.25</v>
    <v>1.2961</v>
    <v>-2.77</v>
    <v>-9.1469999999999989E-3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304.32</v>
    <v>Semiconductors &amp; Semiconductor Equipment</v>
    <v>Stock</v>
    <v>46020.678382962498</v>
    <v>254</v>
    <v>299.70839999999998</v>
    <v>1246002000000</v>
    <v>Taiwan Semiconductor Manufacturing Co., Ltd.</v>
    <v>Taiwan Semiconductor Manufacturing Co., Ltd.</v>
    <v>301.64999999999998</v>
    <v>29.858899999999998</v>
    <v>302.83999999999997</v>
    <v>300.07</v>
    <v>5186505000</v>
    <v>TSM</v>
    <v>Taiwan Semiconductor Manufacturing Co., Ltd. (XNYS:TSM)</v>
    <v>2621297</v>
    <v>11463551</v>
    <v>1987</v>
  </rv>
  <rv s="2">
    <v>255</v>
  </rv>
  <rv s="0">
    <v>https://www.bing.com/financeapi/forcetrigger?t=a24km7&amp;q=XNYS%3aTSN&amp;form=skydnc</v>
    <v>Learn more on Bing</v>
  </rv>
  <rv s="1">
    <v>0</v>
    <v>TYSON FOODS, INCORPORATED (XNYS:TSN)</v>
    <v>2</v>
    <v>3</v>
    <v>Finance</v>
    <v>4</v>
    <v>en-US</v>
    <v>a24km7</v>
    <v>268435456</v>
    <v>1</v>
    <v>Powered by Refinitiv</v>
    <v>64.36</v>
    <v>50.56</v>
    <v>0.46870000000000001</v>
    <v>-0.13500000000000001</v>
    <v>-2.3050000000000002E-3</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58.6</v>
    <v>Food &amp; Tobacco</v>
    <v>Stock</v>
    <v>46020.678389594534</v>
    <v>257</v>
    <v>58.29</v>
    <v>20627349382</v>
    <v>TYSON FOODS, INCORPORATED</v>
    <v>TYSON FOODS, INCORPORATED</v>
    <v>58.52</v>
    <v>43.639800000000001</v>
    <v>58.56</v>
    <v>58.424999999999997</v>
    <v>353056900</v>
    <v>TSN</v>
    <v>TYSON FOODS, INCORPORATED (XNYS:TSN)</v>
    <v>292033</v>
    <v>3207732</v>
    <v>1986</v>
  </rv>
  <rv s="2">
    <v>258</v>
  </rv>
  <rv s="0">
    <v>https://www.bing.com/financeapi/forcetrigger?t=a24p1h&amp;q=XNAS%3aTXN&amp;form=skydnc</v>
    <v>Learn more on Bing</v>
  </rv>
  <rv s="1">
    <v>0</v>
    <v>TEXAS INSTRUMENTS INCORPORATED (XNAS:TXN)</v>
    <v>2</v>
    <v>3</v>
    <v>Finance</v>
    <v>4</v>
    <v>en-US</v>
    <v>a24p1h</v>
    <v>268435456</v>
    <v>1</v>
    <v>Powered by Refinitiv</v>
    <v>221.69</v>
    <v>139.94999999999999</v>
    <v>0.99180000000000001</v>
    <v>-1.6</v>
    <v>-9.0460000000000002E-3</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34000</v>
    <v>Nasdaq Stock Market</v>
    <v>XNAS</v>
    <v>XNAS</v>
    <v>12500 T I Blvd, DALLAS, TX, 75243-0592 US</v>
    <v>177.65</v>
    <v>Semiconductors &amp; Semiconductor Equipment</v>
    <v>Stock</v>
    <v>46020.678368378904</v>
    <v>260</v>
    <v>175.1</v>
    <v>159263439440</v>
    <v>TEXAS INSTRUMENTS INCORPORATED</v>
    <v>TEXAS INSTRUMENTS INCORPORATED</v>
    <v>176.51</v>
    <v>31.9848</v>
    <v>176.88</v>
    <v>175.28</v>
    <v>908623000</v>
    <v>TXN</v>
    <v>TEXAS INSTRUMENTS INCORPORATED (XNAS:TXN)</v>
    <v>729501</v>
    <v>7076533</v>
    <v>1938</v>
  </rv>
  <rv s="2">
    <v>261</v>
  </rv>
  <rv s="0">
    <v>https://www.bing.com/financeapi/forcetrigger?t=afn5yc&amp;q=XFRA%3aUNH&amp;form=skydnc</v>
    <v>Learn more on Bing</v>
  </rv>
  <rv s="1">
    <v>0</v>
    <v>UNITEDHEALTH GROUP INCORPORATED (XFRA:UNH)</v>
    <v>2</v>
    <v>16</v>
    <v>Finance</v>
    <v>17</v>
    <v>en-US</v>
    <v>afn5yc</v>
    <v>268435456</v>
    <v>1</v>
    <v>Powered by Refinitiv</v>
    <v>589.70000000000005</v>
    <v>168.42</v>
    <v>0.42580000000000001</v>
    <v>4.5</v>
    <v>1.6292999999999998E-2</v>
    <v>EUR</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400000</v>
    <v>Deutsche Boerse AG</v>
    <v>XFRA</v>
    <v>XFRA</v>
    <v>1 HEALTH DRIVE, EDEN PRAIRIE, MN, 55344 US</v>
    <v>280.8</v>
    <v>Healthcare Providers &amp; Services</v>
    <v>Stock</v>
    <v>46020.667361111111</v>
    <v>263</v>
    <v>280.25</v>
    <v>300584400000</v>
    <v>UNITEDHEALTH GROUP INCORPORATED</v>
    <v>UNITEDHEALTH GROUP INCORPORATED</v>
    <v>280.3</v>
    <v>17.178699999999999</v>
    <v>276.2</v>
    <v>280.7</v>
    <v>905838600</v>
    <v>UNH</v>
    <v>UNITEDHEALTH GROUP INCORPORATED (XFRA:UNH)</v>
    <v>1102</v>
    <v>6189140</v>
    <v>2015</v>
  </rv>
  <rv s="2">
    <v>264</v>
  </rv>
  <rv s="0">
    <v>https://www.bing.com/financeapi/forcetrigger?t=a24xww&amp;q=XNYS%3aUNP&amp;form=skydnc</v>
    <v>Learn more on Bing</v>
  </rv>
  <rv s="1">
    <v>0</v>
    <v>UNION PACIFIC CORPORATION (XNYS:UNP)</v>
    <v>2</v>
    <v>3</v>
    <v>Finance</v>
    <v>4</v>
    <v>en-US</v>
    <v>a24xww</v>
    <v>268435456</v>
    <v>1</v>
    <v>Powered by Refinitiv</v>
    <v>256.83999999999997</v>
    <v>204.66</v>
    <v>0.99709999999999999</v>
    <v>0.27</v>
    <v>1.157E-3</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29576</v>
    <v>New York Stock Exchange</v>
    <v>XNYS</v>
    <v>XNYS</v>
    <v>1400 Douglas Street, OMAHA, NE, 68179 US</v>
    <v>234.60400000000001</v>
    <v>Freight &amp; Logistics Services</v>
    <v>Stock</v>
    <v>46020.678326758592</v>
    <v>266</v>
    <v>233.25</v>
    <v>138627633939</v>
    <v>UNION PACIFIC CORPORATION</v>
    <v>UNION PACIFIC CORPORATION</v>
    <v>233.45</v>
    <v>19.8385</v>
    <v>233.44</v>
    <v>233.71</v>
    <v>593160900</v>
    <v>UNP</v>
    <v>UNION PACIFIC CORPORATION (XNYS:UNP)</v>
    <v>333397</v>
    <v>3047985</v>
    <v>1969</v>
  </rv>
  <rv s="2">
    <v>267</v>
  </rv>
  <rv s="0">
    <v>https://www.bing.com/financeapi/forcetrigger?t=a24ynm&amp;q=XNYS%3aUPS&amp;form=skydnc</v>
    <v>Learn more on Bing</v>
  </rv>
  <rv s="1">
    <v>0</v>
    <v>UNITED PARCEL SERVICE, INC. (XNYS:UPS)</v>
    <v>2</v>
    <v>3</v>
    <v>Finance</v>
    <v>4</v>
    <v>en-US</v>
    <v>a24ynm</v>
    <v>268435456</v>
    <v>1</v>
    <v>Powered by Refinitiv</v>
    <v>136.99</v>
    <v>82</v>
    <v>1.1029</v>
    <v>-1.08</v>
    <v>-1.0742E-2</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490000</v>
    <v>New York Stock Exchange</v>
    <v>XNYS</v>
    <v>XNYS</v>
    <v>55 Glenlake Parkway Ne, ATLANTA, GA, 30328 US</v>
    <v>101</v>
    <v>Freight &amp; Logistics Services</v>
    <v>Stock</v>
    <v>46020.678367117966</v>
    <v>269</v>
    <v>99.21</v>
    <v>84380431776</v>
    <v>UNITED PARCEL SERVICE, INC.</v>
    <v>UNITED PARCEL SERVICE, INC.</v>
    <v>100.69</v>
    <v>15.369400000000001</v>
    <v>100.54</v>
    <v>99.46</v>
    <v>848385600</v>
    <v>UPS</v>
    <v>UNITED PARCEL SERVICE, INC. (XNYS:UPS)</v>
    <v>1153983</v>
    <v>6032153</v>
    <v>1999</v>
  </rv>
  <rv s="2">
    <v>270</v>
  </rv>
  <rv s="0">
    <v>https://www.bing.com/financeapi/forcetrigger?t=a256cw&amp;q=XNYS%3aV&amp;form=skydnc</v>
    <v>Learn more on Bing</v>
  </rv>
  <rv s="1">
    <v>0</v>
    <v>VISA INC. (XNYS:V)</v>
    <v>2</v>
    <v>3</v>
    <v>Finance</v>
    <v>4</v>
    <v>en-US</v>
    <v>a256cw</v>
    <v>268435456</v>
    <v>1</v>
    <v>Powered by Refinitiv</v>
    <v>375.51</v>
    <v>299</v>
    <v>0.81979999999999997</v>
    <v>-0.5</v>
    <v>-1.4080000000000002E-3</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356.55</v>
    <v>Professional &amp; Commercial Services</v>
    <v>Stock</v>
    <v>46020.678364270316</v>
    <v>272</v>
    <v>353.80009999999999</v>
    <v>677888371000</v>
    <v>VISA INC.</v>
    <v>VISA INC.</v>
    <v>355.7</v>
    <v>34.731099999999998</v>
    <v>355</v>
    <v>354.5</v>
    <v>1912238000</v>
    <v>V</v>
    <v>VISA INC. (XNYS:V)</v>
    <v>706262</v>
    <v>6726197</v>
    <v>2007</v>
  </rv>
  <rv s="2">
    <v>273</v>
  </rv>
  <rv s="0">
    <v>https://www.bing.com/financeapi/forcetrigger?t=a25obh&amp;q=XNYS%3aVZ&amp;form=skydnc</v>
    <v>Learn more on Bing</v>
  </rv>
  <rv s="1">
    <v>0</v>
    <v>VERIZON COMMUNICATIONS INC. (XNYS:VZ)</v>
    <v>2</v>
    <v>3</v>
    <v>Finance</v>
    <v>4</v>
    <v>en-US</v>
    <v>a25obh</v>
    <v>268435456</v>
    <v>1</v>
    <v>Powered by Refinitiv</v>
    <v>47.354999999999997</v>
    <v>37.585000000000001</v>
    <v>0.3271</v>
    <v>2.5000000000000001E-2</v>
    <v>6.1760000000000005E-4</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99600</v>
    <v>New York Stock Exchange</v>
    <v>XNYS</v>
    <v>XNYS</v>
    <v>1095 Avenue Of The Americas, NEW YORK, NY, 10036 US</v>
    <v>40.700000000000003</v>
    <v>Telecommunications Services</v>
    <v>Stock</v>
    <v>46020.678340902341</v>
    <v>275</v>
    <v>40.44</v>
    <v>170786294625</v>
    <v>VERIZON COMMUNICATIONS INC.</v>
    <v>VERIZON COMMUNICATIONS INC.</v>
    <v>40.49</v>
    <v>8.6351999999999993</v>
    <v>40.479999999999997</v>
    <v>40.505000000000003</v>
    <v>4216425000</v>
    <v>VZ</v>
    <v>VERIZON COMMUNICATIONS INC. (XNYS:VZ)</v>
    <v>4580036</v>
    <v>25092731</v>
    <v>1983</v>
  </rv>
  <rv s="2">
    <v>276</v>
  </rv>
  <rv s="0">
    <v>https://www.bing.com/financeapi/forcetrigger?t=a25ya2&amp;q=XNYS%3aWMT&amp;form=skydnc</v>
    <v>Learn more on Bing</v>
  </rv>
  <rv s="1">
    <v>0</v>
    <v>WALMART INC. (XNAS:WMT)</v>
    <v>2</v>
    <v>3</v>
    <v>Finance</v>
    <v>4</v>
    <v>en-US</v>
    <v>a25ya2</v>
    <v>268435456</v>
    <v>1</v>
    <v>Powered by Refinitiv</v>
    <v>117.45</v>
    <v>79.81</v>
    <v>0.66139999999999999</v>
    <v>0.56000000000000005</v>
    <v>5.012E-3</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112.505</v>
    <v>Food &amp; Drug Retailing</v>
    <v>Stock</v>
    <v>46020.678377152341</v>
    <v>278</v>
    <v>111.57</v>
    <v>895049754100</v>
    <v>WALMART INC.</v>
    <v>WALMART INC.</v>
    <v>111.7</v>
    <v>39.388300000000001</v>
    <v>111.74</v>
    <v>112.3</v>
    <v>7970167000</v>
    <v>WMT</v>
    <v>WALMART INC. (XNAS:WMT)</v>
    <v>4424120</v>
    <v>23554980</v>
    <v>1969</v>
  </rv>
  <rv s="2">
    <v>279</v>
  </rv>
  <rv s="0">
    <v>https://www.bing.com/financeapi/forcetrigger?t=a269ec&amp;q=XNYS%3aXOM&amp;form=skydnc</v>
    <v>Learn more on Bing</v>
  </rv>
  <rv s="1">
    <v>0</v>
    <v>EXXON MOBIL CORPORATION (XNYS:XOM)</v>
    <v>2</v>
    <v>3</v>
    <v>Finance</v>
    <v>4</v>
    <v>en-US</v>
    <v>a269ec</v>
    <v>268435456</v>
    <v>1</v>
    <v>Powered by Refinitiv</v>
    <v>121.2998</v>
    <v>97.8</v>
    <v>0.36759999999999998</v>
    <v>1.75</v>
    <v>1.4692E-2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121.2998</v>
    <v>Oil &amp; Gas</v>
    <v>Stock</v>
    <v>46020.678396642972</v>
    <v>281</v>
    <v>119.4</v>
    <v>509686682760</v>
    <v>EXXON MOBIL CORPORATION</v>
    <v>EXXON MOBIL CORPORATION</v>
    <v>120.19</v>
    <v>17.5684</v>
    <v>119.11</v>
    <v>120.86</v>
    <v>4217166000</v>
    <v>XOM</v>
    <v>EXXON MOBIL CORPORATION (XNYS:XOM)</v>
    <v>4277164</v>
    <v>15586296</v>
    <v>1882</v>
  </rv>
  <rv s="2">
    <v>282</v>
  </rv>
  <rv s="0">
    <v>https://www.bing.com/financeapi/forcetrigger?t=a26hyc&amp;q=XNYS%3aZTS&amp;form=skydnc</v>
    <v>Learn more on Bing</v>
  </rv>
  <rv s="1">
    <v>0</v>
    <v>ZOETIS INC. (XNYS:ZTS)</v>
    <v>2</v>
    <v>3</v>
    <v>Finance</v>
    <v>4</v>
    <v>en-US</v>
    <v>a26hyc</v>
    <v>268435456</v>
    <v>1</v>
    <v>Powered by Refinitiv</v>
    <v>177.4</v>
    <v>115.25</v>
    <v>0.96889999999999998</v>
    <v>-0.39</v>
    <v>-3.0899999999999999E-3</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13800</v>
    <v>New York Stock Exchange</v>
    <v>XNYS</v>
    <v>XNYS</v>
    <v>10 Sylvan Way, PARSIPPANY, NJ, 07054 US</v>
    <v>126.85</v>
    <v>Pharmaceuticals</v>
    <v>Stock</v>
    <v>46020.678344409374</v>
    <v>284</v>
    <v>125.81</v>
    <v>55456832288</v>
    <v>ZOETIS INC.</v>
    <v>ZOETIS INC.</v>
    <v>126.11499999999999</v>
    <v>21.202999999999999</v>
    <v>126.23</v>
    <v>125.84</v>
    <v>440693200</v>
    <v>ZTS</v>
    <v>ZOETIS INC. (XNYS:ZTS)</v>
    <v>925188</v>
    <v>6025779</v>
    <v>2012</v>
  </rv>
  <rv s="2">
    <v>285</v>
  </rv>
  <rv s="0">
    <v>https://www.bing.com/financeapi/forcetrigger?t=a1r5fr&amp;q=XNYS%3aDLR&amp;form=skydnc</v>
    <v>Learn more on Bing</v>
  </rv>
  <rv s="1">
    <v>0</v>
    <v>DIGITAL REALTY TRUST, INC. (XNYS:DLR)</v>
    <v>2</v>
    <v>3</v>
    <v>Finance</v>
    <v>4</v>
    <v>en-US</v>
    <v>a1r5fr</v>
    <v>268435456</v>
    <v>1</v>
    <v>Powered by Refinitiv</v>
    <v>187.74</v>
    <v>129.94999999999999</v>
    <v>1.1217999999999999</v>
    <v>1.0900000000000001</v>
    <v>7.0320000000000001E-3</v>
    <v>USD</v>
    <v>Digital Realty Trust, Inc. is a real estate investment trust. The Company owns, acquires, develops, and operates data centers through its operating partnership subsidiary, Digital Realty Trust, L.P. The Company is focused on providing data center, colocation, and interconnection solutions for domestic and international customers across a variety of industry verticals ranging from cloud and information technology services, communications and social networking to financial services, manufacturing, energy, healthcare, and consumer products. Its portfolio consists of over 308 data centers, of which 121 are located in the United States, 112 are located in Europe, 36 are located in Latin America, 16 are located in Africa, 16 are located in Asia, six are located in Australia and three are located in Canada. Its PlatformDIGITAL is a global data center platform for scaling digital business which enables customers to deploy their critical infrastructure with a global data center provider.</v>
    <v>3936</v>
    <v>New York Stock Exchange</v>
    <v>XNYS</v>
    <v>XNYS</v>
    <v>2323 Bryan Street, Suite 1800, DALLAS, TX, 75201 US</v>
    <v>156.53</v>
    <v>Residential &amp; Commercial REIT</v>
    <v>Stock</v>
    <v>46020.67834435156</v>
    <v>287</v>
    <v>155.125</v>
    <v>53620599760</v>
    <v>DIGITAL REALTY TRUST, INC.</v>
    <v>DIGITAL REALTY TRUST, INC.</v>
    <v>155.125</v>
    <v>40.440399999999997</v>
    <v>155.01</v>
    <v>156.1</v>
    <v>343501600</v>
    <v>DLR</v>
    <v>DIGITAL REALTY TRUST, INC. (XNYS:DLR)</v>
    <v>405332</v>
    <v>2150277</v>
    <v>2004</v>
  </rv>
  <rv s="2">
    <v>288</v>
  </rv>
  <rv s="0">
    <v>https://www.bing.com/financeapi/forcetrigger?t=a1s4mw&amp;q=XNAS%3aEQIX&amp;form=skydnc</v>
    <v>Learn more on Bing</v>
  </rv>
  <rv s="1">
    <v>0</v>
    <v>EQUINIX, INC. (XNAS:EQIX)</v>
    <v>2</v>
    <v>3</v>
    <v>Finance</v>
    <v>4</v>
    <v>en-US</v>
    <v>a1s4mw</v>
    <v>268435456</v>
    <v>1</v>
    <v>Powered by Refinitiv</v>
    <v>964.73</v>
    <v>701.41</v>
    <v>1.0385</v>
    <v>2.6349999999999998</v>
    <v>3.4520000000000002E-3</v>
    <v>USD</v>
    <v>Equinix, Inc. is a digital infrastructure company. The Company's platform, Equinix, combines a global footprint of International Business Exchange (IBX) and xScale data centers in the Americas, Asia-Pacific, and Europe, the Middle East and Africa (EMEA) regions, interconnection solutions, digital offerings, business and digital ecosystems and consulting and support. It offers a variety of enabling solutions that support a customer's need to implement, operate and maintain its colocated deployments. Its solutions include Equinix SmartView, Equinix Smart Hands, and Equinix Smart Build (ESB). Equinix SmartView is fully integrated monitoring software that provides customers visibility into the operating data relevant to their specific Equinix footprint. Its interconnection solutions connect businesses directly within and between its data centers across its global platform. Its interconnection solutions include Equinix Fabric, Equinix Fabric Cloud Router, Cross Connects, and others.</v>
    <v>13606</v>
    <v>Nasdaq Stock Market</v>
    <v>XNAS</v>
    <v>XNAS</v>
    <v>One Lagoon Drive, REDWOOD CITY, CA, 94065 US</v>
    <v>769.23</v>
    <v>Residential &amp; Commercial REIT</v>
    <v>Stock</v>
    <v>46020.678332106247</v>
    <v>290</v>
    <v>763.38</v>
    <v>75204155184</v>
    <v>EQUINIX, INC.</v>
    <v>EQUINIX, INC.</v>
    <v>765.83</v>
    <v>70.126400000000004</v>
    <v>763.3</v>
    <v>765.93499999999995</v>
    <v>98186080</v>
    <v>EQIX</v>
    <v>EQUINIX, INC. (XNAS:EQIX)</v>
    <v>66456</v>
    <v>615371</v>
    <v>1998</v>
  </rv>
  <rv s="2">
    <v>291</v>
  </rv>
  <rv s="0">
    <v>https://www.bing.com/financeapi/forcetrigger?t=a1vrec&amp;q=XNYS%3aIRM&amp;form=skydnc</v>
    <v>Learn more on Bing</v>
  </rv>
  <rv s="1">
    <v>0</v>
    <v>IRON MOUNTAIN INCORPORATED (XNYS:IRM)</v>
    <v>2</v>
    <v>3</v>
    <v>Finance</v>
    <v>4</v>
    <v>en-US</v>
    <v>a1vrec</v>
    <v>268435456</v>
    <v>1</v>
    <v>Powered by Refinitiv</v>
    <v>112.18</v>
    <v>72.33</v>
    <v>1.1426000000000001</v>
    <v>0.38500000000000001</v>
    <v>4.6960000000000005E-3</v>
    <v>USD</v>
    <v>Iron Mountain Incorporated is a provider of information management services. The Company offers a range of services across digital transformation, information security, data center and asset lifecycle management (ALM) needs. The Company helps businesses to unlock value and intelligence from their stored digital and physical assets. It serves to protect its customers’ work. The Company operates through two segments: Global Records and Information Management (Global RIM) Business and Global Data Center Business. The Global RIM Business segment offers various offerings, including records management, data management, global digital solutions, secure shredding, entertainment services, and consumer storage. Its Global Data Center Business segment provides data center facilities and capacity to protect mission-critical assets and ensure the continued operation of its customers’ information technology (IT) infrastructure with flexible data center options.</v>
    <v>28850</v>
    <v>New York Stock Exchange</v>
    <v>XNYS</v>
    <v>XNYS</v>
    <v>85 New Hampshire Avenue, Suite 150, Pease International Tradeport, PORTSMOUTH, NH, 03801 US</v>
    <v>82.89</v>
    <v>Residential &amp; Commercial REIT</v>
    <v>Stock</v>
    <v>46020.678245428127</v>
    <v>293</v>
    <v>81.900000000000006</v>
    <v>24349185062</v>
    <v>IRON MOUNTAIN INCORPORATED</v>
    <v>IRON MOUNTAIN INCORPORATED</v>
    <v>82.1</v>
    <v>154.23140000000001</v>
    <v>81.99</v>
    <v>82.375</v>
    <v>295589500</v>
    <v>IRM</v>
    <v>IRON MOUNTAIN INCORPORATED (XNYS:IRM)</v>
    <v>236310</v>
    <v>2239701</v>
    <v>2014</v>
  </rv>
  <rv s="2">
    <v>294</v>
  </rv>
</rvData>
</file>

<file path=xl/richData/rdrichvaluestructure.xml><?xml version="1.0" encoding="utf-8"?>
<rvStructures xmlns="http://schemas.microsoft.com/office/spreadsheetml/2017/richdata" count="9">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error">
    <k n="errorType" t="i"/>
    <k n="field" t="s"/>
    <k n="subType" t="i"/>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4">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Image</v>
      <v t="s">ExchangeID</v>
      <v t="s">%ProviderInfo</v>
    </a>
  </spbArrays>
  <spbData count="18">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v>
      <v>2</v>
      <v>2</v>
      <v>1</v>
      <v>3</v>
      <v>1</v>
      <v>1</v>
      <v>1</v>
      <v>4</v>
      <v>4</v>
      <v>5</v>
      <v>10</v>
      <v>1</v>
      <v>1</v>
      <v>1</v>
      <v>4</v>
      <v>7</v>
      <v>8</v>
      <v>9</v>
      <v>4</v>
    </spb>
    <spb s="0">
      <v>1</v>
      <v>Name</v>
      <v>LearnMoreOnLink</v>
    </spb>
    <spb s="5">
      <v>1</v>
      <v>2</v>
      <v>1</v>
      <v>3</v>
      <v>1</v>
      <v>1</v>
      <v>1</v>
      <v>4</v>
      <v>4</v>
      <v>5</v>
      <v>6</v>
      <v>1</v>
      <v>1</v>
      <v>1</v>
      <v>4</v>
      <v>7</v>
      <v>8</v>
      <v>9</v>
      <v>4</v>
    </spb>
    <spb s="0">
      <v>2</v>
      <v>Name</v>
      <v>LearnMoreOnLink</v>
    </spb>
    <spb s="6">
      <v>0</v>
      <v>0</v>
    </spb>
    <spb s="7">
      <v>9</v>
      <v>1</v>
      <v>1</v>
      <v>1</v>
      <v>1</v>
    </spb>
    <spb s="8">
      <v>1</v>
      <v>2</v>
      <v>2</v>
      <v>1</v>
      <v>3</v>
      <v>1</v>
      <v>11</v>
      <v>1</v>
      <v>1</v>
      <v>4</v>
      <v>4</v>
      <v>5</v>
      <v>6</v>
      <v>1</v>
      <v>1</v>
      <v>1</v>
      <v>4</v>
      <v>7</v>
      <v>8</v>
      <v>9</v>
      <v>4</v>
    </spb>
    <spb s="9">
      <v>Powered by Refinitiv</v>
    </spb>
    <spb s="0">
      <v>3</v>
      <v>Name</v>
      <v>LearnMoreOnLink</v>
    </spb>
    <spb s="10">
      <v>1</v>
      <v>2</v>
      <v>1</v>
      <v>3</v>
      <v>1</v>
      <v>11</v>
      <v>1</v>
      <v>1</v>
      <v>4</v>
      <v>4</v>
      <v>5</v>
      <v>6</v>
      <v>1</v>
      <v>1</v>
      <v>1</v>
      <v>4</v>
      <v>7</v>
      <v>8</v>
      <v>9</v>
      <v>4</v>
    </spb>
    <spb s="4">
      <v>Delayed 15 minutes</v>
      <v>from previous close</v>
      <v>from previous close</v>
      <v>Source: Nasdaq</v>
      <v>GMT</v>
    </spb>
    <spb s="3">
      <v>12</v>
      <v>2</v>
      <v>2</v>
      <v>12</v>
      <v>3</v>
      <v>12</v>
      <v>12</v>
      <v>12</v>
      <v>4</v>
      <v>4</v>
      <v>5</v>
      <v>6</v>
      <v>12</v>
      <v>12</v>
      <v>12</v>
      <v>4</v>
      <v>7</v>
      <v>8</v>
      <v>9</v>
      <v>4</v>
    </spb>
    <spb s="11">
      <v>Delayed 15 minutes</v>
      <v>from previous close</v>
      <v>from previous close</v>
      <v>GMT</v>
    </spb>
  </spbData>
</supportingPropertyBags>
</file>

<file path=xl/richData/rdsupportingpropertybagstructure.xml><?xml version="1.0" encoding="utf-8"?>
<spbStructures xmlns="http://schemas.microsoft.com/office/spreadsheetml/2017/richdata2" count="1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_([$$-en-CA]* #,##0_);_([$$-en-CA]* (#,##0);_([$$-en-CA]* "-"_);_(@_)</rpv>
    </rSty>
    <rSty>
      <rpv i="2">1</rpv>
    </rSty>
    <rSty dxfid="1">
      <rpv i="0">_([$€-x-euro2] * #,##0.00_);_([$€-x-euro2] * (#,##0.00);_([$€-x-euro2] *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N94" totalsRowShown="0" headerRowDxfId="9">
  <autoFilter ref="A1:N94" xr:uid="{E0CA35FE-2F53-A347-8AD6-B5C0C701EF5E}"/>
  <sortState xmlns:xlrd2="http://schemas.microsoft.com/office/spreadsheetml/2017/richdata2" ref="A2:N91">
    <sortCondition ref="B1:B91"/>
  </sortState>
  <tableColumns count="14">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ed"/>
    <tableColumn id="11" xr3:uid="{7CC5E783-98B3-A249-9E0F-63249BFA8B30}" name="Sector"/>
    <tableColumn id="7" xr3:uid="{8D171512-1066-D24C-A948-05AAA5A8B50A}" name="S&amp;P"/>
    <tableColumn id="8" xr3:uid="{B3B784B4-8B19-3446-A4F1-18EF19EFCE1E}" name="FyEnd"/>
    <tableColumn id="14" xr3:uid="{7B7FBAD0-FB36-9A42-96AD-5BB889DFF68B}" name="Category"/>
    <tableColumn id="6" xr3:uid="{E90EDA1C-8BB7-7F4E-BCAF-FAF9570B8A38}" name="Price" dataDxfId="8">
      <calculatedColumnFormula array="1">_FV(table1[[#This Row],[DataField]],"Price")</calculatedColumnFormula>
    </tableColumn>
    <tableColumn id="17" xr3:uid="{87A4EE6D-E7C3-CE41-BBA3-78EC20CDEBEE}" name="52Low" dataDxfId="7">
      <calculatedColumnFormula array="1">_FV(table1[[#This Row],[DataField]],"52 week low",TRUE)</calculatedColumnFormula>
    </tableColumn>
    <tableColumn id="18" xr3:uid="{D9B78892-8229-7243-8D05-F357BF8638BD}" name="52High" dataDxfId="6">
      <calculatedColumnFormula array="1">_FV(table1[[#This Row],[DataField]],"52 week high",TRUE)</calculatedColumnFormula>
    </tableColumn>
    <tableColumn id="20" xr3:uid="{78C713E7-4AD7-B542-970C-49F40A7186F4}" name="P/E" dataDxfId="5" dataCellStyle="Comma">
      <calculatedColumnFormula array="1">_FV(table1[[#This Row],[DataField]],"P/E",TRUE)</calculatedColumnFormula>
    </tableColumn>
    <tableColumn id="23" xr3:uid="{7CC54F3F-E5AD-804B-9D12-23FD72A661FB}" name="Watch" dataDxfId="4">
      <calculatedColumnFormula>IF(table1[[#This Row],[Price]] &lt; (table1[[#This Row],[52Low]] * 0.25) + table1[[#This Row],[52Low]],  "TRUE", "FALSE")</calculatedColumnFormula>
    </tableColumn>
    <tableColumn id="24" xr3:uid="{8E6233F4-6662-6E46-AF2F-77ADB7B9257D}" name="Alert" dataDxfId="3">
      <calculatedColumnFormula>IF(table1[[#This Row],[Price]] &lt; (table1[[#This Row],[52Low]] * 0.1) + table1[[#This Row],[52Low]],  "TRUE", "FALSE")</calculatedColumnFormula>
    </tableColumn>
    <tableColumn id="28" xr3:uid="{0C4A33EE-ED89-2F4F-BCD3-9651E2BEED77}" name="MarketCap" dataDxfId="2">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N94"/>
  <sheetViews>
    <sheetView tabSelected="1" workbookViewId="0">
      <pane ySplit="1" topLeftCell="A2" activePane="bottomLeft" state="frozen"/>
      <selection pane="bottomLeft" activeCell="A15" sqref="A15"/>
    </sheetView>
  </sheetViews>
  <sheetFormatPr baseColWidth="10" defaultRowHeight="16" x14ac:dyDescent="0.2"/>
  <cols>
    <col min="1" max="1" width="51.83203125" bestFit="1" customWidth="1"/>
    <col min="2" max="2" width="8.6640625" bestFit="1" customWidth="1"/>
    <col min="3" max="3" width="9.33203125" bestFit="1" customWidth="1"/>
    <col min="4" max="4" width="21.6640625" bestFit="1" customWidth="1"/>
    <col min="5" max="5" width="7" bestFit="1" customWidth="1"/>
    <col min="6" max="6" width="8.5" bestFit="1" customWidth="1"/>
    <col min="7" max="7" width="11.1640625" bestFit="1" customWidth="1"/>
    <col min="11" max="11" width="9" bestFit="1" customWidth="1"/>
    <col min="12" max="12" width="10.5" bestFit="1" customWidth="1"/>
    <col min="13" max="13" width="7.83203125" style="4" bestFit="1" customWidth="1"/>
    <col min="14" max="14" width="18.6640625" bestFit="1" customWidth="1"/>
  </cols>
  <sheetData>
    <row r="1" spans="1:14" x14ac:dyDescent="0.2">
      <c r="A1" s="1" t="s">
        <v>3</v>
      </c>
      <c r="B1" s="1" t="s">
        <v>0</v>
      </c>
      <c r="C1" s="1" t="s">
        <v>4</v>
      </c>
      <c r="D1" s="1" t="s">
        <v>1</v>
      </c>
      <c r="E1" s="1" t="s">
        <v>16</v>
      </c>
      <c r="F1" s="1" t="s">
        <v>15</v>
      </c>
      <c r="G1" s="1" t="s">
        <v>2</v>
      </c>
      <c r="H1" s="1" t="s">
        <v>17</v>
      </c>
      <c r="I1" s="1" t="s">
        <v>20</v>
      </c>
      <c r="J1" s="1" t="s">
        <v>19</v>
      </c>
      <c r="K1" s="3" t="s">
        <v>18</v>
      </c>
      <c r="L1" s="1" t="s">
        <v>21</v>
      </c>
      <c r="M1" s="1" t="s">
        <v>22</v>
      </c>
      <c r="N1" s="5" t="s">
        <v>23</v>
      </c>
    </row>
    <row r="2" spans="1:14" x14ac:dyDescent="0.2">
      <c r="A2" t="e" vm="1">
        <v>#VALUE!</v>
      </c>
      <c r="B2" t="str" cm="1">
        <f t="array" aca="1" ref="B2" ca="1">_FV(table1[[#This Row],[DataField]],"Ticker symbol",TRUE)</f>
        <v>AAPL</v>
      </c>
      <c r="C2" t="b">
        <v>1</v>
      </c>
      <c r="D2" t="s">
        <v>6</v>
      </c>
      <c r="E2" t="b">
        <v>1</v>
      </c>
      <c r="G2" t="s">
        <v>24</v>
      </c>
      <c r="H2" s="2" cm="1">
        <f t="array" aca="1" ref="H2" ca="1">_FV(table1[[#This Row],[DataField]],"Price")</f>
        <v>273.18560000000002</v>
      </c>
      <c r="I2" s="2" cm="1">
        <f t="array" aca="1" ref="I2" ca="1">_FV(table1[[#This Row],[DataField]],"52 week low",TRUE)</f>
        <v>169.21010000000001</v>
      </c>
      <c r="J2" s="2" cm="1">
        <f t="array" aca="1" ref="J2" ca="1">_FV(table1[[#This Row],[DataField]],"52 week high",TRUE)</f>
        <v>288.62</v>
      </c>
      <c r="K2" s="4" cm="1">
        <f t="array" aca="1" ref="K2" ca="1">_FV(table1[[#This Row],[DataField]],"P/E",TRUE)</f>
        <v>36.784700000000001</v>
      </c>
      <c r="L2" s="2" t="str">
        <f ca="1">IF(table1[[#This Row],[Price]] &lt; (table1[[#This Row],[52Low]] * 0.25) + table1[[#This Row],[52Low]],  "TRUE", "FALSE")</f>
        <v>FALSE</v>
      </c>
      <c r="M2" s="2" t="str">
        <f ca="1">IF(table1[[#This Row],[Price]] &lt; (table1[[#This Row],[52Low]] * 0.1) + table1[[#This Row],[52Low]],  "TRUE", "FALSE")</f>
        <v>FALSE</v>
      </c>
      <c r="N2" s="6" cm="1">
        <f t="array" aca="1" ref="N2" ca="1">_FV(table1[[#This Row],[DataField]],"Market cap",TRUE)</f>
        <v>4036686040560</v>
      </c>
    </row>
    <row r="3" spans="1:14" x14ac:dyDescent="0.2">
      <c r="A3" t="e" vm="2">
        <v>#VALUE!</v>
      </c>
      <c r="B3" t="str" cm="1">
        <f t="array" aca="1" ref="B3" ca="1">_FV(table1[[#This Row],[DataField]],"Ticker symbol",TRUE)</f>
        <v>ABBV</v>
      </c>
      <c r="H3" s="2" cm="1">
        <f t="array" aca="1" ref="H3" ca="1">_FV(table1[[#This Row],[DataField]],"Price")</f>
        <v>231.46</v>
      </c>
      <c r="I3" s="2" cm="1">
        <f t="array" aca="1" ref="I3" ca="1">_FV(table1[[#This Row],[DataField]],"52 week low",TRUE)</f>
        <v>164.39</v>
      </c>
      <c r="J3" s="2" cm="1">
        <f t="array" aca="1" ref="J3" ca="1">_FV(table1[[#This Row],[DataField]],"52 week high",TRUE)</f>
        <v>244.81</v>
      </c>
      <c r="K3" s="4" cm="1">
        <f t="array" aca="1" ref="K3" ca="1">_FV(table1[[#This Row],[DataField]],"P/E",TRUE)</f>
        <v>174.6472</v>
      </c>
      <c r="L3" s="2" t="str">
        <f ca="1">IF(table1[[#This Row],[Price]] &lt; (table1[[#This Row],[52Low]] * 0.25) + table1[[#This Row],[52Low]],  "TRUE", "FALSE")</f>
        <v>FALSE</v>
      </c>
      <c r="M3" s="2" t="str">
        <f ca="1">IF(table1[[#This Row],[Price]] &lt; (table1[[#This Row],[52Low]] * 0.1) + table1[[#This Row],[52Low]],  "TRUE", "FALSE")</f>
        <v>FALSE</v>
      </c>
      <c r="N3" s="6" cm="1">
        <f t="array" aca="1" ref="N3" ca="1">_FV(table1[[#This Row],[DataField]],"Market cap",TRUE)</f>
        <v>409078932100</v>
      </c>
    </row>
    <row r="4" spans="1:14" x14ac:dyDescent="0.2">
      <c r="A4" t="e" vm="3">
        <v>#VALUE!</v>
      </c>
      <c r="B4" t="str" cm="1">
        <f t="array" aca="1" ref="B4" ca="1">_FV(table1[[#This Row],[DataField]],"Ticker symbol",TRUE)</f>
        <v>ADM</v>
      </c>
      <c r="C4" t="b">
        <v>1</v>
      </c>
      <c r="D4" t="s">
        <v>5</v>
      </c>
      <c r="E4" t="b">
        <v>1</v>
      </c>
      <c r="H4" s="2" cm="1">
        <f t="array" aca="1" ref="H4" ca="1">_FV(table1[[#This Row],[DataField]],"Price")</f>
        <v>57.99</v>
      </c>
      <c r="I4" s="2" cm="1">
        <f t="array" aca="1" ref="I4" ca="1">_FV(table1[[#This Row],[DataField]],"52 week low",TRUE)</f>
        <v>40.98</v>
      </c>
      <c r="J4" s="2" cm="1">
        <f t="array" aca="1" ref="J4" ca="1">_FV(table1[[#This Row],[DataField]],"52 week high",TRUE)</f>
        <v>65</v>
      </c>
      <c r="K4" s="4" cm="1">
        <f t="array" aca="1" ref="K4" ca="1">_FV(table1[[#This Row],[DataField]],"P/E",TRUE)</f>
        <v>23.523399999999999</v>
      </c>
      <c r="L4" s="2" t="str">
        <f ca="1">IF(table1[[#This Row],[Price]] &lt; (table1[[#This Row],[52Low]] * 0.25) + table1[[#This Row],[52Low]],  "TRUE", "FALSE")</f>
        <v>FALSE</v>
      </c>
      <c r="M4" s="2" t="str">
        <f ca="1">IF(table1[[#This Row],[Price]] &lt; (table1[[#This Row],[52Low]] * 0.1) + table1[[#This Row],[52Low]],  "TRUE", "FALSE")</f>
        <v>FALSE</v>
      </c>
      <c r="N4" s="6" cm="1">
        <f t="array" aca="1" ref="N4" ca="1">_FV(table1[[#This Row],[DataField]],"Market cap",TRUE)</f>
        <v>27868236903</v>
      </c>
    </row>
    <row r="5" spans="1:14" x14ac:dyDescent="0.2">
      <c r="A5" t="e" vm="4">
        <v>#VALUE!</v>
      </c>
      <c r="B5" t="str" cm="1">
        <f t="array" aca="1" ref="B5" ca="1">_FV(table1[[#This Row],[DataField]],"Ticker symbol",TRUE)</f>
        <v>ADP</v>
      </c>
      <c r="H5" s="2" cm="1">
        <f t="array" aca="1" ref="H5" ca="1">_FV(table1[[#This Row],[DataField]],"Price")</f>
        <v>258.58999999999997</v>
      </c>
      <c r="I5" s="2" cm="1">
        <f t="array" aca="1" ref="I5" ca="1">_FV(table1[[#This Row],[DataField]],"52 week low",TRUE)</f>
        <v>247.18350000000001</v>
      </c>
      <c r="J5" s="2" cm="1">
        <f t="array" aca="1" ref="J5" ca="1">_FV(table1[[#This Row],[DataField]],"52 week high",TRUE)</f>
        <v>329.92950000000002</v>
      </c>
      <c r="K5" s="4" cm="1">
        <f t="array" aca="1" ref="K5" ca="1">_FV(table1[[#This Row],[DataField]],"P/E",TRUE)</f>
        <v>25.500499999999999</v>
      </c>
      <c r="L5" s="2" t="str">
        <f ca="1">IF(table1[[#This Row],[Price]] &lt; (table1[[#This Row],[52Low]] * 0.25) + table1[[#This Row],[52Low]],  "TRUE", "FALSE")</f>
        <v>TRUE</v>
      </c>
      <c r="M5" s="2" t="str">
        <f ca="1">IF(table1[[#This Row],[Price]] &lt; (table1[[#This Row],[52Low]] * 0.1) + table1[[#This Row],[52Low]],  "TRUE", "FALSE")</f>
        <v>TRUE</v>
      </c>
      <c r="N5" s="6" cm="1">
        <f t="array" aca="1" ref="N5" ca="1">_FV(table1[[#This Row],[DataField]],"Market cap",TRUE)</f>
        <v>104586389332</v>
      </c>
    </row>
    <row r="6" spans="1:14" x14ac:dyDescent="0.2">
      <c r="A6" t="e" vm="5">
        <v>#VALUE!</v>
      </c>
      <c r="B6" t="str" cm="1">
        <f t="array" aca="1" ref="B6" ca="1">_FV(table1[[#This Row],[DataField]],"Ticker symbol",TRUE)</f>
        <v>AMD</v>
      </c>
      <c r="G6" t="s">
        <v>25</v>
      </c>
      <c r="H6" s="2" cm="1">
        <f t="array" aca="1" ref="H6" ca="1">_FV(table1[[#This Row],[DataField]],"Price")</f>
        <v>213.60499999999999</v>
      </c>
      <c r="I6" s="2" cm="1">
        <f t="array" aca="1" ref="I6" ca="1">_FV(table1[[#This Row],[DataField]],"52 week low",TRUE)</f>
        <v>76.48</v>
      </c>
      <c r="J6" s="2" cm="1">
        <f t="array" aca="1" ref="J6" ca="1">_FV(table1[[#This Row],[DataField]],"52 week high",TRUE)</f>
        <v>267.07990000000001</v>
      </c>
      <c r="K6" s="4" cm="1">
        <f t="array" aca="1" ref="K6" ca="1">_FV(table1[[#This Row],[DataField]],"P/E",TRUE)</f>
        <v>111.4616</v>
      </c>
      <c r="L6" s="2" t="str">
        <f ca="1">IF(table1[[#This Row],[Price]] &lt; (table1[[#This Row],[52Low]] * 0.25) + table1[[#This Row],[52Low]],  "TRUE", "FALSE")</f>
        <v>FALSE</v>
      </c>
      <c r="M6" s="2" t="str">
        <f ca="1">IF(table1[[#This Row],[Price]] &lt; (table1[[#This Row],[52Low]] * 0.1) + table1[[#This Row],[52Low]],  "TRUE", "FALSE")</f>
        <v>FALSE</v>
      </c>
      <c r="N6" s="6" cm="1">
        <f t="array" aca="1" ref="N6" ca="1">_FV(table1[[#This Row],[DataField]],"Market cap",TRUE)</f>
        <v>347757911410</v>
      </c>
    </row>
    <row r="7" spans="1:14" x14ac:dyDescent="0.2">
      <c r="A7" t="e" vm="6">
        <v>#VALUE!</v>
      </c>
      <c r="B7" t="str" cm="1">
        <f t="array" aca="1" ref="B7" ca="1">_FV(table1[[#This Row],[DataField]],"Ticker symbol",TRUE)</f>
        <v>AMT</v>
      </c>
      <c r="H7" s="2" cm="1">
        <f t="array" aca="1" ref="H7" ca="1">_FV(table1[[#This Row],[DataField]],"Price")</f>
        <v>175.67</v>
      </c>
      <c r="I7" s="2" cm="1">
        <f t="array" aca="1" ref="I7" ca="1">_FV(table1[[#This Row],[DataField]],"52 week low",TRUE)</f>
        <v>170.77</v>
      </c>
      <c r="J7" s="2" cm="1">
        <f t="array" aca="1" ref="J7" ca="1">_FV(table1[[#This Row],[DataField]],"52 week high",TRUE)</f>
        <v>234.33</v>
      </c>
      <c r="K7" s="4" cm="1">
        <f t="array" aca="1" ref="K7" ca="1">_FV(table1[[#This Row],[DataField]],"P/E",TRUE)</f>
        <v>28.020199999999999</v>
      </c>
      <c r="L7" s="2" t="str">
        <f ca="1">IF(table1[[#This Row],[Price]] &lt; (table1[[#This Row],[52Low]] * 0.25) + table1[[#This Row],[52Low]],  "TRUE", "FALSE")</f>
        <v>TRUE</v>
      </c>
      <c r="M7" s="2" t="str">
        <f ca="1">IF(table1[[#This Row],[Price]] &lt; (table1[[#This Row],[52Low]] * 0.1) + table1[[#This Row],[52Low]],  "TRUE", "FALSE")</f>
        <v>TRUE</v>
      </c>
      <c r="N7" s="6" cm="1">
        <f t="array" aca="1" ref="N7" ca="1">_FV(table1[[#This Row],[DataField]],"Market cap",TRUE)</f>
        <v>82585740000</v>
      </c>
    </row>
    <row r="8" spans="1:14" x14ac:dyDescent="0.2">
      <c r="A8" t="e" vm="7">
        <v>#VALUE!</v>
      </c>
      <c r="B8" t="str" cm="1">
        <f t="array" aca="1" ref="B8" ca="1">_FV(table1[[#This Row],[DataField]],"Ticker symbol",TRUE)</f>
        <v>AMZN</v>
      </c>
      <c r="C8" t="b">
        <v>1</v>
      </c>
      <c r="D8" t="s">
        <v>7</v>
      </c>
      <c r="E8" t="b">
        <v>1</v>
      </c>
      <c r="H8" s="2" cm="1">
        <f t="array" aca="1" ref="H8" ca="1">_FV(table1[[#This Row],[DataField]],"Price")</f>
        <v>231.441</v>
      </c>
      <c r="I8" s="2" cm="1">
        <f t="array" aca="1" ref="I8" ca="1">_FV(table1[[#This Row],[DataField]],"52 week low",TRUE)</f>
        <v>161.38</v>
      </c>
      <c r="J8" s="2" cm="1">
        <f t="array" aca="1" ref="J8" ca="1">_FV(table1[[#This Row],[DataField]],"52 week high",TRUE)</f>
        <v>258.60000000000002</v>
      </c>
      <c r="K8" s="4" cm="1">
        <f t="array" aca="1" ref="K8" ca="1">_FV(table1[[#This Row],[DataField]],"P/E",TRUE)</f>
        <v>32.694000000000003</v>
      </c>
      <c r="L8" s="2" t="str">
        <f ca="1">IF(table1[[#This Row],[Price]] &lt; (table1[[#This Row],[52Low]] * 0.25) + table1[[#This Row],[52Low]],  "TRUE", "FALSE")</f>
        <v>FALSE</v>
      </c>
      <c r="M8" s="2" t="str">
        <f ca="1">IF(table1[[#This Row],[Price]] &lt; (table1[[#This Row],[52Low]] * 0.1) + table1[[#This Row],[52Low]],  "TRUE", "FALSE")</f>
        <v>FALSE</v>
      </c>
      <c r="N8" s="6" cm="1">
        <f t="array" aca="1" ref="N8" ca="1">_FV(table1[[#This Row],[DataField]],"Market cap",TRUE)</f>
        <v>2485689000000</v>
      </c>
    </row>
    <row r="9" spans="1:14" x14ac:dyDescent="0.2">
      <c r="A9" t="e" vm="8">
        <v>#VALUE!</v>
      </c>
      <c r="B9" t="str" cm="1">
        <f t="array" aca="1" ref="B9" ca="1">_FV(table1[[#This Row],[DataField]],"Ticker symbol",TRUE)</f>
        <v>AOS</v>
      </c>
      <c r="H9" s="2" cm="1">
        <f t="array" aca="1" ref="H9" ca="1">_FV(table1[[#This Row],[DataField]],"Price")</f>
        <v>67.64</v>
      </c>
      <c r="I9" s="2" cm="1">
        <f t="array" aca="1" ref="I9" ca="1">_FV(table1[[#This Row],[DataField]],"52 week low",TRUE)</f>
        <v>58.83</v>
      </c>
      <c r="J9" s="2" cm="1">
        <f t="array" aca="1" ref="J9" ca="1">_FV(table1[[#This Row],[DataField]],"52 week high",TRUE)</f>
        <v>77.31</v>
      </c>
      <c r="K9" s="4" cm="1">
        <f t="array" aca="1" ref="K9" ca="1">_FV(table1[[#This Row],[DataField]],"P/E",TRUE)</f>
        <v>18.262799999999999</v>
      </c>
      <c r="L9" s="2" t="str">
        <f ca="1">IF(table1[[#This Row],[Price]] &lt; (table1[[#This Row],[52Low]] * 0.25) + table1[[#This Row],[52Low]],  "TRUE", "FALSE")</f>
        <v>TRUE</v>
      </c>
      <c r="M9" s="2" t="str">
        <f ca="1">IF(table1[[#This Row],[Price]] &lt; (table1[[#This Row],[52Low]] * 0.1) + table1[[#This Row],[52Low]],  "TRUE", "FALSE")</f>
        <v>FALSE</v>
      </c>
      <c r="N9" s="6" cm="1">
        <f t="array" aca="1" ref="N9" ca="1">_FV(table1[[#This Row],[DataField]],"Market cap",TRUE)</f>
        <v>9418044792</v>
      </c>
    </row>
    <row r="10" spans="1:14" x14ac:dyDescent="0.2">
      <c r="A10" t="e" vm="9">
        <v>#VALUE!</v>
      </c>
      <c r="B10" t="str" cm="1">
        <f t="array" aca="1" ref="B10" ca="1">_FV(table1[[#This Row],[DataField]],"Ticker symbol",TRUE)</f>
        <v>ASML</v>
      </c>
      <c r="G10" t="s">
        <v>25</v>
      </c>
      <c r="H10" s="2" cm="1">
        <f t="array" aca="1" ref="H10" ca="1">_FV(table1[[#This Row],[DataField]],"Price")</f>
        <v>1068.1600000000001</v>
      </c>
      <c r="I10" s="2" cm="1">
        <f t="array" aca="1" ref="I10" ca="1">_FV(table1[[#This Row],[DataField]],"52 week low",TRUE)</f>
        <v>578.51</v>
      </c>
      <c r="J10" s="2" cm="1">
        <f t="array" aca="1" ref="J10" ca="1">_FV(table1[[#This Row],[DataField]],"52 week high",TRUE)</f>
        <v>1141.7190000000001</v>
      </c>
      <c r="K10" s="4" cm="1">
        <f t="array" aca="1" ref="K10" ca="1">_FV(table1[[#This Row],[DataField]],"P/E",TRUE)</f>
        <v>37.689700000000002</v>
      </c>
      <c r="L10" s="2" t="str">
        <f ca="1">IF(table1[[#This Row],[Price]] &lt; (table1[[#This Row],[52Low]] * 0.25) + table1[[#This Row],[52Low]],  "TRUE", "FALSE")</f>
        <v>FALSE</v>
      </c>
      <c r="M10" s="2" t="str">
        <f ca="1">IF(table1[[#This Row],[Price]] &lt; (table1[[#This Row],[52Low]] * 0.1) + table1[[#This Row],[52Low]],  "TRUE", "FALSE")</f>
        <v>FALSE</v>
      </c>
      <c r="N10" s="6" cm="1">
        <f t="array" aca="1" ref="N10" ca="1">_FV(table1[[#This Row],[DataField]],"Market cap",TRUE)</f>
        <v>411544800000</v>
      </c>
    </row>
    <row r="11" spans="1:14" x14ac:dyDescent="0.2">
      <c r="A11" t="e" vm="10">
        <v>#VALUE!</v>
      </c>
      <c r="B11" t="str" cm="1">
        <f t="array" aca="1" ref="B11" ca="1">_FV(table1[[#This Row],[DataField]],"Ticker symbol",TRUE)</f>
        <v>AVGO</v>
      </c>
      <c r="H11" s="2" cm="1">
        <f t="array" aca="1" ref="H11" ca="1">_FV(table1[[#This Row],[DataField]],"Price")</f>
        <v>349.24</v>
      </c>
      <c r="I11" s="2" cm="1">
        <f t="array" aca="1" ref="I11" ca="1">_FV(table1[[#This Row],[DataField]],"52 week low",TRUE)</f>
        <v>138.1</v>
      </c>
      <c r="J11" s="2" cm="1">
        <f t="array" aca="1" ref="J11" ca="1">_FV(table1[[#This Row],[DataField]],"52 week high",TRUE)</f>
        <v>414.61</v>
      </c>
      <c r="K11" s="4" cm="1">
        <f t="array" aca="1" ref="K11" ca="1">_FV(table1[[#This Row],[DataField]],"P/E",TRUE)</f>
        <v>73.215900000000005</v>
      </c>
      <c r="L11" s="2" t="str">
        <f ca="1">IF(table1[[#This Row],[Price]] &lt; (table1[[#This Row],[52Low]] * 0.25) + table1[[#This Row],[52Low]],  "TRUE", "FALSE")</f>
        <v>FALSE</v>
      </c>
      <c r="M11" s="2" t="str">
        <f ca="1">IF(table1[[#This Row],[Price]] &lt; (table1[[#This Row],[52Low]] * 0.1) + table1[[#This Row],[52Low]],  "TRUE", "FALSE")</f>
        <v>FALSE</v>
      </c>
      <c r="N11" s="6" cm="1">
        <f t="array" aca="1" ref="N11" ca="1">_FV(table1[[#This Row],[DataField]],"Market cap",TRUE)</f>
        <v>1655842531760</v>
      </c>
    </row>
    <row r="12" spans="1:14" x14ac:dyDescent="0.2">
      <c r="A12" t="e" vm="11">
        <v>#VALUE!</v>
      </c>
      <c r="B12" t="str" cm="1">
        <f t="array" aca="1" ref="B12" ca="1">_FV(table1[[#This Row],[DataField]],"Ticker symbol",TRUE)</f>
        <v>AWK</v>
      </c>
      <c r="H12" s="2" cm="1">
        <f t="array" aca="1" ref="H12" ca="1">_FV(table1[[#This Row],[DataField]],"Price")</f>
        <v>131.005</v>
      </c>
      <c r="I12" s="2" cm="1">
        <f t="array" aca="1" ref="I12" ca="1">_FV(table1[[#This Row],[DataField]],"52 week low",TRUE)</f>
        <v>118.74</v>
      </c>
      <c r="J12" s="2" cm="1">
        <f t="array" aca="1" ref="J12" ca="1">_FV(table1[[#This Row],[DataField]],"52 week high",TRUE)</f>
        <v>155.5</v>
      </c>
      <c r="K12" s="4" cm="1">
        <f t="array" aca="1" ref="K12" ca="1">_FV(table1[[#This Row],[DataField]],"P/E",TRUE)</f>
        <v>22.972899999999999</v>
      </c>
      <c r="L12" s="2" t="str">
        <f ca="1">IF(table1[[#This Row],[Price]] &lt; (table1[[#This Row],[52Low]] * 0.25) + table1[[#This Row],[52Low]],  "TRUE", "FALSE")</f>
        <v>TRUE</v>
      </c>
      <c r="M12" s="2" t="str">
        <f ca="1">IF(table1[[#This Row],[Price]] &lt; (table1[[#This Row],[52Low]] * 0.1) + table1[[#This Row],[52Low]],  "TRUE", "FALSE")</f>
        <v>FALSE</v>
      </c>
      <c r="N12" s="6" cm="1">
        <f t="array" aca="1" ref="N12" ca="1">_FV(table1[[#This Row],[DataField]],"Market cap",TRUE)</f>
        <v>25562167218</v>
      </c>
    </row>
    <row r="13" spans="1:14" ht="17" customHeight="1" x14ac:dyDescent="0.2">
      <c r="A13" t="e" vm="12">
        <v>#VALUE!</v>
      </c>
      <c r="B13" t="str" cm="1">
        <f t="array" aca="1" ref="B13" ca="1">_FV(table1[[#This Row],[DataField]],"Ticker symbol",TRUE)</f>
        <v>BBY</v>
      </c>
      <c r="H13" s="2" cm="1">
        <f t="array" aca="1" ref="H13" ca="1">_FV(table1[[#This Row],[DataField]],"Price")</f>
        <v>68.394999999999996</v>
      </c>
      <c r="I13" s="2" cm="1">
        <f t="array" aca="1" ref="I13" ca="1">_FV(table1[[#This Row],[DataField]],"52 week low",TRUE)</f>
        <v>54.99</v>
      </c>
      <c r="J13" s="2" cm="1">
        <f t="array" aca="1" ref="J13" ca="1">_FV(table1[[#This Row],[DataField]],"52 week high",TRUE)</f>
        <v>91.68</v>
      </c>
      <c r="K13" s="4" cm="1">
        <f t="array" aca="1" ref="K13" ca="1">_FV(table1[[#This Row],[DataField]],"P/E",TRUE)</f>
        <v>22.568899999999999</v>
      </c>
      <c r="L13" s="2" t="str">
        <f ca="1">IF(table1[[#This Row],[Price]] &lt; (table1[[#This Row],[52Low]] * 0.25) + table1[[#This Row],[52Low]],  "TRUE", "FALSE")</f>
        <v>TRUE</v>
      </c>
      <c r="M13" s="2" t="str">
        <f ca="1">IF(table1[[#This Row],[Price]] &lt; (table1[[#This Row],[52Low]] * 0.1) + table1[[#This Row],[52Low]],  "TRUE", "FALSE")</f>
        <v>FALSE</v>
      </c>
      <c r="N13" s="6" cm="1">
        <f t="array" aca="1" ref="N13" ca="1">_FV(table1[[#This Row],[DataField]],"Market cap",TRUE)</f>
        <v>14331153164</v>
      </c>
    </row>
    <row r="14" spans="1:14" x14ac:dyDescent="0.2">
      <c r="A14" t="e" vm="13">
        <v>#VALUE!</v>
      </c>
      <c r="B14" t="str" cm="1">
        <f t="array" aca="1" ref="B14" ca="1">_FV(table1[[#This Row],[DataField]],"Ticker symbol",TRUE)</f>
        <v>BF.A</v>
      </c>
      <c r="H14" s="2" cm="1">
        <f t="array" aca="1" ref="H14" ca="1">_FV(table1[[#This Row],[DataField]],"Price")</f>
        <v>26.02</v>
      </c>
      <c r="I14" s="2" cm="1">
        <f t="array" aca="1" ref="I14" ca="1">_FV(table1[[#This Row],[DataField]],"52 week low",TRUE)</f>
        <v>25.98</v>
      </c>
      <c r="J14" s="2" cm="1">
        <f t="array" aca="1" ref="J14" ca="1">_FV(table1[[#This Row],[DataField]],"52 week high",TRUE)</f>
        <v>38.33</v>
      </c>
      <c r="K14" s="4" cm="1">
        <f t="array" aca="1" ref="K14" ca="1">_FV(table1[[#This Row],[DataField]],"P/E",TRUE)</f>
        <v>0</v>
      </c>
      <c r="L14" s="2" t="str">
        <f ca="1">IF(table1[[#This Row],[Price]] &lt; (table1[[#This Row],[52Low]] * 0.25) + table1[[#This Row],[52Low]],  "TRUE", "FALSE")</f>
        <v>TRUE</v>
      </c>
      <c r="M14" s="2" t="str">
        <f ca="1">IF(table1[[#This Row],[Price]] &lt; (table1[[#This Row],[52Low]] * 0.1) + table1[[#This Row],[52Low]],  "TRUE", "FALSE")</f>
        <v>TRUE</v>
      </c>
      <c r="N14" s="6" cm="1">
        <f t="array" aca="1" ref="N14" ca="1">_FV(table1[[#This Row],[DataField]],"Market cap",TRUE)</f>
        <v>12123020000</v>
      </c>
    </row>
    <row r="15" spans="1:14" x14ac:dyDescent="0.2">
      <c r="A15" t="e" vm="14">
        <v>#VALUE!</v>
      </c>
      <c r="B15" t="str" cm="1">
        <f t="array" aca="1" ref="B15" ca="1">_FV(table1[[#This Row],[DataField]],"Ticker symbol",TRUE)</f>
        <v>BLK</v>
      </c>
      <c r="C15" t="b">
        <v>1</v>
      </c>
      <c r="D15" t="s">
        <v>8</v>
      </c>
      <c r="E15" t="b">
        <v>1</v>
      </c>
      <c r="H15" s="2" cm="1">
        <f t="array" aca="1" ref="H15" ca="1">_FV(table1[[#This Row],[DataField]],"Price")</f>
        <v>1085.4649999999999</v>
      </c>
      <c r="I15" s="2" cm="1">
        <f t="array" aca="1" ref="I15" ca="1">_FV(table1[[#This Row],[DataField]],"52 week low",TRUE)</f>
        <v>773.74009999999998</v>
      </c>
      <c r="J15" s="2" cm="1">
        <f t="array" aca="1" ref="J15" ca="1">_FV(table1[[#This Row],[DataField]],"52 week high",TRUE)</f>
        <v>1219.9399000000001</v>
      </c>
      <c r="K15" s="4" cm="1">
        <f t="array" aca="1" ref="K15" ca="1">_FV(table1[[#This Row],[DataField]],"P/E",TRUE)</f>
        <v>28.2087</v>
      </c>
      <c r="L15" s="2" t="str">
        <f ca="1">IF(table1[[#This Row],[Price]] &lt; (table1[[#This Row],[52Low]] * 0.25) + table1[[#This Row],[52Low]],  "TRUE", "FALSE")</f>
        <v>FALSE</v>
      </c>
      <c r="M15" s="2" t="str">
        <f ca="1">IF(table1[[#This Row],[Price]] &lt; (table1[[#This Row],[52Low]] * 0.1) + table1[[#This Row],[52Low]],  "TRUE", "FALSE")</f>
        <v>FALSE</v>
      </c>
      <c r="N15" s="6" cm="1">
        <f t="array" aca="1" ref="N15" ca="1">_FV(table1[[#This Row],[DataField]],"Market cap",TRUE)</f>
        <v>168410871668</v>
      </c>
    </row>
    <row r="16" spans="1:14" x14ac:dyDescent="0.2">
      <c r="A16" t="e" vm="15">
        <v>#VALUE!</v>
      </c>
      <c r="B16" t="str" cm="1">
        <f t="array" aca="1" ref="B16" ca="1">_FV(table1[[#This Row],[DataField]],"Ticker symbol",TRUE)</f>
        <v>BMY</v>
      </c>
      <c r="C16" t="b">
        <v>1</v>
      </c>
      <c r="D16" t="s">
        <v>9</v>
      </c>
      <c r="E16" t="b">
        <v>1</v>
      </c>
      <c r="H16" s="2" cm="1">
        <f t="array" aca="1" ref="H16" ca="1">_FV(table1[[#This Row],[DataField]],"Price")</f>
        <v>54.28</v>
      </c>
      <c r="I16" s="2" cm="1">
        <f t="array" aca="1" ref="I16" ca="1">_FV(table1[[#This Row],[DataField]],"52 week low",TRUE)</f>
        <v>42.52</v>
      </c>
      <c r="J16" s="2" cm="1">
        <f t="array" aca="1" ref="J16" ca="1">_FV(table1[[#This Row],[DataField]],"52 week high",TRUE)</f>
        <v>63.33</v>
      </c>
      <c r="K16" s="4" cm="1">
        <f t="array" aca="1" ref="K16" ca="1">_FV(table1[[#This Row],[DataField]],"P/E",TRUE)</f>
        <v>18.3658</v>
      </c>
      <c r="L16" s="2" t="str">
        <f ca="1">IF(table1[[#This Row],[Price]] &lt; (table1[[#This Row],[52Low]] * 0.25) + table1[[#This Row],[52Low]],  "TRUE", "FALSE")</f>
        <v>FALSE</v>
      </c>
      <c r="M16" s="2" t="str">
        <f ca="1">IF(table1[[#This Row],[Price]] &lt; (table1[[#This Row],[52Low]] * 0.1) + table1[[#This Row],[52Low]],  "TRUE", "FALSE")</f>
        <v>FALSE</v>
      </c>
      <c r="N16" s="6" cm="1">
        <f t="array" aca="1" ref="N16" ca="1">_FV(table1[[#This Row],[DataField]],"Market cap",TRUE)</f>
        <v>111233500000</v>
      </c>
    </row>
    <row r="17" spans="1:14" x14ac:dyDescent="0.2">
      <c r="A17" t="e" vm="16">
        <v>#VALUE!</v>
      </c>
      <c r="B17" t="str" cm="1">
        <f t="array" aca="1" ref="B17" ca="1">_FV(table1[[#This Row],[DataField]],"Ticker symbol",TRUE)</f>
        <v>CAT</v>
      </c>
      <c r="H17" s="2" cm="1">
        <f t="array" aca="1" ref="H17" ca="1">_FV(table1[[#This Row],[DataField]],"Price")</f>
        <v>577.04999999999995</v>
      </c>
      <c r="I17" s="2" cm="1">
        <f t="array" aca="1" ref="I17" ca="1">_FV(table1[[#This Row],[DataField]],"52 week low",TRUE)</f>
        <v>267.3</v>
      </c>
      <c r="J17" s="2" cm="1">
        <f t="array" aca="1" ref="J17" ca="1">_FV(table1[[#This Row],[DataField]],"52 week high",TRUE)</f>
        <v>627.5</v>
      </c>
      <c r="K17" s="4" cm="1">
        <f t="array" aca="1" ref="K17" ca="1">_FV(table1[[#This Row],[DataField]],"P/E",TRUE)</f>
        <v>29.6083</v>
      </c>
      <c r="L17" s="2" t="str">
        <f ca="1">IF(table1[[#This Row],[Price]] &lt; (table1[[#This Row],[52Low]] * 0.25) + table1[[#This Row],[52Low]],  "TRUE", "FALSE")</f>
        <v>FALSE</v>
      </c>
      <c r="M17" s="2" t="str">
        <f ca="1">IF(table1[[#This Row],[Price]] &lt; (table1[[#This Row],[52Low]] * 0.1) + table1[[#This Row],[52Low]],  "TRUE", "FALSE")</f>
        <v>FALSE</v>
      </c>
      <c r="N17" s="6" cm="1">
        <f t="array" aca="1" ref="N17" ca="1">_FV(table1[[#This Row],[DataField]],"Market cap",TRUE)</f>
        <v>270047628179</v>
      </c>
    </row>
    <row r="18" spans="1:14" x14ac:dyDescent="0.2">
      <c r="A18" t="e" vm="17">
        <v>#VALUE!</v>
      </c>
      <c r="B18" t="str" cm="1">
        <f t="array" aca="1" ref="B18" ca="1">_FV(table1[[#This Row],[DataField]],"Ticker symbol",TRUE)</f>
        <v>CCI</v>
      </c>
      <c r="H18" s="2" cm="1">
        <f t="array" aca="1" ref="H18" ca="1">_FV(table1[[#This Row],[DataField]],"Price")</f>
        <v>88.63</v>
      </c>
      <c r="I18" s="2" cm="1">
        <f t="array" aca="1" ref="I18" ca="1">_FV(table1[[#This Row],[DataField]],"52 week low",TRUE)</f>
        <v>84.2</v>
      </c>
      <c r="J18" s="2" cm="1">
        <f t="array" aca="1" ref="J18" ca="1">_FV(table1[[#This Row],[DataField]],"52 week high",TRUE)</f>
        <v>115.76</v>
      </c>
      <c r="K18" s="4" cm="1">
        <f t="array" aca="1" ref="K18" ca="1">_FV(table1[[#This Row],[DataField]],"P/E",TRUE)</f>
        <v>0</v>
      </c>
      <c r="L18" s="2" t="str">
        <f ca="1">IF(table1[[#This Row],[Price]] &lt; (table1[[#This Row],[52Low]] * 0.25) + table1[[#This Row],[52Low]],  "TRUE", "FALSE")</f>
        <v>TRUE</v>
      </c>
      <c r="M18" s="2" t="str">
        <f ca="1">IF(table1[[#This Row],[Price]] &lt; (table1[[#This Row],[52Low]] * 0.1) + table1[[#This Row],[52Low]],  "TRUE", "FALSE")</f>
        <v>TRUE</v>
      </c>
      <c r="N18" s="6" cm="1">
        <f t="array" aca="1" ref="N18" ca="1">_FV(table1[[#This Row],[DataField]],"Market cap",TRUE)</f>
        <v>38596503770</v>
      </c>
    </row>
    <row r="19" spans="1:14" x14ac:dyDescent="0.2">
      <c r="A19" t="e" vm="18">
        <v>#VALUE!</v>
      </c>
      <c r="B19" t="str" cm="1">
        <f t="array" aca="1" ref="B19" ca="1">_FV(table1[[#This Row],[DataField]],"Ticker symbol",TRUE)</f>
        <v>CL</v>
      </c>
      <c r="H19" s="2" cm="1">
        <f t="array" aca="1" ref="H19" ca="1">_FV(table1[[#This Row],[DataField]],"Price")</f>
        <v>79.78</v>
      </c>
      <c r="I19" s="2" cm="1">
        <f t="array" aca="1" ref="I19" ca="1">_FV(table1[[#This Row],[DataField]],"52 week low",TRUE)</f>
        <v>74.545000000000002</v>
      </c>
      <c r="J19" s="2" cm="1">
        <f t="array" aca="1" ref="J19" ca="1">_FV(table1[[#This Row],[DataField]],"52 week high",TRUE)</f>
        <v>100.18</v>
      </c>
      <c r="K19" s="4" cm="1">
        <f t="array" aca="1" ref="K19" ca="1">_FV(table1[[#This Row],[DataField]],"P/E",TRUE)</f>
        <v>22.357399999999998</v>
      </c>
      <c r="L19" s="2" t="str">
        <f ca="1">IF(table1[[#This Row],[Price]] &lt; (table1[[#This Row],[52Low]] * 0.25) + table1[[#This Row],[52Low]],  "TRUE", "FALSE")</f>
        <v>TRUE</v>
      </c>
      <c r="M19" s="2" t="str">
        <f ca="1">IF(table1[[#This Row],[Price]] &lt; (table1[[#This Row],[52Low]] * 0.1) + table1[[#This Row],[52Low]],  "TRUE", "FALSE")</f>
        <v>TRUE</v>
      </c>
      <c r="N19" s="6" cm="1">
        <f t="array" aca="1" ref="N19" ca="1">_FV(table1[[#This Row],[DataField]],"Market cap",TRUE)</f>
        <v>64307857722</v>
      </c>
    </row>
    <row r="20" spans="1:14" x14ac:dyDescent="0.2">
      <c r="A20" t="e" vm="19">
        <v>#VALUE!</v>
      </c>
      <c r="B20" t="str" cm="1">
        <f t="array" aca="1" ref="B20" ca="1">_FV(table1[[#This Row],[DataField]],"Ticker symbol",TRUE)</f>
        <v>CLX</v>
      </c>
      <c r="C20" t="b">
        <v>1</v>
      </c>
      <c r="D20" t="s">
        <v>5</v>
      </c>
      <c r="E20" t="b">
        <v>1</v>
      </c>
      <c r="H20" s="2" cm="1">
        <f t="array" aca="1" ref="H20" ca="1">_FV(table1[[#This Row],[DataField]],"Price")</f>
        <v>98.97</v>
      </c>
      <c r="I20" s="2" cm="1">
        <f t="array" aca="1" ref="I20" ca="1">_FV(table1[[#This Row],[DataField]],"52 week low",TRUE)</f>
        <v>96.6601</v>
      </c>
      <c r="J20" s="2" cm="1">
        <f t="array" aca="1" ref="J20" ca="1">_FV(table1[[#This Row],[DataField]],"52 week high",TRUE)</f>
        <v>164.2184</v>
      </c>
      <c r="K20" s="4" cm="1">
        <f t="array" aca="1" ref="K20" ca="1">_FV(table1[[#This Row],[DataField]],"P/E",TRUE)</f>
        <v>15.5108</v>
      </c>
      <c r="L20" s="2" t="str">
        <f ca="1">IF(table1[[#This Row],[Price]] &lt; (table1[[#This Row],[52Low]] * 0.25) + table1[[#This Row],[52Low]],  "TRUE", "FALSE")</f>
        <v>TRUE</v>
      </c>
      <c r="M20" s="2" t="str">
        <f ca="1">IF(table1[[#This Row],[Price]] &lt; (table1[[#This Row],[52Low]] * 0.1) + table1[[#This Row],[52Low]],  "TRUE", "FALSE")</f>
        <v>TRUE</v>
      </c>
      <c r="N20" s="6" cm="1">
        <f t="array" aca="1" ref="N20" ca="1">_FV(table1[[#This Row],[DataField]],"Market cap",TRUE)</f>
        <v>12072400188</v>
      </c>
    </row>
    <row r="21" spans="1:14" x14ac:dyDescent="0.2">
      <c r="A21" t="e" vm="20">
        <v>#VALUE!</v>
      </c>
      <c r="B21" t="str" cm="1">
        <f t="array" aca="1" ref="B21" ca="1">_FV(table1[[#This Row],[DataField]],"Ticker symbol",TRUE)</f>
        <v>CMCSA</v>
      </c>
      <c r="C21" t="b">
        <v>1</v>
      </c>
      <c r="D21" t="s">
        <v>10</v>
      </c>
      <c r="E21" t="b">
        <v>1</v>
      </c>
      <c r="H21" s="2" cm="1">
        <f t="array" aca="1" ref="H21" ca="1">_FV(table1[[#This Row],[DataField]],"Price")</f>
        <v>29.565000000000001</v>
      </c>
      <c r="I21" s="2" cm="1">
        <f t="array" aca="1" ref="I21" ca="1">_FV(table1[[#This Row],[DataField]],"52 week low",TRUE)</f>
        <v>25.75</v>
      </c>
      <c r="J21" s="2" cm="1">
        <f t="array" aca="1" ref="J21" ca="1">_FV(table1[[#This Row],[DataField]],"52 week high",TRUE)</f>
        <v>38.4</v>
      </c>
      <c r="K21" s="4" cm="1">
        <f t="array" aca="1" ref="K21" ca="1">_FV(table1[[#This Row],[DataField]],"P/E",TRUE)</f>
        <v>4.9088000000000003</v>
      </c>
      <c r="L21" s="2" t="str">
        <f ca="1">IF(table1[[#This Row],[Price]] &lt; (table1[[#This Row],[52Low]] * 0.25) + table1[[#This Row],[52Low]],  "TRUE", "FALSE")</f>
        <v>TRUE</v>
      </c>
      <c r="M21" s="2" t="str">
        <f ca="1">IF(table1[[#This Row],[Price]] &lt; (table1[[#This Row],[52Low]] * 0.1) + table1[[#This Row],[52Low]],  "TRUE", "FALSE")</f>
        <v>FALSE</v>
      </c>
      <c r="N21" s="6" cm="1">
        <f t="array" aca="1" ref="N21" ca="1">_FV(table1[[#This Row],[DataField]],"Market cap",TRUE)</f>
        <v>107731755675</v>
      </c>
    </row>
    <row r="22" spans="1:14" x14ac:dyDescent="0.2">
      <c r="A22" t="e" vm="21">
        <v>#VALUE!</v>
      </c>
      <c r="B22" t="str" cm="1">
        <f t="array" aca="1" ref="B22" ca="1">_FV(table1[[#This Row],[DataField]],"Ticker symbol",TRUE)</f>
        <v>CNI</v>
      </c>
      <c r="H22" s="2" cm="1">
        <f t="array" aca="1" ref="H22" ca="1">_FV(table1[[#This Row],[DataField]],"Price")</f>
        <v>99.394999999999996</v>
      </c>
      <c r="I22" s="2" cm="1">
        <f t="array" aca="1" ref="I22" ca="1">_FV(table1[[#This Row],[DataField]],"52 week low",TRUE)</f>
        <v>90.74</v>
      </c>
      <c r="J22" s="2" cm="1">
        <f t="array" aca="1" ref="J22" ca="1">_FV(table1[[#This Row],[DataField]],"52 week high",TRUE)</f>
        <v>108.745</v>
      </c>
      <c r="K22" s="4" cm="1">
        <f t="array" aca="1" ref="K22" ca="1">_FV(table1[[#This Row],[DataField]],"P/E",TRUE)</f>
        <v>18.7882</v>
      </c>
      <c r="L22" s="2" t="str">
        <f ca="1">IF(table1[[#This Row],[Price]] &lt; (table1[[#This Row],[52Low]] * 0.25) + table1[[#This Row],[52Low]],  "TRUE", "FALSE")</f>
        <v>TRUE</v>
      </c>
      <c r="M22" s="2" t="str">
        <f ca="1">IF(table1[[#This Row],[Price]] &lt; (table1[[#This Row],[52Low]] * 0.1) + table1[[#This Row],[52Low]],  "TRUE", "FALSE")</f>
        <v>TRUE</v>
      </c>
      <c r="N22" s="6" cm="1">
        <f t="array" aca="1" ref="N22" ca="1">_FV(table1[[#This Row],[DataField]],"Market cap",TRUE)</f>
        <v>83159860000</v>
      </c>
    </row>
    <row r="23" spans="1:14" x14ac:dyDescent="0.2">
      <c r="A23" t="e" vm="22">
        <v>#VALUE!</v>
      </c>
      <c r="B23" t="str" cm="1">
        <f t="array" aca="1" ref="B23" ca="1">_FV(table1[[#This Row],[DataField]],"Ticker symbol",TRUE)</f>
        <v>COST</v>
      </c>
      <c r="H23" s="2" cm="1">
        <f t="array" aca="1" ref="H23" ca="1">_FV(table1[[#This Row],[DataField]],"Price")</f>
        <v>869.05840000000001</v>
      </c>
      <c r="I23" s="2" cm="1">
        <f t="array" aca="1" ref="I23" ca="1">_FV(table1[[#This Row],[DataField]],"52 week low",TRUE)</f>
        <v>844.06</v>
      </c>
      <c r="J23" s="2" cm="1">
        <f t="array" aca="1" ref="J23" ca="1">_FV(table1[[#This Row],[DataField]],"52 week high",TRUE)</f>
        <v>1078.2349999999999</v>
      </c>
      <c r="K23" s="4" cm="1">
        <f t="array" aca="1" ref="K23" ca="1">_FV(table1[[#This Row],[DataField]],"P/E",TRUE)</f>
        <v>46.552900000000001</v>
      </c>
      <c r="L23" s="2" t="str">
        <f ca="1">IF(table1[[#This Row],[Price]] &lt; (table1[[#This Row],[52Low]] * 0.25) + table1[[#This Row],[52Low]],  "TRUE", "FALSE")</f>
        <v>TRUE</v>
      </c>
      <c r="M23" s="2" t="str">
        <f ca="1">IF(table1[[#This Row],[Price]] &lt; (table1[[#This Row],[52Low]] * 0.1) + table1[[#This Row],[52Low]],  "TRUE", "FALSE")</f>
        <v>TRUE</v>
      </c>
      <c r="N23" s="6" cm="1">
        <f t="array" aca="1" ref="N23" ca="1">_FV(table1[[#This Row],[DataField]],"Market cap",TRUE)</f>
        <v>385748430572</v>
      </c>
    </row>
    <row r="24" spans="1:14" x14ac:dyDescent="0.2">
      <c r="A24" t="e" vm="23">
        <v>#VALUE!</v>
      </c>
      <c r="B24" t="str" cm="1">
        <f t="array" aca="1" ref="B24" ca="1">_FV(table1[[#This Row],[DataField]],"Ticker symbol",TRUE)</f>
        <v>CPB</v>
      </c>
      <c r="H24" s="2" cm="1">
        <f t="array" aca="1" ref="H24" ca="1">_FV(table1[[#This Row],[DataField]],"Price")</f>
        <v>28.0654</v>
      </c>
      <c r="I24" s="2" cm="1">
        <f t="array" aca="1" ref="I24" ca="1">_FV(table1[[#This Row],[DataField]],"52 week low",TRUE)</f>
        <v>27.643599999999999</v>
      </c>
      <c r="J24" s="2" cm="1">
        <f t="array" aca="1" ref="J24" ca="1">_FV(table1[[#This Row],[DataField]],"52 week high",TRUE)</f>
        <v>43.85</v>
      </c>
      <c r="K24" s="4" cm="1">
        <f t="array" aca="1" ref="K24" ca="1">_FV(table1[[#This Row],[DataField]],"P/E",TRUE)</f>
        <v>14.5319</v>
      </c>
      <c r="L24" s="2" t="str">
        <f ca="1">IF(table1[[#This Row],[Price]] &lt; (table1[[#This Row],[52Low]] * 0.25) + table1[[#This Row],[52Low]],  "TRUE", "FALSE")</f>
        <v>TRUE</v>
      </c>
      <c r="M24" s="2" t="str">
        <f ca="1">IF(table1[[#This Row],[Price]] &lt; (table1[[#This Row],[52Low]] * 0.1) + table1[[#This Row],[52Low]],  "TRUE", "FALSE")</f>
        <v>TRUE</v>
      </c>
      <c r="N24" s="6" cm="1">
        <f t="array" aca="1" ref="N24" ca="1">_FV(table1[[#This Row],[DataField]],"Market cap",TRUE)</f>
        <v>8367255576</v>
      </c>
    </row>
    <row r="25" spans="1:14" x14ac:dyDescent="0.2">
      <c r="A25" t="e" vm="24">
        <v>#VALUE!</v>
      </c>
      <c r="B25" t="str" cm="1">
        <f t="array" aca="1" ref="B25" ca="1">_FV(table1[[#This Row],[DataField]],"Ticker symbol",TRUE)</f>
        <v>CVS</v>
      </c>
      <c r="C25" t="b">
        <v>1</v>
      </c>
      <c r="D25" t="s">
        <v>9</v>
      </c>
      <c r="E25" t="b">
        <v>1</v>
      </c>
      <c r="H25" s="2" cm="1">
        <f t="array" aca="1" ref="H25" ca="1">_FV(table1[[#This Row],[DataField]],"Price")</f>
        <v>79.78</v>
      </c>
      <c r="I25" s="2" cm="1">
        <f t="array" aca="1" ref="I25" ca="1">_FV(table1[[#This Row],[DataField]],"52 week low",TRUE)</f>
        <v>43.65</v>
      </c>
      <c r="J25" s="2" cm="1">
        <f t="array" aca="1" ref="J25" ca="1">_FV(table1[[#This Row],[DataField]],"52 week high",TRUE)</f>
        <v>85.15</v>
      </c>
      <c r="K25" s="4" cm="1">
        <f t="array" aca="1" ref="K25" ca="1">_FV(table1[[#This Row],[DataField]],"P/E",TRUE)</f>
        <v>209.01230000000001</v>
      </c>
      <c r="L25" s="2" t="str">
        <f ca="1">IF(table1[[#This Row],[Price]] &lt; (table1[[#This Row],[52Low]] * 0.25) + table1[[#This Row],[52Low]],  "TRUE", "FALSE")</f>
        <v>FALSE</v>
      </c>
      <c r="M25" s="2" t="str">
        <f ca="1">IF(table1[[#This Row],[Price]] &lt; (table1[[#This Row],[52Low]] * 0.1) + table1[[#This Row],[52Low]],  "TRUE", "FALSE")</f>
        <v>FALSE</v>
      </c>
      <c r="N25" s="6" cm="1">
        <f t="array" aca="1" ref="N25" ca="1">_FV(table1[[#This Row],[DataField]],"Market cap",TRUE)</f>
        <v>101275284960</v>
      </c>
    </row>
    <row r="26" spans="1:14" x14ac:dyDescent="0.2">
      <c r="A26" t="e" vm="25">
        <v>#VALUE!</v>
      </c>
      <c r="B26" t="str" cm="1">
        <f t="array" aca="1" ref="B26" ca="1">_FV(table1[[#This Row],[DataField]],"Ticker symbol",TRUE)</f>
        <v>CVX</v>
      </c>
      <c r="C26" t="b">
        <v>1</v>
      </c>
      <c r="D26" t="s">
        <v>11</v>
      </c>
      <c r="E26" t="b">
        <v>1</v>
      </c>
      <c r="H26" s="2" cm="1">
        <f t="array" aca="1" ref="H26" ca="1">_FV(table1[[#This Row],[DataField]],"Price")</f>
        <v>151.31</v>
      </c>
      <c r="I26" s="2" cm="1">
        <f t="array" aca="1" ref="I26" ca="1">_FV(table1[[#This Row],[DataField]],"52 week low",TRUE)</f>
        <v>132.04</v>
      </c>
      <c r="J26" s="2" cm="1">
        <f t="array" aca="1" ref="J26" ca="1">_FV(table1[[#This Row],[DataField]],"52 week high",TRUE)</f>
        <v>168.96</v>
      </c>
      <c r="K26" s="4" cm="1">
        <f t="array" aca="1" ref="K26" ca="1">_FV(table1[[#This Row],[DataField]],"P/E",TRUE)</f>
        <v>21.3657</v>
      </c>
      <c r="L26" s="2" t="str">
        <f ca="1">IF(table1[[#This Row],[Price]] &lt; (table1[[#This Row],[52Low]] * 0.25) + table1[[#This Row],[52Low]],  "TRUE", "FALSE")</f>
        <v>TRUE</v>
      </c>
      <c r="M26" s="2" t="str">
        <f ca="1">IF(table1[[#This Row],[Price]] &lt; (table1[[#This Row],[52Low]] * 0.1) + table1[[#This Row],[52Low]],  "TRUE", "FALSE")</f>
        <v>FALSE</v>
      </c>
      <c r="N26" s="6" cm="1">
        <f t="array" aca="1" ref="N26" ca="1">_FV(table1[[#This Row],[DataField]],"Market cap",TRUE)</f>
        <v>304666013820</v>
      </c>
    </row>
    <row r="27" spans="1:14" x14ac:dyDescent="0.2">
      <c r="A27" t="e" vm="26">
        <v>#VALUE!</v>
      </c>
      <c r="B27" t="str" cm="1">
        <f t="array" aca="1" ref="B27" ca="1">_FV(table1[[#This Row],[DataField]],"Ticker symbol",TRUE)</f>
        <v>D</v>
      </c>
      <c r="H27" s="2" cm="1">
        <f t="array" aca="1" ref="H27" ca="1">_FV(table1[[#This Row],[DataField]],"Price")</f>
        <v>59.59</v>
      </c>
      <c r="I27" s="2" cm="1">
        <f t="array" aca="1" ref="I27" ca="1">_FV(table1[[#This Row],[DataField]],"52 week low",TRUE)</f>
        <v>48.07</v>
      </c>
      <c r="J27" s="2" cm="1">
        <f t="array" aca="1" ref="J27" ca="1">_FV(table1[[#This Row],[DataField]],"52 week high",TRUE)</f>
        <v>62.87</v>
      </c>
      <c r="K27" s="4" cm="1">
        <f t="array" aca="1" ref="K27" ca="1">_FV(table1[[#This Row],[DataField]],"P/E",TRUE)</f>
        <v>22.368600000000001</v>
      </c>
      <c r="L27" s="2" t="str">
        <f ca="1">IF(table1[[#This Row],[Price]] &lt; (table1[[#This Row],[52Low]] * 0.25) + table1[[#This Row],[52Low]],  "TRUE", "FALSE")</f>
        <v>TRUE</v>
      </c>
      <c r="M27" s="2" t="str">
        <f ca="1">IF(table1[[#This Row],[Price]] &lt; (table1[[#This Row],[52Low]] * 0.1) + table1[[#This Row],[52Low]],  "TRUE", "FALSE")</f>
        <v>FALSE</v>
      </c>
      <c r="N27" s="6" cm="1">
        <f t="array" aca="1" ref="N27" ca="1">_FV(table1[[#This Row],[DataField]],"Market cap",TRUE)</f>
        <v>50884693547</v>
      </c>
    </row>
    <row r="28" spans="1:14" x14ac:dyDescent="0.2">
      <c r="A28" t="e" vm="27">
        <v>#VALUE!</v>
      </c>
      <c r="B28" t="str" cm="1">
        <f t="array" aca="1" ref="B28" ca="1">_FV(table1[[#This Row],[DataField]],"Ticker symbol",TRUE)</f>
        <v>DE</v>
      </c>
      <c r="H28" s="2" cm="1">
        <f t="array" aca="1" ref="H28" ca="1">_FV(table1[[#This Row],[DataField]],"Price")</f>
        <v>466.87</v>
      </c>
      <c r="I28" s="2" cm="1">
        <f t="array" aca="1" ref="I28" ca="1">_FV(table1[[#This Row],[DataField]],"52 week low",TRUE)</f>
        <v>403.01</v>
      </c>
      <c r="J28" s="2" cm="1">
        <f t="array" aca="1" ref="J28" ca="1">_FV(table1[[#This Row],[DataField]],"52 week high",TRUE)</f>
        <v>533.78</v>
      </c>
      <c r="K28" s="4" cm="1">
        <f t="array" aca="1" ref="K28" ca="1">_FV(table1[[#This Row],[DataField]],"P/E",TRUE)</f>
        <v>25.227399999999999</v>
      </c>
      <c r="L28" s="2" t="str">
        <f ca="1">IF(table1[[#This Row],[Price]] &lt; (table1[[#This Row],[52Low]] * 0.25) + table1[[#This Row],[52Low]],  "TRUE", "FALSE")</f>
        <v>TRUE</v>
      </c>
      <c r="M28" s="2" t="str">
        <f ca="1">IF(table1[[#This Row],[Price]] &lt; (table1[[#This Row],[52Low]] * 0.1) + table1[[#This Row],[52Low]],  "TRUE", "FALSE")</f>
        <v>FALSE</v>
      </c>
      <c r="N28" s="6" cm="1">
        <f t="array" aca="1" ref="N28" ca="1">_FV(table1[[#This Row],[DataField]],"Market cap",TRUE)</f>
        <v>126262843898</v>
      </c>
    </row>
    <row r="29" spans="1:14" x14ac:dyDescent="0.2">
      <c r="A29" t="e" vm="28">
        <v>#VALUE!</v>
      </c>
      <c r="B29" t="str" cm="1">
        <f t="array" aca="1" ref="B29" ca="1">_FV(table1[[#This Row],[DataField]],"Ticker symbol",TRUE)</f>
        <v>DEO</v>
      </c>
      <c r="H29" s="2" cm="1">
        <f t="array" aca="1" ref="H29" ca="1">_FV(table1[[#This Row],[DataField]],"Price")</f>
        <v>85.87</v>
      </c>
      <c r="I29" s="2" cm="1">
        <f t="array" aca="1" ref="I29" ca="1">_FV(table1[[#This Row],[DataField]],"52 week low",TRUE)</f>
        <v>85.114999999999995</v>
      </c>
      <c r="J29" s="2" cm="1">
        <f t="array" aca="1" ref="J29" ca="1">_FV(table1[[#This Row],[DataField]],"52 week high",TRUE)</f>
        <v>127.32989999999999</v>
      </c>
      <c r="K29" s="4" cm="1">
        <f t="array" aca="1" ref="K29" ca="1">_FV(table1[[#This Row],[DataField]],"P/E",TRUE)</f>
        <v>20.3185</v>
      </c>
      <c r="L29" s="2" t="str">
        <f ca="1">IF(table1[[#This Row],[Price]] &lt; (table1[[#This Row],[52Low]] * 0.25) + table1[[#This Row],[52Low]],  "TRUE", "FALSE")</f>
        <v>TRUE</v>
      </c>
      <c r="M29" s="2" t="str">
        <f ca="1">IF(table1[[#This Row],[Price]] &lt; (table1[[#This Row],[52Low]] * 0.1) + table1[[#This Row],[52Low]],  "TRUE", "FALSE")</f>
        <v>TRUE</v>
      </c>
      <c r="N29" s="6" cm="1">
        <f t="array" aca="1" ref="N29" ca="1">_FV(table1[[#This Row],[DataField]],"Market cap",TRUE)</f>
        <v>47782060000</v>
      </c>
    </row>
    <row r="30" spans="1:14" x14ac:dyDescent="0.2">
      <c r="A30" t="e" vm="29">
        <v>#VALUE!</v>
      </c>
      <c r="B30" t="str" cm="1">
        <f t="array" aca="1" ref="B30" ca="1">_FV(table1[[#This Row],[DataField]],"Ticker symbol",TRUE)</f>
        <v>DOW</v>
      </c>
      <c r="H30" s="2" cm="1">
        <f t="array" aca="1" ref="H30" ca="1">_FV(table1[[#This Row],[DataField]],"Price")</f>
        <v>23.02</v>
      </c>
      <c r="I30" s="2" cm="1">
        <f t="array" aca="1" ref="I30" ca="1">_FV(table1[[#This Row],[DataField]],"52 week low",TRUE)</f>
        <v>20.401900000000001</v>
      </c>
      <c r="J30" s="2" cm="1">
        <f t="array" aca="1" ref="J30" ca="1">_FV(table1[[#This Row],[DataField]],"52 week high",TRUE)</f>
        <v>42.173999999999999</v>
      </c>
      <c r="K30" s="4" t="e" cm="1" vm="30">
        <f t="array" ref="K30">_FV(table1[[#This Row],[DataField]],"P/E",TRUE)</f>
        <v>#VALUE!</v>
      </c>
      <c r="L30" s="2" t="str">
        <f ca="1">IF(table1[[#This Row],[Price]] &lt; (table1[[#This Row],[52Low]] * 0.25) + table1[[#This Row],[52Low]],  "TRUE", "FALSE")</f>
        <v>TRUE</v>
      </c>
      <c r="M30" s="2" t="str">
        <f ca="1">IF(table1[[#This Row],[Price]] &lt; (table1[[#This Row],[52Low]] * 0.1) + table1[[#This Row],[52Low]],  "TRUE", "FALSE")</f>
        <v>FALSE</v>
      </c>
      <c r="N30" s="6" cm="1">
        <f t="array" aca="1" ref="N30" ca="1">_FV(table1[[#This Row],[DataField]],"Market cap",TRUE)</f>
        <v>16361865548</v>
      </c>
    </row>
    <row r="31" spans="1:14" x14ac:dyDescent="0.2">
      <c r="A31" t="e" vm="31">
        <v>#VALUE!</v>
      </c>
      <c r="B31" t="str" cm="1">
        <f t="array" aca="1" ref="B31" ca="1">_FV(table1[[#This Row],[DataField]],"Ticker symbol",TRUE)</f>
        <v>DUK</v>
      </c>
      <c r="H31" s="2" cm="1">
        <f t="array" aca="1" ref="H31" ca="1">_FV(table1[[#This Row],[DataField]],"Price")</f>
        <v>117.86</v>
      </c>
      <c r="I31" s="2" cm="1">
        <f t="array" aca="1" ref="I31" ca="1">_FV(table1[[#This Row],[DataField]],"52 week low",TRUE)</f>
        <v>105.2</v>
      </c>
      <c r="J31" s="2" cm="1">
        <f t="array" aca="1" ref="J31" ca="1">_FV(table1[[#This Row],[DataField]],"52 week high",TRUE)</f>
        <v>130.03</v>
      </c>
      <c r="K31" s="4" cm="1">
        <f t="array" aca="1" ref="K31" ca="1">_FV(table1[[#This Row],[DataField]],"P/E",TRUE)</f>
        <v>18.517499999999998</v>
      </c>
      <c r="L31" s="2" t="str">
        <f ca="1">IF(table1[[#This Row],[Price]] &lt; (table1[[#This Row],[52Low]] * 0.25) + table1[[#This Row],[52Low]],  "TRUE", "FALSE")</f>
        <v>TRUE</v>
      </c>
      <c r="M31" s="2" t="str">
        <f ca="1">IF(table1[[#This Row],[Price]] &lt; (table1[[#This Row],[52Low]] * 0.1) + table1[[#This Row],[52Low]],  "TRUE", "FALSE")</f>
        <v>FALSE</v>
      </c>
      <c r="N31" s="6" cm="1">
        <f t="array" aca="1" ref="N31" ca="1">_FV(table1[[#This Row],[DataField]],"Market cap",TRUE)</f>
        <v>91655149032</v>
      </c>
    </row>
    <row r="32" spans="1:14" x14ac:dyDescent="0.2">
      <c r="A32" t="e" vm="32">
        <v>#VALUE!</v>
      </c>
      <c r="B32" t="str" cm="1">
        <f t="array" aca="1" ref="B32" ca="1">_FV(table1[[#This Row],[DataField]],"Ticker symbol",TRUE)</f>
        <v>ED</v>
      </c>
      <c r="H32" s="2" cm="1">
        <f t="array" aca="1" ref="H32" ca="1">_FV(table1[[#This Row],[DataField]],"Price")</f>
        <v>99.83</v>
      </c>
      <c r="I32" s="2" cm="1">
        <f t="array" aca="1" ref="I32" ca="1">_FV(table1[[#This Row],[DataField]],"52 week low",TRUE)</f>
        <v>87.28</v>
      </c>
      <c r="J32" s="2" cm="1">
        <f t="array" aca="1" ref="J32" ca="1">_FV(table1[[#This Row],[DataField]],"52 week high",TRUE)</f>
        <v>114.87</v>
      </c>
      <c r="K32" s="4" cm="1">
        <f t="array" aca="1" ref="K32" ca="1">_FV(table1[[#This Row],[DataField]],"P/E",TRUE)</f>
        <v>17.438500000000001</v>
      </c>
      <c r="L32" s="2" t="str">
        <f ca="1">IF(table1[[#This Row],[Price]] &lt; (table1[[#This Row],[52Low]] * 0.25) + table1[[#This Row],[52Low]],  "TRUE", "FALSE")</f>
        <v>TRUE</v>
      </c>
      <c r="M32" s="2" t="str">
        <f ca="1">IF(table1[[#This Row],[Price]] &lt; (table1[[#This Row],[52Low]] * 0.1) + table1[[#This Row],[52Low]],  "TRUE", "FALSE")</f>
        <v>FALSE</v>
      </c>
      <c r="N32" s="6" cm="1">
        <f t="array" aca="1" ref="N32" ca="1">_FV(table1[[#This Row],[DataField]],"Market cap",TRUE)</f>
        <v>36032200948</v>
      </c>
    </row>
    <row r="33" spans="1:14" x14ac:dyDescent="0.2">
      <c r="A33" t="e" vm="33">
        <v>#VALUE!</v>
      </c>
      <c r="B33" t="str" cm="1">
        <f t="array" aca="1" ref="B33" ca="1">_FV(table1[[#This Row],[DataField]],"Ticker symbol",TRUE)</f>
        <v>EMN</v>
      </c>
      <c r="C33" t="b">
        <v>1</v>
      </c>
      <c r="D33" t="s">
        <v>13</v>
      </c>
      <c r="E33" t="b">
        <v>0</v>
      </c>
      <c r="H33" s="2" cm="1">
        <f t="array" aca="1" ref="H33" ca="1">_FV(table1[[#This Row],[DataField]],"Price")</f>
        <v>63.36</v>
      </c>
      <c r="I33" s="2" cm="1">
        <f t="array" aca="1" ref="I33" ca="1">_FV(table1[[#This Row],[DataField]],"52 week low",TRUE)</f>
        <v>56.11</v>
      </c>
      <c r="J33" s="2" cm="1">
        <f t="array" aca="1" ref="J33" ca="1">_FV(table1[[#This Row],[DataField]],"52 week high",TRUE)</f>
        <v>103.82</v>
      </c>
      <c r="K33" s="4" cm="1">
        <f t="array" aca="1" ref="K33" ca="1">_FV(table1[[#This Row],[DataField]],"P/E",TRUE)</f>
        <v>10.5563</v>
      </c>
      <c r="L33" s="2" t="str">
        <f ca="1">IF(table1[[#This Row],[Price]] &lt; (table1[[#This Row],[52Low]] * 0.25) + table1[[#This Row],[52Low]],  "TRUE", "FALSE")</f>
        <v>TRUE</v>
      </c>
      <c r="M33" s="2" t="str">
        <f ca="1">IF(table1[[#This Row],[Price]] &lt; (table1[[#This Row],[52Low]] * 0.1) + table1[[#This Row],[52Low]],  "TRUE", "FALSE")</f>
        <v>FALSE</v>
      </c>
      <c r="N33" s="6" cm="1">
        <f t="array" aca="1" ref="N33" ca="1">_FV(table1[[#This Row],[DataField]],"Market cap",TRUE)</f>
        <v>7227462528</v>
      </c>
    </row>
    <row r="34" spans="1:14" x14ac:dyDescent="0.2">
      <c r="A34" t="e" vm="34">
        <v>#VALUE!</v>
      </c>
      <c r="B34" t="str" cm="1">
        <f t="array" aca="1" ref="B34" ca="1">_FV(table1[[#This Row],[DataField]],"Ticker symbol",TRUE)</f>
        <v>EOG</v>
      </c>
      <c r="H34" s="2" cm="1">
        <f t="array" aca="1" ref="H34" ca="1">_FV(table1[[#This Row],[DataField]],"Price")</f>
        <v>104.825</v>
      </c>
      <c r="I34" s="2" cm="1">
        <f t="array" aca="1" ref="I34" ca="1">_FV(table1[[#This Row],[DataField]],"52 week low",TRUE)</f>
        <v>101.5936</v>
      </c>
      <c r="J34" s="2" cm="1">
        <f t="array" aca="1" ref="J34" ca="1">_FV(table1[[#This Row],[DataField]],"52 week high",TRUE)</f>
        <v>138.18</v>
      </c>
      <c r="K34" s="4" cm="1">
        <f t="array" aca="1" ref="K34" ca="1">_FV(table1[[#This Row],[DataField]],"P/E",TRUE)</f>
        <v>10.421099999999999</v>
      </c>
      <c r="L34" s="2" t="str">
        <f ca="1">IF(table1[[#This Row],[Price]] &lt; (table1[[#This Row],[52Low]] * 0.25) + table1[[#This Row],[52Low]],  "TRUE", "FALSE")</f>
        <v>TRUE</v>
      </c>
      <c r="M34" s="2" t="str">
        <f ca="1">IF(table1[[#This Row],[Price]] &lt; (table1[[#This Row],[52Low]] * 0.1) + table1[[#This Row],[52Low]],  "TRUE", "FALSE")</f>
        <v>TRUE</v>
      </c>
      <c r="N34" s="6" cm="1">
        <f t="array" aca="1" ref="N34" ca="1">_FV(table1[[#This Row],[DataField]],"Market cap",TRUE)</f>
        <v>56877877280</v>
      </c>
    </row>
    <row r="35" spans="1:14" x14ac:dyDescent="0.2">
      <c r="A35" t="e" vm="35">
        <v>#VALUE!</v>
      </c>
      <c r="B35" t="str" cm="1">
        <f t="array" aca="1" ref="B35" ca="1">_FV(table1[[#This Row],[DataField]],"Ticker symbol",TRUE)</f>
        <v>FAST</v>
      </c>
      <c r="H35" s="2" cm="1">
        <f t="array" aca="1" ref="H35" ca="1">_FV(table1[[#This Row],[DataField]],"Price")</f>
        <v>41.43</v>
      </c>
      <c r="I35" s="2" cm="1">
        <f t="array" aca="1" ref="I35" ca="1">_FV(table1[[#This Row],[DataField]],"52 week low",TRUE)</f>
        <v>35.305</v>
      </c>
      <c r="J35" s="2" cm="1">
        <f t="array" aca="1" ref="J35" ca="1">_FV(table1[[#This Row],[DataField]],"52 week high",TRUE)</f>
        <v>50.63</v>
      </c>
      <c r="K35" s="4" cm="1">
        <f t="array" aca="1" ref="K35" ca="1">_FV(table1[[#This Row],[DataField]],"P/E",TRUE)</f>
        <v>38.846699999999998</v>
      </c>
      <c r="L35" s="2" t="str">
        <f ca="1">IF(table1[[#This Row],[Price]] &lt; (table1[[#This Row],[52Low]] * 0.25) + table1[[#This Row],[52Low]],  "TRUE", "FALSE")</f>
        <v>TRUE</v>
      </c>
      <c r="M35" s="2" t="str">
        <f ca="1">IF(table1[[#This Row],[Price]] &lt; (table1[[#This Row],[52Low]] * 0.1) + table1[[#This Row],[52Low]],  "TRUE", "FALSE")</f>
        <v>FALSE</v>
      </c>
      <c r="N35" s="6" cm="1">
        <f t="array" aca="1" ref="N35" ca="1">_FV(table1[[#This Row],[DataField]],"Market cap",TRUE)</f>
        <v>47563131480</v>
      </c>
    </row>
    <row r="36" spans="1:14" x14ac:dyDescent="0.2">
      <c r="A36" t="e" vm="36">
        <v>#VALUE!</v>
      </c>
      <c r="B36" t="str" cm="1">
        <f t="array" aca="1" ref="B36" ca="1">_FV(table1[[#This Row],[DataField]],"Ticker symbol",TRUE)</f>
        <v>FDX</v>
      </c>
      <c r="H36" s="2" cm="1">
        <f t="array" aca="1" ref="H36" ca="1">_FV(table1[[#This Row],[DataField]],"Price")</f>
        <v>293.3</v>
      </c>
      <c r="I36" s="2" cm="1">
        <f t="array" aca="1" ref="I36" ca="1">_FV(table1[[#This Row],[DataField]],"52 week low",TRUE)</f>
        <v>194.29499999999999</v>
      </c>
      <c r="J36" s="2" cm="1">
        <f t="array" aca="1" ref="J36" ca="1">_FV(table1[[#This Row],[DataField]],"52 week high",TRUE)</f>
        <v>296.995</v>
      </c>
      <c r="K36" s="4" cm="1">
        <f t="array" aca="1" ref="K36" ca="1">_FV(table1[[#This Row],[DataField]],"P/E",TRUE)</f>
        <v>16.190999999999999</v>
      </c>
      <c r="L36" s="2" t="str">
        <f ca="1">IF(table1[[#This Row],[Price]] &lt; (table1[[#This Row],[52Low]] * 0.25) + table1[[#This Row],[52Low]],  "TRUE", "FALSE")</f>
        <v>FALSE</v>
      </c>
      <c r="M36" s="2" t="str">
        <f ca="1">IF(table1[[#This Row],[Price]] &lt; (table1[[#This Row],[52Low]] * 0.1) + table1[[#This Row],[52Low]],  "TRUE", "FALSE")</f>
        <v>FALSE</v>
      </c>
      <c r="N36" s="6" cm="1">
        <f t="array" aca="1" ref="N36" ca="1">_FV(table1[[#This Row],[DataField]],"Market cap",TRUE)</f>
        <v>68961517240</v>
      </c>
    </row>
    <row r="37" spans="1:14" x14ac:dyDescent="0.2">
      <c r="A37" t="e" vm="37">
        <v>#VALUE!</v>
      </c>
      <c r="B37" t="str" cm="1">
        <f t="array" aca="1" ref="B37" ca="1">_FV(table1[[#This Row],[DataField]],"Ticker symbol",TRUE)</f>
        <v>FLO</v>
      </c>
      <c r="H37" s="2" cm="1">
        <f t="array" aca="1" ref="H37" ca="1">_FV(table1[[#This Row],[DataField]],"Price")</f>
        <v>10.91</v>
      </c>
      <c r="I37" s="2" cm="1">
        <f t="array" aca="1" ref="I37" ca="1">_FV(table1[[#This Row],[DataField]],"52 week low",TRUE)</f>
        <v>10.34</v>
      </c>
      <c r="J37" s="2" cm="1">
        <f t="array" aca="1" ref="J37" ca="1">_FV(table1[[#This Row],[DataField]],"52 week high",TRUE)</f>
        <v>20.914999999999999</v>
      </c>
      <c r="K37" s="4" cm="1">
        <f t="array" aca="1" ref="K37" ca="1">_FV(table1[[#This Row],[DataField]],"P/E",TRUE)</f>
        <v>11.9209</v>
      </c>
      <c r="L37" s="2" t="str">
        <f ca="1">IF(table1[[#This Row],[Price]] &lt; (table1[[#This Row],[52Low]] * 0.25) + table1[[#This Row],[52Low]],  "TRUE", "FALSE")</f>
        <v>TRUE</v>
      </c>
      <c r="M37" s="2" t="str">
        <f ca="1">IF(table1[[#This Row],[Price]] &lt; (table1[[#This Row],[52Low]] * 0.1) + table1[[#This Row],[52Low]],  "TRUE", "FALSE")</f>
        <v>TRUE</v>
      </c>
      <c r="N37" s="6" cm="1">
        <f t="array" aca="1" ref="N37" ca="1">_FV(table1[[#This Row],[DataField]],"Market cap",TRUE)</f>
        <v>2303954162</v>
      </c>
    </row>
    <row r="38" spans="1:14" x14ac:dyDescent="0.2">
      <c r="A38" t="e" vm="38">
        <v>#VALUE!</v>
      </c>
      <c r="B38" t="str" cm="1">
        <f t="array" aca="1" ref="B38" ca="1">_FV(table1[[#This Row],[DataField]],"Ticker symbol",TRUE)</f>
        <v>GD</v>
      </c>
      <c r="C38" t="b">
        <v>1</v>
      </c>
      <c r="D38" t="s">
        <v>12</v>
      </c>
      <c r="E38" t="b">
        <v>1</v>
      </c>
      <c r="H38" s="2" cm="1">
        <f t="array" aca="1" ref="H38" ca="1">_FV(table1[[#This Row],[DataField]],"Price")</f>
        <v>341.28</v>
      </c>
      <c r="I38" s="2" cm="1">
        <f t="array" aca="1" ref="I38" ca="1">_FV(table1[[#This Row],[DataField]],"52 week low",TRUE)</f>
        <v>239.2</v>
      </c>
      <c r="J38" s="2" cm="1">
        <f t="array" aca="1" ref="J38" ca="1">_FV(table1[[#This Row],[DataField]],"52 week high",TRUE)</f>
        <v>360.5</v>
      </c>
      <c r="K38" s="4" cm="1">
        <f t="array" aca="1" ref="K38" ca="1">_FV(table1[[#This Row],[DataField]],"P/E",TRUE)</f>
        <v>22.126100000000001</v>
      </c>
      <c r="L38" s="2" t="str">
        <f ca="1">IF(table1[[#This Row],[Price]] &lt; (table1[[#This Row],[52Low]] * 0.25) + table1[[#This Row],[52Low]],  "TRUE", "FALSE")</f>
        <v>FALSE</v>
      </c>
      <c r="M38" s="2" t="str">
        <f ca="1">IF(table1[[#This Row],[Price]] &lt; (table1[[#This Row],[52Low]] * 0.1) + table1[[#This Row],[52Low]],  "TRUE", "FALSE")</f>
        <v>FALSE</v>
      </c>
      <c r="N38" s="6" cm="1">
        <f t="array" aca="1" ref="N38" ca="1">_FV(table1[[#This Row],[DataField]],"Market cap",TRUE)</f>
        <v>92186724240</v>
      </c>
    </row>
    <row r="39" spans="1:14" x14ac:dyDescent="0.2">
      <c r="A39" t="e" vm="39">
        <v>#VALUE!</v>
      </c>
      <c r="B39" t="str" cm="1">
        <f t="array" aca="1" ref="B39" ca="1">_FV(table1[[#This Row],[DataField]],"Ticker symbol",TRUE)</f>
        <v>GIS</v>
      </c>
      <c r="H39" s="2" cm="1">
        <f t="array" aca="1" ref="H39" ca="1">_FV(table1[[#This Row],[DataField]],"Price")</f>
        <v>46.935000000000002</v>
      </c>
      <c r="I39" s="2" cm="1">
        <f t="array" aca="1" ref="I39" ca="1">_FV(table1[[#This Row],[DataField]],"52 week low",TRUE)</f>
        <v>45.15</v>
      </c>
      <c r="J39" s="2" cm="1">
        <f t="array" aca="1" ref="J39" ca="1">_FV(table1[[#This Row],[DataField]],"52 week high",TRUE)</f>
        <v>67.349999999999994</v>
      </c>
      <c r="K39" s="4" cm="1">
        <f t="array" aca="1" ref="K39" ca="1">_FV(table1[[#This Row],[DataField]],"P/E",TRUE)</f>
        <v>10.0695</v>
      </c>
      <c r="L39" s="2" t="str">
        <f ca="1">IF(table1[[#This Row],[Price]] &lt; (table1[[#This Row],[52Low]] * 0.25) + table1[[#This Row],[52Low]],  "TRUE", "FALSE")</f>
        <v>TRUE</v>
      </c>
      <c r="M39" s="2" t="str">
        <f ca="1">IF(table1[[#This Row],[Price]] &lt; (table1[[#This Row],[52Low]] * 0.1) + table1[[#This Row],[52Low]],  "TRUE", "FALSE")</f>
        <v>TRUE</v>
      </c>
      <c r="N39" s="6" cm="1">
        <f t="array" aca="1" ref="N39" ca="1">_FV(table1[[#This Row],[DataField]],"Market cap",TRUE)</f>
        <v>25043675863</v>
      </c>
    </row>
    <row r="40" spans="1:14" x14ac:dyDescent="0.2">
      <c r="A40" t="e" vm="40">
        <v>#VALUE!</v>
      </c>
      <c r="B40" t="str" cm="1">
        <f t="array" aca="1" ref="B40" ca="1">_FV(table1[[#This Row],[DataField]],"Ticker symbol",TRUE)</f>
        <v>GOOGL</v>
      </c>
      <c r="G40" t="s">
        <v>24</v>
      </c>
      <c r="H40" s="2" cm="1">
        <f t="array" aca="1" ref="H40" ca="1">_FV(table1[[#This Row],[DataField]],"Price")</f>
        <v>312.20499999999998</v>
      </c>
      <c r="I40" s="2" cm="1">
        <f t="array" aca="1" ref="I40" ca="1">_FV(table1[[#This Row],[DataField]],"52 week low",TRUE)</f>
        <v>140.53</v>
      </c>
      <c r="J40" s="2" cm="1">
        <f t="array" aca="1" ref="J40" ca="1">_FV(table1[[#This Row],[DataField]],"52 week high",TRUE)</f>
        <v>328.83</v>
      </c>
      <c r="K40" s="4" cm="1">
        <f t="array" aca="1" ref="K40" ca="1">_FV(table1[[#This Row],[DataField]],"P/E",TRUE)</f>
        <v>30.7867</v>
      </c>
      <c r="L40" s="2" t="str">
        <f ca="1">IF(table1[[#This Row],[Price]] &lt; (table1[[#This Row],[52Low]] * 0.25) + table1[[#This Row],[52Low]],  "TRUE", "FALSE")</f>
        <v>FALSE</v>
      </c>
      <c r="M40" s="2" t="str">
        <f ca="1">IF(table1[[#This Row],[Price]] &lt; (table1[[#This Row],[52Low]] * 0.1) + table1[[#This Row],[52Low]],  "TRUE", "FALSE")</f>
        <v>FALSE</v>
      </c>
      <c r="N40" s="6" cm="1">
        <f t="array" aca="1" ref="N40" ca="1">_FV(table1[[#This Row],[DataField]],"Market cap",TRUE)</f>
        <v>3790965000000</v>
      </c>
    </row>
    <row r="41" spans="1:14" x14ac:dyDescent="0.2">
      <c r="A41" t="e" vm="41">
        <v>#VALUE!</v>
      </c>
      <c r="B41" t="str" cm="1">
        <f t="array" aca="1" ref="B41" ca="1">_FV(table1[[#This Row],[DataField]],"Ticker symbol",TRUE)</f>
        <v>HD</v>
      </c>
      <c r="C41" t="b">
        <v>1</v>
      </c>
      <c r="D41" t="s">
        <v>7</v>
      </c>
      <c r="E41" t="b">
        <v>1</v>
      </c>
      <c r="H41" s="2" cm="1">
        <f t="array" aca="1" ref="H41" ca="1">_FV(table1[[#This Row],[DataField]],"Price")</f>
        <v>346.37</v>
      </c>
      <c r="I41" s="2" cm="1">
        <f t="array" aca="1" ref="I41" ca="1">_FV(table1[[#This Row],[DataField]],"52 week low",TRUE)</f>
        <v>326.31</v>
      </c>
      <c r="J41" s="2" cm="1">
        <f t="array" aca="1" ref="J41" ca="1">_FV(table1[[#This Row],[DataField]],"52 week high",TRUE)</f>
        <v>426.75</v>
      </c>
      <c r="K41" s="4" cm="1">
        <f t="array" aca="1" ref="K41" ca="1">_FV(table1[[#This Row],[DataField]],"P/E",TRUE)</f>
        <v>23.6251</v>
      </c>
      <c r="L41" s="2" t="str">
        <f ca="1">IF(table1[[#This Row],[Price]] &lt; (table1[[#This Row],[52Low]] * 0.25) + table1[[#This Row],[52Low]],  "TRUE", "FALSE")</f>
        <v>TRUE</v>
      </c>
      <c r="M41" s="2" t="str">
        <f ca="1">IF(table1[[#This Row],[Price]] &lt; (table1[[#This Row],[52Low]] * 0.1) + table1[[#This Row],[52Low]],  "TRUE", "FALSE")</f>
        <v>TRUE</v>
      </c>
      <c r="N41" s="6" cm="1">
        <f t="array" aca="1" ref="N41" ca="1">_FV(table1[[#This Row],[DataField]],"Market cap",TRUE)</f>
        <v>344815318255</v>
      </c>
    </row>
    <row r="42" spans="1:14" x14ac:dyDescent="0.2">
      <c r="A42" t="e" vm="42">
        <v>#VALUE!</v>
      </c>
      <c r="B42" t="str" cm="1">
        <f t="array" aca="1" ref="B42" ca="1">_FV(table1[[#This Row],[DataField]],"Ticker symbol",TRUE)</f>
        <v>HRL</v>
      </c>
      <c r="H42" s="2" cm="1">
        <f t="array" aca="1" ref="H42" ca="1">_FV(table1[[#This Row],[DataField]],"Price")</f>
        <v>24.084499999999998</v>
      </c>
      <c r="I42" s="2" cm="1">
        <f t="array" aca="1" ref="I42" ca="1">_FV(table1[[#This Row],[DataField]],"52 week low",TRUE)</f>
        <v>21.03</v>
      </c>
      <c r="J42" s="2" cm="1">
        <f t="array" aca="1" ref="J42" ca="1">_FV(table1[[#This Row],[DataField]],"52 week high",TRUE)</f>
        <v>32.07</v>
      </c>
      <c r="K42" s="4" cm="1">
        <f t="array" aca="1" ref="K42" ca="1">_FV(table1[[#This Row],[DataField]],"P/E",TRUE)</f>
        <v>27.721599999999999</v>
      </c>
      <c r="L42" s="2" t="str">
        <f ca="1">IF(table1[[#This Row],[Price]] &lt; (table1[[#This Row],[52Low]] * 0.25) + table1[[#This Row],[52Low]],  "TRUE", "FALSE")</f>
        <v>TRUE</v>
      </c>
      <c r="M42" s="2" t="str">
        <f ca="1">IF(table1[[#This Row],[Price]] &lt; (table1[[#This Row],[52Low]] * 0.1) + table1[[#This Row],[52Low]],  "TRUE", "FALSE")</f>
        <v>FALSE</v>
      </c>
      <c r="N42" s="6" cm="1">
        <f t="array" aca="1" ref="N42" ca="1">_FV(table1[[#This Row],[DataField]],"Market cap",TRUE)</f>
        <v>13249049633</v>
      </c>
    </row>
    <row r="43" spans="1:14" x14ac:dyDescent="0.2">
      <c r="A43" t="e" vm="43">
        <v>#VALUE!</v>
      </c>
      <c r="B43" t="str" cm="1">
        <f t="array" aca="1" ref="B43" ca="1">_FV(table1[[#This Row],[DataField]],"Ticker symbol",TRUE)</f>
        <v>HSY</v>
      </c>
      <c r="C43" t="b">
        <v>1</v>
      </c>
      <c r="D43" t="s">
        <v>5</v>
      </c>
      <c r="E43" t="b">
        <v>1</v>
      </c>
      <c r="H43" s="2" cm="1">
        <f t="array" aca="1" ref="H43" ca="1">_FV(table1[[#This Row],[DataField]],"Price")</f>
        <v>182.02</v>
      </c>
      <c r="I43" s="2" cm="1">
        <f t="array" aca="1" ref="I43" ca="1">_FV(table1[[#This Row],[DataField]],"52 week low",TRUE)</f>
        <v>140.13</v>
      </c>
      <c r="J43" s="2" cm="1">
        <f t="array" aca="1" ref="J43" ca="1">_FV(table1[[#This Row],[DataField]],"52 week high",TRUE)</f>
        <v>199</v>
      </c>
      <c r="K43" s="4" cm="1">
        <f t="array" aca="1" ref="K43" ca="1">_FV(table1[[#This Row],[DataField]],"P/E",TRUE)</f>
        <v>20.970500000000001</v>
      </c>
      <c r="L43" s="2" t="str">
        <f ca="1">IF(table1[[#This Row],[Price]] &lt; (table1[[#This Row],[52Low]] * 0.25) + table1[[#This Row],[52Low]],  "TRUE", "FALSE")</f>
        <v>FALSE</v>
      </c>
      <c r="M43" s="2" t="str">
        <f ca="1">IF(table1[[#This Row],[Price]] &lt; (table1[[#This Row],[52Low]] * 0.1) + table1[[#This Row],[52Low]],  "TRUE", "FALSE")</f>
        <v>FALSE</v>
      </c>
      <c r="N43" s="6" cm="1">
        <f t="array" aca="1" ref="N43" ca="1">_FV(table1[[#This Row],[DataField]],"Market cap",TRUE)</f>
        <v>36910943902</v>
      </c>
    </row>
    <row r="44" spans="1:14" x14ac:dyDescent="0.2">
      <c r="A44" t="e" vm="44">
        <v>#VALUE!</v>
      </c>
      <c r="B44" t="str" cm="1">
        <f t="array" aca="1" ref="B44" ca="1">_FV(table1[[#This Row],[DataField]],"Ticker symbol",TRUE)</f>
        <v>INTC</v>
      </c>
      <c r="H44" s="2" cm="1">
        <f t="array" aca="1" ref="H44" ca="1">_FV(table1[[#This Row],[DataField]],"Price")</f>
        <v>36.46</v>
      </c>
      <c r="I44" s="2" cm="1">
        <f t="array" aca="1" ref="I44" ca="1">_FV(table1[[#This Row],[DataField]],"52 week low",TRUE)</f>
        <v>17.664999999999999</v>
      </c>
      <c r="J44" s="2" cm="1">
        <f t="array" aca="1" ref="J44" ca="1">_FV(table1[[#This Row],[DataField]],"52 week high",TRUE)</f>
        <v>44.02</v>
      </c>
      <c r="K44" s="4" cm="1">
        <f t="array" aca="1" ref="K44" ca="1">_FV(table1[[#This Row],[DataField]],"P/E",TRUE)</f>
        <v>3439.6226000000001</v>
      </c>
      <c r="L44" s="2" t="str">
        <f ca="1">IF(table1[[#This Row],[Price]] &lt; (table1[[#This Row],[52Low]] * 0.25) + table1[[#This Row],[52Low]],  "TRUE", "FALSE")</f>
        <v>FALSE</v>
      </c>
      <c r="M44" s="2" t="str">
        <f ca="1">IF(table1[[#This Row],[Price]] &lt; (table1[[#This Row],[52Low]] * 0.1) + table1[[#This Row],[52Low]],  "TRUE", "FALSE")</f>
        <v>FALSE</v>
      </c>
      <c r="N44" s="6" cm="1">
        <f t="array" aca="1" ref="N44" ca="1">_FV(table1[[#This Row],[DataField]],"Market cap",TRUE)</f>
        <v>173914200000</v>
      </c>
    </row>
    <row r="45" spans="1:14" x14ac:dyDescent="0.2">
      <c r="A45" t="e" vm="45">
        <v>#VALUE!</v>
      </c>
      <c r="B45" t="str" cm="1">
        <f t="array" aca="1" ref="B45" ca="1">_FV(table1[[#This Row],[DataField]],"Ticker symbol",TRUE)</f>
        <v>INTU</v>
      </c>
      <c r="H45" s="2" cm="1">
        <f t="array" aca="1" ref="H45" ca="1">_FV(table1[[#This Row],[DataField]],"Price")</f>
        <v>671.48</v>
      </c>
      <c r="I45" s="2" cm="1">
        <f t="array" aca="1" ref="I45" ca="1">_FV(table1[[#This Row],[DataField]],"52 week low",TRUE)</f>
        <v>532.64499999999998</v>
      </c>
      <c r="J45" s="2" cm="1">
        <f t="array" aca="1" ref="J45" ca="1">_FV(table1[[#This Row],[DataField]],"52 week high",TRUE)</f>
        <v>813.7</v>
      </c>
      <c r="K45" s="4" cm="1">
        <f t="array" aca="1" ref="K45" ca="1">_FV(table1[[#This Row],[DataField]],"P/E",TRUE)</f>
        <v>46.110199999999999</v>
      </c>
      <c r="L45" s="2" t="str">
        <f ca="1">IF(table1[[#This Row],[Price]] &lt; (table1[[#This Row],[52Low]] * 0.25) + table1[[#This Row],[52Low]],  "TRUE", "FALSE")</f>
        <v>FALSE</v>
      </c>
      <c r="M45" s="2" t="str">
        <f ca="1">IF(table1[[#This Row],[Price]] &lt; (table1[[#This Row],[52Low]] * 0.1) + table1[[#This Row],[52Low]],  "TRUE", "FALSE")</f>
        <v>FALSE</v>
      </c>
      <c r="N45" s="6" cm="1">
        <f t="array" aca="1" ref="N45" ca="1">_FV(table1[[#This Row],[DataField]],"Market cap",TRUE)</f>
        <v>186855492668</v>
      </c>
    </row>
    <row r="46" spans="1:14" x14ac:dyDescent="0.2">
      <c r="A46" t="e" vm="46">
        <v>#VALUE!</v>
      </c>
      <c r="B46" t="str" cm="1">
        <f t="array" aca="1" ref="B46" ca="1">_FV(table1[[#This Row],[DataField]],"Ticker symbol",TRUE)</f>
        <v>JNJ</v>
      </c>
      <c r="C46" t="b">
        <v>1</v>
      </c>
      <c r="D46" t="s">
        <v>9</v>
      </c>
      <c r="E46" t="b">
        <v>1</v>
      </c>
      <c r="H46" s="2" cm="1">
        <f t="array" aca="1" ref="H46" ca="1">_FV(table1[[#This Row],[DataField]],"Price")</f>
        <v>208.71</v>
      </c>
      <c r="I46" s="2" cm="1">
        <f t="array" aca="1" ref="I46" ca="1">_FV(table1[[#This Row],[DataField]],"52 week low",TRUE)</f>
        <v>140.68</v>
      </c>
      <c r="J46" s="2" cm="1">
        <f t="array" aca="1" ref="J46" ca="1">_FV(table1[[#This Row],[DataField]],"52 week high",TRUE)</f>
        <v>215.185</v>
      </c>
      <c r="K46" s="4" cm="1">
        <f t="array" aca="1" ref="K46" ca="1">_FV(table1[[#This Row],[DataField]],"P/E",TRUE)</f>
        <v>20.144600000000001</v>
      </c>
      <c r="L46" s="2" t="str">
        <f ca="1">IF(table1[[#This Row],[Price]] &lt; (table1[[#This Row],[52Low]] * 0.25) + table1[[#This Row],[52Low]],  "TRUE", "FALSE")</f>
        <v>FALSE</v>
      </c>
      <c r="M46" s="2" t="str">
        <f ca="1">IF(table1[[#This Row],[Price]] &lt; (table1[[#This Row],[52Low]] * 0.1) + table1[[#This Row],[52Low]],  "TRUE", "FALSE")</f>
        <v>FALSE</v>
      </c>
      <c r="N46" s="6" cm="1">
        <f t="array" aca="1" ref="N46" ca="1">_FV(table1[[#This Row],[DataField]],"Market cap",TRUE)</f>
        <v>502843959450</v>
      </c>
    </row>
    <row r="47" spans="1:14" x14ac:dyDescent="0.2">
      <c r="A47" t="e" vm="47">
        <v>#VALUE!</v>
      </c>
      <c r="B47" t="str" cm="1">
        <f t="array" aca="1" ref="B47" ca="1">_FV(table1[[#This Row],[DataField]],"Ticker symbol",TRUE)</f>
        <v>KMB</v>
      </c>
      <c r="C47" t="b">
        <v>0</v>
      </c>
      <c r="D47" t="s">
        <v>5</v>
      </c>
      <c r="E47" t="b">
        <v>1</v>
      </c>
      <c r="H47" s="2" cm="1">
        <f t="array" aca="1" ref="H47" ca="1">_FV(table1[[#This Row],[DataField]],"Price")</f>
        <v>101.09</v>
      </c>
      <c r="I47" s="2" cm="1">
        <f t="array" aca="1" ref="I47" ca="1">_FV(table1[[#This Row],[DataField]],"52 week low",TRUE)</f>
        <v>99.22</v>
      </c>
      <c r="J47" s="2" cm="1">
        <f t="array" aca="1" ref="J47" ca="1">_FV(table1[[#This Row],[DataField]],"52 week high",TRUE)</f>
        <v>150.44999999999999</v>
      </c>
      <c r="K47" s="4" cm="1">
        <f t="array" aca="1" ref="K47" ca="1">_FV(table1[[#This Row],[DataField]],"P/E",TRUE)</f>
        <v>18.8246</v>
      </c>
      <c r="L47" s="2" t="str">
        <f ca="1">IF(table1[[#This Row],[Price]] &lt; (table1[[#This Row],[52Low]] * 0.25) + table1[[#This Row],[52Low]],  "TRUE", "FALSE")</f>
        <v>TRUE</v>
      </c>
      <c r="M47" s="2" t="str">
        <f ca="1">IF(table1[[#This Row],[Price]] &lt; (table1[[#This Row],[52Low]] * 0.1) + table1[[#This Row],[52Low]],  "TRUE", "FALSE")</f>
        <v>TRUE</v>
      </c>
      <c r="N47" s="6" cm="1">
        <f t="array" aca="1" ref="N47" ca="1">_FV(table1[[#This Row],[DataField]],"Market cap",TRUE)</f>
        <v>33551073479</v>
      </c>
    </row>
    <row r="48" spans="1:14" x14ac:dyDescent="0.2">
      <c r="A48" t="e" vm="48">
        <v>#VALUE!</v>
      </c>
      <c r="B48" t="str" cm="1">
        <f t="array" aca="1" ref="B48" ca="1">_FV(table1[[#This Row],[DataField]],"Ticker symbol",TRUE)</f>
        <v>KO</v>
      </c>
      <c r="H48" s="2" cm="1">
        <f t="array" aca="1" ref="H48" ca="1">_FV(table1[[#This Row],[DataField]],"Price")</f>
        <v>70.135000000000005</v>
      </c>
      <c r="I48" s="2" cm="1">
        <f t="array" aca="1" ref="I48" ca="1">_FV(table1[[#This Row],[DataField]],"52 week low",TRUE)</f>
        <v>60.615000000000002</v>
      </c>
      <c r="J48" s="2" cm="1">
        <f t="array" aca="1" ref="J48" ca="1">_FV(table1[[#This Row],[DataField]],"52 week high",TRUE)</f>
        <v>74.38</v>
      </c>
      <c r="K48" s="4" cm="1">
        <f t="array" aca="1" ref="K48" ca="1">_FV(table1[[#This Row],[DataField]],"P/E",TRUE)</f>
        <v>23.217400000000001</v>
      </c>
      <c r="L48" s="2" t="str">
        <f ca="1">IF(table1[[#This Row],[Price]] &lt; (table1[[#This Row],[52Low]] * 0.25) + table1[[#This Row],[52Low]],  "TRUE", "FALSE")</f>
        <v>TRUE</v>
      </c>
      <c r="M48" s="2" t="str">
        <f ca="1">IF(table1[[#This Row],[Price]] &lt; (table1[[#This Row],[52Low]] * 0.1) + table1[[#This Row],[52Low]],  "TRUE", "FALSE")</f>
        <v>FALSE</v>
      </c>
      <c r="N48" s="6" cm="1">
        <f t="array" aca="1" ref="N48" ca="1">_FV(table1[[#This Row],[DataField]],"Market cap",TRUE)</f>
        <v>301693347215</v>
      </c>
    </row>
    <row r="49" spans="1:14" x14ac:dyDescent="0.2">
      <c r="A49" t="e" vm="49">
        <v>#VALUE!</v>
      </c>
      <c r="B49" t="str" cm="1">
        <f t="array" aca="1" ref="B49" ca="1">_FV(table1[[#This Row],[DataField]],"Ticker symbol",TRUE)</f>
        <v>LLY</v>
      </c>
      <c r="H49" s="2" cm="1">
        <f t="array" aca="1" ref="H49" ca="1">_FV(table1[[#This Row],[DataField]],"Price")</f>
        <v>1084.115</v>
      </c>
      <c r="I49" s="2" cm="1">
        <f t="array" aca="1" ref="I49" ca="1">_FV(table1[[#This Row],[DataField]],"52 week low",TRUE)</f>
        <v>623.78</v>
      </c>
      <c r="J49" s="2" cm="1">
        <f t="array" aca="1" ref="J49" ca="1">_FV(table1[[#This Row],[DataField]],"52 week high",TRUE)</f>
        <v>1111.99</v>
      </c>
      <c r="K49" s="4" cm="1">
        <f t="array" aca="1" ref="K49" ca="1">_FV(table1[[#This Row],[DataField]],"P/E",TRUE)</f>
        <v>53.015300000000003</v>
      </c>
      <c r="L49" s="2" t="str">
        <f ca="1">IF(table1[[#This Row],[Price]] &lt; (table1[[#This Row],[52Low]] * 0.25) + table1[[#This Row],[52Low]],  "TRUE", "FALSE")</f>
        <v>FALSE</v>
      </c>
      <c r="M49" s="2" t="str">
        <f ca="1">IF(table1[[#This Row],[Price]] &lt; (table1[[#This Row],[52Low]] * 0.1) + table1[[#This Row],[52Low]],  "TRUE", "FALSE")</f>
        <v>FALSE</v>
      </c>
      <c r="N49" s="6" cm="1">
        <f t="array" aca="1" ref="N49" ca="1">_FV(table1[[#This Row],[DataField]],"Market cap",TRUE)</f>
        <v>1018887000000</v>
      </c>
    </row>
    <row r="50" spans="1:14" x14ac:dyDescent="0.2">
      <c r="A50" t="e" vm="50">
        <v>#VALUE!</v>
      </c>
      <c r="B50" t="str" cm="1">
        <f t="array" aca="1" ref="B50" ca="1">_FV(table1[[#This Row],[DataField]],"Ticker symbol",TRUE)</f>
        <v>LMT</v>
      </c>
      <c r="C50" t="b">
        <v>1</v>
      </c>
      <c r="D50" t="s">
        <v>12</v>
      </c>
      <c r="E50" t="b">
        <v>1</v>
      </c>
      <c r="H50" s="2" cm="1">
        <f t="array" aca="1" ref="H50" ca="1">_FV(table1[[#This Row],[DataField]],"Price")</f>
        <v>488.13</v>
      </c>
      <c r="I50" s="2" cm="1">
        <f t="array" aca="1" ref="I50" ca="1">_FV(table1[[#This Row],[DataField]],"52 week low",TRUE)</f>
        <v>410.11</v>
      </c>
      <c r="J50" s="2" cm="1">
        <f t="array" aca="1" ref="J50" ca="1">_FV(table1[[#This Row],[DataField]],"52 week high",TRUE)</f>
        <v>516</v>
      </c>
      <c r="K50" s="4" cm="1">
        <f t="array" aca="1" ref="K50" ca="1">_FV(table1[[#This Row],[DataField]],"P/E",TRUE)</f>
        <v>27.191299999999998</v>
      </c>
      <c r="L50" s="2" t="str">
        <f ca="1">IF(table1[[#This Row],[Price]] &lt; (table1[[#This Row],[52Low]] * 0.25) + table1[[#This Row],[52Low]],  "TRUE", "FALSE")</f>
        <v>TRUE</v>
      </c>
      <c r="M50" s="2" t="str">
        <f ca="1">IF(table1[[#This Row],[Price]] &lt; (table1[[#This Row],[52Low]] * 0.1) + table1[[#This Row],[52Low]],  "TRUE", "FALSE")</f>
        <v>FALSE</v>
      </c>
      <c r="N50" s="6" cm="1">
        <f t="array" aca="1" ref="N50" ca="1">_FV(table1[[#This Row],[DataField]],"Market cap",TRUE)</f>
        <v>112952208114</v>
      </c>
    </row>
    <row r="51" spans="1:14" x14ac:dyDescent="0.2">
      <c r="A51" t="e" vm="51">
        <v>#VALUE!</v>
      </c>
      <c r="B51" t="str" cm="1">
        <f t="array" aca="1" ref="B51" ca="1">_FV(table1[[#This Row],[DataField]],"Ticker symbol",TRUE)</f>
        <v>LOW</v>
      </c>
      <c r="C51" t="b">
        <v>1</v>
      </c>
      <c r="D51" t="s">
        <v>7</v>
      </c>
      <c r="E51" t="b">
        <v>1</v>
      </c>
      <c r="H51" s="2" cm="1">
        <f t="array" aca="1" ref="H51" ca="1">_FV(table1[[#This Row],[DataField]],"Price")</f>
        <v>242.89</v>
      </c>
      <c r="I51" s="2" cm="1">
        <f t="array" aca="1" ref="I51" ca="1">_FV(table1[[#This Row],[DataField]],"52 week low",TRUE)</f>
        <v>206.38499999999999</v>
      </c>
      <c r="J51" s="2" cm="1">
        <f t="array" aca="1" ref="J51" ca="1">_FV(table1[[#This Row],[DataField]],"52 week high",TRUE)</f>
        <v>274.98</v>
      </c>
      <c r="K51" s="4" cm="1">
        <f t="array" aca="1" ref="K51" ca="1">_FV(table1[[#This Row],[DataField]],"P/E",TRUE)</f>
        <v>20.1477</v>
      </c>
      <c r="L51" s="2" t="str">
        <f ca="1">IF(table1[[#This Row],[Price]] &lt; (table1[[#This Row],[52Low]] * 0.25) + table1[[#This Row],[52Low]],  "TRUE", "FALSE")</f>
        <v>TRUE</v>
      </c>
      <c r="M51" s="2" t="str">
        <f ca="1">IF(table1[[#This Row],[Price]] &lt; (table1[[#This Row],[52Low]] * 0.1) + table1[[#This Row],[52Low]],  "TRUE", "FALSE")</f>
        <v>FALSE</v>
      </c>
      <c r="N51" s="6" cm="1">
        <f t="array" aca="1" ref="N51" ca="1">_FV(table1[[#This Row],[DataField]],"Market cap",TRUE)</f>
        <v>136249509834</v>
      </c>
    </row>
    <row r="52" spans="1:14" x14ac:dyDescent="0.2">
      <c r="A52" t="e" vm="52">
        <v>#VALUE!</v>
      </c>
      <c r="B52" t="str" cm="1">
        <f t="array" aca="1" ref="B52" ca="1">_FV(table1[[#This Row],[DataField]],"Ticker symbol",TRUE)</f>
        <v>LRCX</v>
      </c>
      <c r="C52" t="b">
        <v>0</v>
      </c>
      <c r="D52" t="s">
        <v>6</v>
      </c>
      <c r="E52" t="b">
        <v>1</v>
      </c>
      <c r="G52" t="s">
        <v>25</v>
      </c>
      <c r="H52" s="2" cm="1">
        <f t="array" aca="1" ref="H52" ca="1">_FV(table1[[#This Row],[DataField]],"Price")</f>
        <v>176.30500000000001</v>
      </c>
      <c r="I52" s="2" cm="1">
        <f t="array" aca="1" ref="I52" ca="1">_FV(table1[[#This Row],[DataField]],"52 week low",TRUE)</f>
        <v>56.32</v>
      </c>
      <c r="J52" s="2" cm="1">
        <f t="array" aca="1" ref="J52" ca="1">_FV(table1[[#This Row],[DataField]],"52 week high",TRUE)</f>
        <v>179.8</v>
      </c>
      <c r="K52" s="4" cm="1">
        <f t="array" aca="1" ref="K52" ca="1">_FV(table1[[#This Row],[DataField]],"P/E",TRUE)</f>
        <v>38.8491</v>
      </c>
      <c r="L52" s="2" t="str">
        <f ca="1">IF(table1[[#This Row],[Price]] &lt; (table1[[#This Row],[52Low]] * 0.25) + table1[[#This Row],[52Low]],  "TRUE", "FALSE")</f>
        <v>FALSE</v>
      </c>
      <c r="M52" s="2" t="str">
        <f ca="1">IF(table1[[#This Row],[Price]] &lt; (table1[[#This Row],[52Low]] * 0.1) + table1[[#This Row],[52Low]],  "TRUE", "FALSE")</f>
        <v>FALSE</v>
      </c>
      <c r="N52" s="6" cm="1">
        <f t="array" aca="1" ref="N52" ca="1">_FV(table1[[#This Row],[DataField]],"Market cap",TRUE)</f>
        <v>221444369150</v>
      </c>
    </row>
    <row r="53" spans="1:14" x14ac:dyDescent="0.2">
      <c r="A53" t="e" vm="53">
        <v>#VALUE!</v>
      </c>
      <c r="B53" t="str" cm="1">
        <f t="array" aca="1" ref="B53" ca="1">_FV(table1[[#This Row],[DataField]],"Ticker symbol",TRUE)</f>
        <v>LYB</v>
      </c>
      <c r="C53" t="b">
        <v>1</v>
      </c>
      <c r="D53" t="s">
        <v>13</v>
      </c>
      <c r="E53" t="b">
        <v>1</v>
      </c>
      <c r="H53" s="2" cm="1">
        <f t="array" aca="1" ref="H53" ca="1">_FV(table1[[#This Row],[DataField]],"Price")</f>
        <v>43.02</v>
      </c>
      <c r="I53" s="2" cm="1">
        <f t="array" aca="1" ref="I53" ca="1">_FV(table1[[#This Row],[DataField]],"52 week low",TRUE)</f>
        <v>41.58</v>
      </c>
      <c r="J53" s="2" cm="1">
        <f t="array" aca="1" ref="J53" ca="1">_FV(table1[[#This Row],[DataField]],"52 week high",TRUE)</f>
        <v>79.389899999999997</v>
      </c>
      <c r="K53" s="4" cm="1">
        <f t="array" aca="1" ref="K53" ca="1">_FV(table1[[#This Row],[DataField]],"P/E",TRUE)</f>
        <v>0</v>
      </c>
      <c r="L53" s="2" t="str">
        <f ca="1">IF(table1[[#This Row],[Price]] &lt; (table1[[#This Row],[52Low]] * 0.25) + table1[[#This Row],[52Low]],  "TRUE", "FALSE")</f>
        <v>TRUE</v>
      </c>
      <c r="M53" s="2" t="str">
        <f ca="1">IF(table1[[#This Row],[Price]] &lt; (table1[[#This Row],[52Low]] * 0.1) + table1[[#This Row],[52Low]],  "TRUE", "FALSE")</f>
        <v>TRUE</v>
      </c>
      <c r="N53" s="6" cm="1">
        <f t="array" aca="1" ref="N53" ca="1">_FV(table1[[#This Row],[DataField]],"Market cap",TRUE)</f>
        <v>13846976460</v>
      </c>
    </row>
    <row r="54" spans="1:14" x14ac:dyDescent="0.2">
      <c r="A54" t="e" vm="54">
        <v>#VALUE!</v>
      </c>
      <c r="B54" t="str" cm="1">
        <f t="array" aca="1" ref="B54" ca="1">_FV(table1[[#This Row],[DataField]],"Ticker symbol",TRUE)</f>
        <v>MAN</v>
      </c>
      <c r="H54" s="2" cm="1">
        <f t="array" aca="1" ref="H54" ca="1">_FV(table1[[#This Row],[DataField]],"Price")</f>
        <v>29.585000000000001</v>
      </c>
      <c r="I54" s="2" cm="1">
        <f t="array" aca="1" ref="I54" ca="1">_FV(table1[[#This Row],[DataField]],"52 week low",TRUE)</f>
        <v>26.14</v>
      </c>
      <c r="J54" s="2" cm="1">
        <f t="array" aca="1" ref="J54" ca="1">_FV(table1[[#This Row],[DataField]],"52 week high",TRUE)</f>
        <v>63.344999999999999</v>
      </c>
      <c r="K54" s="4" cm="1">
        <f t="array" aca="1" ref="K54" ca="1">_FV(table1[[#This Row],[DataField]],"P/E",TRUE)</f>
        <v>0</v>
      </c>
      <c r="L54" s="2" t="str">
        <f ca="1">IF(table1[[#This Row],[Price]] &lt; (table1[[#This Row],[52Low]] * 0.25) + table1[[#This Row],[52Low]],  "TRUE", "FALSE")</f>
        <v>TRUE</v>
      </c>
      <c r="M54" s="2" t="str">
        <f ca="1">IF(table1[[#This Row],[Price]] &lt; (table1[[#This Row],[52Low]] * 0.1) + table1[[#This Row],[52Low]],  "TRUE", "FALSE")</f>
        <v>FALSE</v>
      </c>
      <c r="N54" s="6" cm="1">
        <f t="array" aca="1" ref="N54" ca="1">_FV(table1[[#This Row],[DataField]],"Market cap",TRUE)</f>
        <v>1369702070</v>
      </c>
    </row>
    <row r="55" spans="1:14" x14ac:dyDescent="0.2">
      <c r="A55" t="e" vm="55">
        <v>#VALUE!</v>
      </c>
      <c r="B55" t="str" cm="1">
        <f t="array" aca="1" ref="B55" ca="1">_FV(table1[[#This Row],[DataField]],"Ticker symbol",TRUE)</f>
        <v>MCD</v>
      </c>
      <c r="C55" t="b">
        <v>0</v>
      </c>
      <c r="D55" t="s">
        <v>7</v>
      </c>
      <c r="E55" t="b">
        <v>1</v>
      </c>
      <c r="H55" s="2" cm="1">
        <f t="array" aca="1" ref="H55" ca="1">_FV(table1[[#This Row],[DataField]],"Price")</f>
        <v>308.89999999999998</v>
      </c>
      <c r="I55" s="2" cm="1">
        <f t="array" aca="1" ref="I55" ca="1">_FV(table1[[#This Row],[DataField]],"52 week low",TRUE)</f>
        <v>276.52999999999997</v>
      </c>
      <c r="J55" s="2" cm="1">
        <f t="array" aca="1" ref="J55" ca="1">_FV(table1[[#This Row],[DataField]],"52 week high",TRUE)</f>
        <v>326.32</v>
      </c>
      <c r="K55" s="4" cm="1">
        <f t="array" aca="1" ref="K55" ca="1">_FV(table1[[#This Row],[DataField]],"P/E",TRUE)</f>
        <v>26.346499999999999</v>
      </c>
      <c r="L55" s="2" t="str">
        <f ca="1">IF(table1[[#This Row],[Price]] &lt; (table1[[#This Row],[52Low]] * 0.25) + table1[[#This Row],[52Low]],  "TRUE", "FALSE")</f>
        <v>TRUE</v>
      </c>
      <c r="M55" s="2" t="str">
        <f ca="1">IF(table1[[#This Row],[Price]] &lt; (table1[[#This Row],[52Low]] * 0.1) + table1[[#This Row],[52Low]],  "TRUE", "FALSE")</f>
        <v>FALSE</v>
      </c>
      <c r="N55" s="6" cm="1">
        <f t="array" aca="1" ref="N55" ca="1">_FV(table1[[#This Row],[DataField]],"Market cap",TRUE)</f>
        <v>219984494159</v>
      </c>
    </row>
    <row r="56" spans="1:14" x14ac:dyDescent="0.2">
      <c r="A56" t="e" vm="56">
        <v>#VALUE!</v>
      </c>
      <c r="B56" t="str" cm="1">
        <f t="array" aca="1" ref="B56" ca="1">_FV(table1[[#This Row],[DataField]],"Ticker symbol",TRUE)</f>
        <v>MDLZ</v>
      </c>
      <c r="H56" s="2" cm="1">
        <f t="array" aca="1" ref="H56" ca="1">_FV(table1[[#This Row],[DataField]],"Price")</f>
        <v>54.604999999999997</v>
      </c>
      <c r="I56" s="2" cm="1">
        <f t="array" aca="1" ref="I56" ca="1">_FV(table1[[#This Row],[DataField]],"52 week low",TRUE)</f>
        <v>53.1342</v>
      </c>
      <c r="J56" s="2" cm="1">
        <f t="array" aca="1" ref="J56" ca="1">_FV(table1[[#This Row],[DataField]],"52 week high",TRUE)</f>
        <v>71.150000000000006</v>
      </c>
      <c r="K56" s="4" cm="1">
        <f t="array" aca="1" ref="K56" ca="1">_FV(table1[[#This Row],[DataField]],"P/E",TRUE)</f>
        <v>20.404699999999998</v>
      </c>
      <c r="L56" s="2" t="str">
        <f ca="1">IF(table1[[#This Row],[Price]] &lt; (table1[[#This Row],[52Low]] * 0.25) + table1[[#This Row],[52Low]],  "TRUE", "FALSE")</f>
        <v>TRUE</v>
      </c>
      <c r="M56" s="2" t="str">
        <f ca="1">IF(table1[[#This Row],[Price]] &lt; (table1[[#This Row],[52Low]] * 0.1) + table1[[#This Row],[52Low]],  "TRUE", "FALSE")</f>
        <v>TRUE</v>
      </c>
      <c r="N56" s="6" cm="1">
        <f t="array" aca="1" ref="N56" ca="1">_FV(table1[[#This Row],[DataField]],"Market cap",TRUE)</f>
        <v>70505190000</v>
      </c>
    </row>
    <row r="57" spans="1:14" x14ac:dyDescent="0.2">
      <c r="A57" t="e" vm="57">
        <v>#VALUE!</v>
      </c>
      <c r="B57" t="str" cm="1">
        <f t="array" aca="1" ref="B57" ca="1">_FV(table1[[#This Row],[DataField]],"Ticker symbol",TRUE)</f>
        <v>MDT</v>
      </c>
      <c r="C57" t="b">
        <v>1</v>
      </c>
      <c r="D57" t="s">
        <v>9</v>
      </c>
      <c r="E57" t="b">
        <v>1</v>
      </c>
      <c r="H57" s="2" cm="1">
        <f t="array" aca="1" ref="H57" ca="1">_FV(table1[[#This Row],[DataField]],"Price")</f>
        <v>96.42</v>
      </c>
      <c r="I57" s="2" cm="1">
        <f t="array" aca="1" ref="I57" ca="1">_FV(table1[[#This Row],[DataField]],"52 week low",TRUE)</f>
        <v>79.290000000000006</v>
      </c>
      <c r="J57" s="2" cm="1">
        <f t="array" aca="1" ref="J57" ca="1">_FV(table1[[#This Row],[DataField]],"52 week high",TRUE)</f>
        <v>106.33</v>
      </c>
      <c r="K57" s="4" cm="1">
        <f t="array" aca="1" ref="K57" ca="1">_FV(table1[[#This Row],[DataField]],"P/E",TRUE)</f>
        <v>26.07</v>
      </c>
      <c r="L57" s="2" t="str">
        <f ca="1">IF(table1[[#This Row],[Price]] &lt; (table1[[#This Row],[52Low]] * 0.25) + table1[[#This Row],[52Low]],  "TRUE", "FALSE")</f>
        <v>TRUE</v>
      </c>
      <c r="M57" s="2" t="str">
        <f ca="1">IF(table1[[#This Row],[Price]] &lt; (table1[[#This Row],[52Low]] * 0.1) + table1[[#This Row],[52Low]],  "TRUE", "FALSE")</f>
        <v>FALSE</v>
      </c>
      <c r="N57" s="6" cm="1">
        <f t="array" aca="1" ref="N57" ca="1">_FV(table1[[#This Row],[DataField]],"Market cap",TRUE)</f>
        <v>123611789880</v>
      </c>
    </row>
    <row r="58" spans="1:14" x14ac:dyDescent="0.2">
      <c r="A58" t="e" vm="58">
        <v>#VALUE!</v>
      </c>
      <c r="B58" t="str" cm="1">
        <f t="array" aca="1" ref="B58" ca="1">_FV(table1[[#This Row],[DataField]],"Ticker symbol",TRUE)</f>
        <v>META</v>
      </c>
      <c r="H58" s="2" cm="1">
        <f t="array" aca="1" ref="H58" ca="1">_FV(table1[[#This Row],[DataField]],"Price")</f>
        <v>657.57500000000005</v>
      </c>
      <c r="I58" s="2" cm="1">
        <f t="array" aca="1" ref="I58" ca="1">_FV(table1[[#This Row],[DataField]],"52 week low",TRUE)</f>
        <v>479.8</v>
      </c>
      <c r="J58" s="2" cm="1">
        <f t="array" aca="1" ref="J58" ca="1">_FV(table1[[#This Row],[DataField]],"52 week high",TRUE)</f>
        <v>796.25</v>
      </c>
      <c r="K58" s="4" cm="1">
        <f t="array" aca="1" ref="K58" ca="1">_FV(table1[[#This Row],[DataField]],"P/E",TRUE)</f>
        <v>22.6234</v>
      </c>
      <c r="L58" s="2" t="str">
        <f ca="1">IF(table1[[#This Row],[Price]] &lt; (table1[[#This Row],[52Low]] * 0.25) + table1[[#This Row],[52Low]],  "TRUE", "FALSE")</f>
        <v>FALSE</v>
      </c>
      <c r="M58" s="2" t="str">
        <f ca="1">IF(table1[[#This Row],[Price]] &lt; (table1[[#This Row],[52Low]] * 0.1) + table1[[#This Row],[52Low]],  "TRUE", "FALSE")</f>
        <v>FALSE</v>
      </c>
      <c r="N58" s="6" cm="1">
        <f t="array" aca="1" ref="N58" ca="1">_FV(table1[[#This Row],[DataField]],"Market cap",TRUE)</f>
        <v>1657436199600</v>
      </c>
    </row>
    <row r="59" spans="1:14" x14ac:dyDescent="0.2">
      <c r="A59" t="e" vm="59">
        <v>#VALUE!</v>
      </c>
      <c r="B59" t="str" cm="1">
        <f t="array" aca="1" ref="B59" ca="1">_FV(table1[[#This Row],[DataField]],"Ticker symbol",TRUE)</f>
        <v>MKC.V</v>
      </c>
      <c r="C59" t="b">
        <v>1</v>
      </c>
      <c r="D59" t="s">
        <v>5</v>
      </c>
      <c r="E59" t="b">
        <v>1</v>
      </c>
      <c r="H59" s="2" cm="1">
        <f t="array" aca="1" ref="H59" ca="1">_FV(table1[[#This Row],[DataField]],"Price")</f>
        <v>68.12</v>
      </c>
      <c r="I59" s="2" cm="1">
        <f t="array" aca="1" ref="I59" ca="1">_FV(table1[[#This Row],[DataField]],"52 week low",TRUE)</f>
        <v>62.78</v>
      </c>
      <c r="J59" s="2" cm="1">
        <f t="array" aca="1" ref="J59" ca="1">_FV(table1[[#This Row],[DataField]],"52 week high",TRUE)</f>
        <v>85.5</v>
      </c>
      <c r="K59" s="4" t="e" cm="1" vm="30">
        <f t="array" ref="K59">_FV(table1[[#This Row],[DataField]],"P/E",TRUE)</f>
        <v>#VALUE!</v>
      </c>
      <c r="L59" s="2" t="str">
        <f ca="1">IF(table1[[#This Row],[Price]] &lt; (table1[[#This Row],[52Low]] * 0.25) + table1[[#This Row],[52Low]],  "TRUE", "FALSE")</f>
        <v>TRUE</v>
      </c>
      <c r="M59" s="2" t="str">
        <f ca="1">IF(table1[[#This Row],[Price]] &lt; (table1[[#This Row],[52Low]] * 0.1) + table1[[#This Row],[52Low]],  "TRUE", "FALSE")</f>
        <v>TRUE</v>
      </c>
      <c r="N59" s="6" cm="1">
        <f t="array" aca="1" ref="N59" ca="1">_FV(table1[[#This Row],[DataField]],"Market cap",TRUE)</f>
        <v>18486570000</v>
      </c>
    </row>
    <row r="60" spans="1:14" x14ac:dyDescent="0.2">
      <c r="A60" t="e" vm="60">
        <v>#VALUE!</v>
      </c>
      <c r="B60" t="str" cm="1">
        <f t="array" aca="1" ref="B60" ca="1">_FV(table1[[#This Row],[DataField]],"Ticker symbol",TRUE)</f>
        <v>MMM</v>
      </c>
      <c r="H60" s="2" cm="1">
        <f t="array" aca="1" ref="H60" ca="1">_FV(table1[[#This Row],[DataField]],"Price")</f>
        <v>160.96</v>
      </c>
      <c r="I60" s="2" cm="1">
        <f t="array" aca="1" ref="I60" ca="1">_FV(table1[[#This Row],[DataField]],"52 week low",TRUE)</f>
        <v>121.97709999999999</v>
      </c>
      <c r="J60" s="2" cm="1">
        <f t="array" aca="1" ref="J60" ca="1">_FV(table1[[#This Row],[DataField]],"52 week high",TRUE)</f>
        <v>174.69</v>
      </c>
      <c r="K60" s="4" cm="1">
        <f t="array" aca="1" ref="K60" ca="1">_FV(table1[[#This Row],[DataField]],"P/E",TRUE)</f>
        <v>25.720700000000001</v>
      </c>
      <c r="L60" s="2" t="str">
        <f ca="1">IF(table1[[#This Row],[Price]] &lt; (table1[[#This Row],[52Low]] * 0.25) + table1[[#This Row],[52Low]],  "TRUE", "FALSE")</f>
        <v>FALSE</v>
      </c>
      <c r="M60" s="2" t="str">
        <f ca="1">IF(table1[[#This Row],[Price]] &lt; (table1[[#This Row],[52Low]] * 0.1) + table1[[#This Row],[52Low]],  "TRUE", "FALSE")</f>
        <v>FALSE</v>
      </c>
      <c r="N60" s="6" cm="1">
        <f t="array" aca="1" ref="N60" ca="1">_FV(table1[[#This Row],[DataField]],"Market cap",TRUE)</f>
        <v>85505976000</v>
      </c>
    </row>
    <row r="61" spans="1:14" x14ac:dyDescent="0.2">
      <c r="A61" t="e" vm="61">
        <v>#VALUE!</v>
      </c>
      <c r="B61" t="str" cm="1">
        <f t="array" aca="1" ref="B61" ca="1">_FV(table1[[#This Row],[DataField]],"Ticker symbol",TRUE)</f>
        <v>MO</v>
      </c>
      <c r="H61" s="2" cm="1">
        <f t="array" aca="1" ref="H61" ca="1">_FV(table1[[#This Row],[DataField]],"Price")</f>
        <v>57.704999999999998</v>
      </c>
      <c r="I61" s="2" cm="1">
        <f t="array" aca="1" ref="I61" ca="1">_FV(table1[[#This Row],[DataField]],"52 week low",TRUE)</f>
        <v>50.08</v>
      </c>
      <c r="J61" s="2" cm="1">
        <f t="array" aca="1" ref="J61" ca="1">_FV(table1[[#This Row],[DataField]],"52 week high",TRUE)</f>
        <v>68.599999999999994</v>
      </c>
      <c r="K61" s="4" cm="1">
        <f t="array" aca="1" ref="K61" ca="1">_FV(table1[[#This Row],[DataField]],"P/E",TRUE)</f>
        <v>11.008800000000001</v>
      </c>
      <c r="L61" s="2" t="str">
        <f ca="1">IF(table1[[#This Row],[Price]] &lt; (table1[[#This Row],[52Low]] * 0.25) + table1[[#This Row],[52Low]],  "TRUE", "FALSE")</f>
        <v>TRUE</v>
      </c>
      <c r="M61" s="2" t="str">
        <f ca="1">IF(table1[[#This Row],[Price]] &lt; (table1[[#This Row],[52Low]] * 0.1) + table1[[#This Row],[52Low]],  "TRUE", "FALSE")</f>
        <v>FALSE</v>
      </c>
      <c r="N61" s="6" cm="1">
        <f t="array" aca="1" ref="N61" ca="1">_FV(table1[[#This Row],[DataField]],"Market cap",TRUE)</f>
        <v>96867767760</v>
      </c>
    </row>
    <row r="62" spans="1:14" x14ac:dyDescent="0.2">
      <c r="A62" t="e" vm="62">
        <v>#VALUE!</v>
      </c>
      <c r="B62" t="str" cm="1">
        <f t="array" aca="1" ref="B62" ca="1">_FV(table1[[#This Row],[DataField]],"Ticker symbol",TRUE)</f>
        <v>MRK</v>
      </c>
      <c r="H62" s="2" cm="1">
        <f t="array" aca="1" ref="H62" ca="1">_FV(table1[[#This Row],[DataField]],"Price")</f>
        <v>107.23</v>
      </c>
      <c r="I62" s="2" cm="1">
        <f t="array" aca="1" ref="I62" ca="1">_FV(table1[[#This Row],[DataField]],"52 week low",TRUE)</f>
        <v>73.31</v>
      </c>
      <c r="J62" s="2" cm="1">
        <f t="array" aca="1" ref="J62" ca="1">_FV(table1[[#This Row],[DataField]],"52 week high",TRUE)</f>
        <v>107.59</v>
      </c>
      <c r="K62" s="4" cm="1">
        <f t="array" aca="1" ref="K62" ca="1">_FV(table1[[#This Row],[DataField]],"P/E",TRUE)</f>
        <v>14.182499999999999</v>
      </c>
      <c r="L62" s="2" t="str">
        <f ca="1">IF(table1[[#This Row],[Price]] &lt; (table1[[#This Row],[52Low]] * 0.25) + table1[[#This Row],[52Low]],  "TRUE", "FALSE")</f>
        <v>FALSE</v>
      </c>
      <c r="M62" s="2" t="str">
        <f ca="1">IF(table1[[#This Row],[Price]] &lt; (table1[[#This Row],[52Low]] * 0.1) + table1[[#This Row],[52Low]],  "TRUE", "FALSE")</f>
        <v>FALSE</v>
      </c>
      <c r="N62" s="6" cm="1">
        <f t="array" aca="1" ref="N62" ca="1">_FV(table1[[#This Row],[DataField]],"Market cap",TRUE)</f>
        <v>266147219060</v>
      </c>
    </row>
    <row r="63" spans="1:14" x14ac:dyDescent="0.2">
      <c r="A63" t="e" vm="63">
        <v>#VALUE!</v>
      </c>
      <c r="B63" t="str" cm="1">
        <f t="array" aca="1" ref="B63" ca="1">_FV(table1[[#This Row],[DataField]],"Ticker symbol",TRUE)</f>
        <v>MSFT</v>
      </c>
      <c r="C63" t="b">
        <v>1</v>
      </c>
      <c r="D63" t="s">
        <v>6</v>
      </c>
      <c r="E63" t="b">
        <v>1</v>
      </c>
      <c r="H63" s="2" cm="1">
        <f t="array" aca="1" ref="H63" ca="1">_FV(table1[[#This Row],[DataField]],"Price")</f>
        <v>485.72500000000002</v>
      </c>
      <c r="I63" s="2" cm="1">
        <f t="array" aca="1" ref="I63" ca="1">_FV(table1[[#This Row],[DataField]],"52 week low",TRUE)</f>
        <v>344.79</v>
      </c>
      <c r="J63" s="2" cm="1">
        <f t="array" aca="1" ref="J63" ca="1">_FV(table1[[#This Row],[DataField]],"52 week high",TRUE)</f>
        <v>555.45000000000005</v>
      </c>
      <c r="K63" s="4" cm="1">
        <f t="array" aca="1" ref="K63" ca="1">_FV(table1[[#This Row],[DataField]],"P/E",TRUE)</f>
        <v>34.557899999999997</v>
      </c>
      <c r="L63" s="2" t="str">
        <f ca="1">IF(table1[[#This Row],[Price]] &lt; (table1[[#This Row],[52Low]] * 0.25) + table1[[#This Row],[52Low]],  "TRUE", "FALSE")</f>
        <v>FALSE</v>
      </c>
      <c r="M63" s="2" t="str">
        <f ca="1">IF(table1[[#This Row],[Price]] &lt; (table1[[#This Row],[52Low]] * 0.1) + table1[[#This Row],[52Low]],  "TRUE", "FALSE")</f>
        <v>FALSE</v>
      </c>
      <c r="N63" s="6" cm="1">
        <f t="array" aca="1" ref="N63" ca="1">_FV(table1[[#This Row],[DataField]],"Market cap",TRUE)</f>
        <v>3610091318325</v>
      </c>
    </row>
    <row r="64" spans="1:14" x14ac:dyDescent="0.2">
      <c r="A64" t="e" vm="64">
        <v>#VALUE!</v>
      </c>
      <c r="B64" t="str" cm="1">
        <f t="array" aca="1" ref="B64" ca="1">_FV(table1[[#This Row],[DataField]],"Ticker symbol",TRUE)</f>
        <v>NKE</v>
      </c>
      <c r="C64" t="b">
        <v>1</v>
      </c>
      <c r="D64" t="s">
        <v>7</v>
      </c>
      <c r="E64" t="b">
        <v>1</v>
      </c>
      <c r="H64" s="2" cm="1">
        <f t="array" aca="1" ref="H64" ca="1">_FV(table1[[#This Row],[DataField]],"Price")</f>
        <v>60.755000000000003</v>
      </c>
      <c r="I64" cm="1">
        <f t="array" aca="1" ref="I64" ca="1">_FV(table1[[#This Row],[DataField]],"52 week low",TRUE)</f>
        <v>52.28</v>
      </c>
      <c r="J64" cm="1">
        <f t="array" aca="1" ref="J64" ca="1">_FV(table1[[#This Row],[DataField]],"52 week high",TRUE)</f>
        <v>82.44</v>
      </c>
      <c r="K64" s="4" cm="1">
        <f t="array" aca="1" ref="K64" ca="1">_FV(table1[[#This Row],[DataField]],"P/E",TRUE)</f>
        <v>35.625100000000003</v>
      </c>
      <c r="L64" s="2" t="str">
        <f ca="1">IF(table1[[#This Row],[Price]] &lt; (table1[[#This Row],[52Low]] * 0.25) + table1[[#This Row],[52Low]],  "TRUE", "FALSE")</f>
        <v>TRUE</v>
      </c>
      <c r="M64" s="2" t="str">
        <f ca="1">IF(table1[[#This Row],[Price]] &lt; (table1[[#This Row],[52Low]] * 0.1) + table1[[#This Row],[52Low]],  "TRUE", "FALSE")</f>
        <v>FALSE</v>
      </c>
      <c r="N64" s="6" cm="1">
        <f t="array" aca="1" ref="N64" ca="1">_FV(table1[[#This Row],[DataField]],"Market cap",TRUE)</f>
        <v>89808101755</v>
      </c>
    </row>
    <row r="65" spans="1:14" x14ac:dyDescent="0.2">
      <c r="A65" t="e" vm="65">
        <v>#VALUE!</v>
      </c>
      <c r="B65" t="str" cm="1">
        <f t="array" aca="1" ref="B65" ca="1">_FV(table1[[#This Row],[DataField]],"Ticker symbol",TRUE)</f>
        <v>NOC</v>
      </c>
      <c r="H65" s="2" cm="1">
        <f t="array" aca="1" ref="H65" ca="1">_FV(table1[[#This Row],[DataField]],"Price")</f>
        <v>579.57500000000005</v>
      </c>
      <c r="I65" s="2" cm="1">
        <f t="array" aca="1" ref="I65" ca="1">_FV(table1[[#This Row],[DataField]],"52 week low",TRUE)</f>
        <v>426.24</v>
      </c>
      <c r="J65" s="2" cm="1">
        <f t="array" aca="1" ref="J65" ca="1">_FV(table1[[#This Row],[DataField]],"52 week high",TRUE)</f>
        <v>640.90099999999995</v>
      </c>
      <c r="K65" s="4" cm="1">
        <f t="array" aca="1" ref="K65" ca="1">_FV(table1[[#This Row],[DataField]],"P/E",TRUE)</f>
        <v>20.86</v>
      </c>
      <c r="L65" s="2" t="str">
        <f ca="1">IF(table1[[#This Row],[Price]] &lt; (table1[[#This Row],[52Low]] * 0.25) + table1[[#This Row],[52Low]],  "TRUE", "FALSE")</f>
        <v>FALSE</v>
      </c>
      <c r="M65" s="2" t="str">
        <f ca="1">IF(table1[[#This Row],[Price]] &lt; (table1[[#This Row],[52Low]] * 0.1) + table1[[#This Row],[52Low]],  "TRUE", "FALSE")</f>
        <v>FALSE</v>
      </c>
      <c r="N65" s="6" cm="1">
        <f t="array" aca="1" ref="N65" ca="1">_FV(table1[[#This Row],[DataField]],"Market cap",TRUE)</f>
        <v>82717001957</v>
      </c>
    </row>
    <row r="66" spans="1:14" x14ac:dyDescent="0.2">
      <c r="A66" t="e" vm="66">
        <v>#VALUE!</v>
      </c>
      <c r="B66" t="str" cm="1">
        <f t="array" aca="1" ref="B66" ca="1">_FV(table1[[#This Row],[DataField]],"Ticker symbol",TRUE)</f>
        <v>NVDA</v>
      </c>
      <c r="G66" t="s">
        <v>25</v>
      </c>
      <c r="H66" s="2" cm="1">
        <f t="array" aca="1" ref="H66" ca="1">_FV(table1[[#This Row],[DataField]],"Price")</f>
        <v>187.17</v>
      </c>
      <c r="I66" s="2" cm="1">
        <f t="array" aca="1" ref="I66" ca="1">_FV(table1[[#This Row],[DataField]],"52 week low",TRUE)</f>
        <v>86.62</v>
      </c>
      <c r="J66" s="2" cm="1">
        <f t="array" aca="1" ref="J66" ca="1">_FV(table1[[#This Row],[DataField]],"52 week high",TRUE)</f>
        <v>212.18989999999999</v>
      </c>
      <c r="K66" s="4" cm="1">
        <f t="array" aca="1" ref="K66" ca="1">_FV(table1[[#This Row],[DataField]],"P/E",TRUE)</f>
        <v>46.357900000000001</v>
      </c>
      <c r="L66" s="2" t="str">
        <f ca="1">IF(table1[[#This Row],[Price]] &lt; (table1[[#This Row],[52Low]] * 0.25) + table1[[#This Row],[52Low]],  "TRUE", "FALSE")</f>
        <v>FALSE</v>
      </c>
      <c r="M66" s="2" t="str">
        <f ca="1">IF(table1[[#This Row],[Price]] &lt; (table1[[#This Row],[52Low]] * 0.1) + table1[[#This Row],[52Low]],  "TRUE", "FALSE")</f>
        <v>FALSE</v>
      </c>
      <c r="N66" s="6" cm="1">
        <f t="array" aca="1" ref="N66" ca="1">_FV(table1[[#This Row],[DataField]],"Market cap",TRUE)</f>
        <v>4548231000000</v>
      </c>
    </row>
    <row r="67" spans="1:14" x14ac:dyDescent="0.2">
      <c r="A67" t="e" vm="67">
        <v>#VALUE!</v>
      </c>
      <c r="B67" t="str" cm="1">
        <f t="array" aca="1" ref="B67" ca="1">_FV(table1[[#This Row],[DataField]],"Ticker symbol",TRUE)</f>
        <v>O</v>
      </c>
      <c r="C67" t="b">
        <v>1</v>
      </c>
      <c r="D67" t="s">
        <v>14</v>
      </c>
      <c r="E67" t="b">
        <v>1</v>
      </c>
      <c r="H67" s="2" cm="1">
        <f t="array" aca="1" ref="H67" ca="1">_FV(table1[[#This Row],[DataField]],"Price")</f>
        <v>56.901200000000003</v>
      </c>
      <c r="I67" s="2" cm="1">
        <f t="array" aca="1" ref="I67" ca="1">_FV(table1[[#This Row],[DataField]],"52 week low",TRUE)</f>
        <v>50.71</v>
      </c>
      <c r="J67" s="2" cm="1">
        <f t="array" aca="1" ref="J67" ca="1">_FV(table1[[#This Row],[DataField]],"52 week high",TRUE)</f>
        <v>61.085000000000001</v>
      </c>
      <c r="K67" s="4" cm="1">
        <f t="array" aca="1" ref="K67" ca="1">_FV(table1[[#This Row],[DataField]],"P/E",TRUE)</f>
        <v>53.1539</v>
      </c>
      <c r="L67" s="2" t="str">
        <f ca="1">IF(table1[[#This Row],[Price]] &lt; (table1[[#This Row],[52Low]] * 0.25) + table1[[#This Row],[52Low]],  "TRUE", "FALSE")</f>
        <v>TRUE</v>
      </c>
      <c r="M67" s="2" t="str">
        <f ca="1">IF(table1[[#This Row],[Price]] &lt; (table1[[#This Row],[52Low]] * 0.1) + table1[[#This Row],[52Low]],  "TRUE", "FALSE")</f>
        <v>FALSE</v>
      </c>
      <c r="N67" s="6" cm="1">
        <f t="array" aca="1" ref="N67" ca="1">_FV(table1[[#This Row],[DataField]],"Market cap",TRUE)</f>
        <v>52343743906</v>
      </c>
    </row>
    <row r="68" spans="1:14" x14ac:dyDescent="0.2">
      <c r="A68" t="e" vm="68">
        <v>#VALUE!</v>
      </c>
      <c r="B68" t="str" cm="1">
        <f t="array" aca="1" ref="B68" ca="1">_FV(table1[[#This Row],[DataField]],"Ticker symbol",TRUE)</f>
        <v>PEP</v>
      </c>
      <c r="C68" t="b">
        <v>1</v>
      </c>
      <c r="D68" t="s">
        <v>5</v>
      </c>
      <c r="E68" t="b">
        <v>1</v>
      </c>
      <c r="H68" s="2" cm="1">
        <f t="array" aca="1" ref="H68" ca="1">_FV(table1[[#This Row],[DataField]],"Price")</f>
        <v>144.19</v>
      </c>
      <c r="I68" s="2" cm="1">
        <f t="array" aca="1" ref="I68" ca="1">_FV(table1[[#This Row],[DataField]],"52 week low",TRUE)</f>
        <v>127.6</v>
      </c>
      <c r="J68" s="2" cm="1">
        <f t="array" aca="1" ref="J68" ca="1">_FV(table1[[#This Row],[DataField]],"52 week high",TRUE)</f>
        <v>160.15</v>
      </c>
      <c r="K68" s="4" cm="1">
        <f t="array" aca="1" ref="K68" ca="1">_FV(table1[[#This Row],[DataField]],"P/E",TRUE)</f>
        <v>27.4178</v>
      </c>
      <c r="L68" s="2" t="str">
        <f ca="1">IF(table1[[#This Row],[Price]] &lt; (table1[[#This Row],[52Low]] * 0.25) + table1[[#This Row],[52Low]],  "TRUE", "FALSE")</f>
        <v>TRUE</v>
      </c>
      <c r="M68" s="2" t="str">
        <f ca="1">IF(table1[[#This Row],[Price]] &lt; (table1[[#This Row],[52Low]] * 0.1) + table1[[#This Row],[52Low]],  "TRUE", "FALSE")</f>
        <v>FALSE</v>
      </c>
      <c r="N68" s="6" cm="1">
        <f t="array" aca="1" ref="N68" ca="1">_FV(table1[[#This Row],[DataField]],"Market cap",TRUE)</f>
        <v>197156754600</v>
      </c>
    </row>
    <row r="69" spans="1:14" x14ac:dyDescent="0.2">
      <c r="A69" t="e" vm="69">
        <v>#VALUE!</v>
      </c>
      <c r="B69" t="str" cm="1">
        <f t="array" aca="1" ref="B69" ca="1">_FV(table1[[#This Row],[DataField]],"Ticker symbol",TRUE)</f>
        <v>PFE</v>
      </c>
      <c r="H69" s="2" cm="1">
        <f t="array" aca="1" ref="H69" ca="1">_FV(table1[[#This Row],[DataField]],"Price")</f>
        <v>25.085599999999999</v>
      </c>
      <c r="I69" s="2" cm="1">
        <f t="array" aca="1" ref="I69" ca="1">_FV(table1[[#This Row],[DataField]],"52 week low",TRUE)</f>
        <v>20.914999999999999</v>
      </c>
      <c r="J69" s="2" cm="1">
        <f t="array" aca="1" ref="J69" ca="1">_FV(table1[[#This Row],[DataField]],"52 week high",TRUE)</f>
        <v>27.69</v>
      </c>
      <c r="K69" s="4" cm="1">
        <f t="array" aca="1" ref="K69" ca="1">_FV(table1[[#This Row],[DataField]],"P/E",TRUE)</f>
        <v>14.6221</v>
      </c>
      <c r="L69" s="2" t="str">
        <f ca="1">IF(table1[[#This Row],[Price]] &lt; (table1[[#This Row],[52Low]] * 0.25) + table1[[#This Row],[52Low]],  "TRUE", "FALSE")</f>
        <v>TRUE</v>
      </c>
      <c r="M69" s="2" t="str">
        <f ca="1">IF(table1[[#This Row],[Price]] &lt; (table1[[#This Row],[52Low]] * 0.1) + table1[[#This Row],[52Low]],  "TRUE", "FALSE")</f>
        <v>FALSE</v>
      </c>
      <c r="N69" s="6" cm="1">
        <f t="array" aca="1" ref="N69" ca="1">_FV(table1[[#This Row],[DataField]],"Market cap",TRUE)</f>
        <v>142629396604</v>
      </c>
    </row>
    <row r="70" spans="1:14" x14ac:dyDescent="0.2">
      <c r="A70" t="e" vm="70">
        <v>#VALUE!</v>
      </c>
      <c r="B70" t="str" cm="1">
        <f t="array" aca="1" ref="B70" ca="1">_FV(table1[[#This Row],[DataField]],"Ticker symbol",TRUE)</f>
        <v>QCOM</v>
      </c>
      <c r="H70" s="2" cm="1">
        <f t="array" aca="1" ref="H70" ca="1">_FV(table1[[#This Row],[DataField]],"Price")</f>
        <v>173.69</v>
      </c>
      <c r="I70" s="2" cm="1">
        <f t="array" aca="1" ref="I70" ca="1">_FV(table1[[#This Row],[DataField]],"52 week low",TRUE)</f>
        <v>120.8019</v>
      </c>
      <c r="J70" s="2" cm="1">
        <f t="array" aca="1" ref="J70" ca="1">_FV(table1[[#This Row],[DataField]],"52 week high",TRUE)</f>
        <v>205.95</v>
      </c>
      <c r="K70" s="4" cm="1">
        <f t="array" aca="1" ref="K70" ca="1">_FV(table1[[#This Row],[DataField]],"P/E",TRUE)</f>
        <v>35.515099999999997</v>
      </c>
      <c r="L70" s="2" t="str">
        <f ca="1">IF(table1[[#This Row],[Price]] &lt; (table1[[#This Row],[52Low]] * 0.25) + table1[[#This Row],[52Low]],  "TRUE", "FALSE")</f>
        <v>FALSE</v>
      </c>
      <c r="M70" s="2" t="str">
        <f ca="1">IF(table1[[#This Row],[Price]] &lt; (table1[[#This Row],[52Low]] * 0.1) + table1[[#This Row],[52Low]],  "TRUE", "FALSE")</f>
        <v>FALSE</v>
      </c>
      <c r="N70" s="6" cm="1">
        <f t="array" aca="1" ref="N70" ca="1">_FV(table1[[#This Row],[DataField]],"Market cap",TRUE)</f>
        <v>186869900000</v>
      </c>
    </row>
    <row r="71" spans="1:14" x14ac:dyDescent="0.2">
      <c r="A71" t="e" vm="71">
        <v>#VALUE!</v>
      </c>
      <c r="B71" t="str" cm="1">
        <f t="array" aca="1" ref="B71" ca="1">_FV(table1[[#This Row],[DataField]],"Ticker symbol",TRUE)</f>
        <v>SCHW</v>
      </c>
      <c r="H71" s="2" cm="1">
        <f t="array" aca="1" ref="H71" ca="1">_FV(table1[[#This Row],[DataField]],"Price")</f>
        <v>101.61</v>
      </c>
      <c r="I71" s="2" cm="1">
        <f t="array" aca="1" ref="I71" ca="1">_FV(table1[[#This Row],[DataField]],"52 week low",TRUE)</f>
        <v>65.88</v>
      </c>
      <c r="J71" s="2" cm="1">
        <f t="array" aca="1" ref="J71" ca="1">_FV(table1[[#This Row],[DataField]],"52 week high",TRUE)</f>
        <v>102.28</v>
      </c>
      <c r="K71" s="4" cm="1">
        <f t="array" aca="1" ref="K71" ca="1">_FV(table1[[#This Row],[DataField]],"P/E",TRUE)</f>
        <v>23.825800000000001</v>
      </c>
      <c r="L71" s="2" t="str">
        <f ca="1">IF(table1[[#This Row],[Price]] &lt; (table1[[#This Row],[52Low]] * 0.25) + table1[[#This Row],[52Low]],  "TRUE", "FALSE")</f>
        <v>FALSE</v>
      </c>
      <c r="M71" s="2" t="str">
        <f ca="1">IF(table1[[#This Row],[Price]] &lt; (table1[[#This Row],[52Low]] * 0.1) + table1[[#This Row],[52Low]],  "TRUE", "FALSE")</f>
        <v>FALSE</v>
      </c>
      <c r="N71" s="6" cm="1">
        <f t="array" aca="1" ref="N71" ca="1">_FV(table1[[#This Row],[DataField]],"Market cap",TRUE)</f>
        <v>180554568570</v>
      </c>
    </row>
    <row r="72" spans="1:14" x14ac:dyDescent="0.2">
      <c r="A72" t="e" vm="72">
        <v>#VALUE!</v>
      </c>
      <c r="B72" t="str" cm="1">
        <f t="array" aca="1" ref="B72" ca="1">_FV(table1[[#This Row],[DataField]],"Ticker symbol",TRUE)</f>
        <v>SHW</v>
      </c>
      <c r="H72" s="2" cm="1">
        <f t="array" aca="1" ref="H72" ca="1">_FV(table1[[#This Row],[DataField]],"Price")</f>
        <v>324.99</v>
      </c>
      <c r="I72" s="2" cm="1">
        <f t="array" aca="1" ref="I72" ca="1">_FV(table1[[#This Row],[DataField]],"52 week low",TRUE)</f>
        <v>308.83999999999997</v>
      </c>
      <c r="J72" s="2" cm="1">
        <f t="array" aca="1" ref="J72" ca="1">_FV(table1[[#This Row],[DataField]],"52 week high",TRUE)</f>
        <v>379.65</v>
      </c>
      <c r="K72" s="4" cm="1">
        <f t="array" aca="1" ref="K72" ca="1">_FV(table1[[#This Row],[DataField]],"P/E",TRUE)</f>
        <v>31.718399999999999</v>
      </c>
      <c r="L72" s="2" t="str">
        <f ca="1">IF(table1[[#This Row],[Price]] &lt; (table1[[#This Row],[52Low]] * 0.25) + table1[[#This Row],[52Low]],  "TRUE", "FALSE")</f>
        <v>TRUE</v>
      </c>
      <c r="M72" s="2" t="str">
        <f ca="1">IF(table1[[#This Row],[Price]] &lt; (table1[[#This Row],[52Low]] * 0.1) + table1[[#This Row],[52Low]],  "TRUE", "FALSE")</f>
        <v>TRUE</v>
      </c>
      <c r="N72" s="6" cm="1">
        <f t="array" aca="1" ref="N72" ca="1">_FV(table1[[#This Row],[DataField]],"Market cap",TRUE)</f>
        <v>80562908565</v>
      </c>
    </row>
    <row r="73" spans="1:14" x14ac:dyDescent="0.2">
      <c r="A73" t="e" vm="73">
        <v>#VALUE!</v>
      </c>
      <c r="B73" t="str" cm="1">
        <f t="array" aca="1" ref="B73" ca="1">_FV(table1[[#This Row],[DataField]],"Ticker symbol",TRUE)</f>
        <v>SJM</v>
      </c>
      <c r="C73" t="b">
        <v>1</v>
      </c>
      <c r="D73" t="s">
        <v>5</v>
      </c>
      <c r="E73" t="b">
        <v>0</v>
      </c>
      <c r="H73" s="2" cm="1">
        <f t="array" aca="1" ref="H73" ca="1">_FV(table1[[#This Row],[DataField]],"Price")</f>
        <v>98.64</v>
      </c>
      <c r="I73" s="2" cm="1">
        <f t="array" aca="1" ref="I73" ca="1">_FV(table1[[#This Row],[DataField]],"52 week low",TRUE)</f>
        <v>93.3</v>
      </c>
      <c r="J73" s="2" cm="1">
        <f t="array" aca="1" ref="J73" ca="1">_FV(table1[[#This Row],[DataField]],"52 week high",TRUE)</f>
        <v>121.48</v>
      </c>
      <c r="K73" s="4" cm="1">
        <f t="array" aca="1" ref="K73" ca="1">_FV(table1[[#This Row],[DataField]],"P/E",TRUE)</f>
        <v>0</v>
      </c>
      <c r="L73" s="2" t="str">
        <f ca="1">IF(table1[[#This Row],[Price]] &lt; (table1[[#This Row],[52Low]] * 0.25) + table1[[#This Row],[52Low]],  "TRUE", "FALSE")</f>
        <v>TRUE</v>
      </c>
      <c r="M73" s="2" t="str">
        <f ca="1">IF(table1[[#This Row],[Price]] &lt; (table1[[#This Row],[52Low]] * 0.1) + table1[[#This Row],[52Low]],  "TRUE", "FALSE")</f>
        <v>TRUE</v>
      </c>
      <c r="N73" s="6" cm="1">
        <f t="array" aca="1" ref="N73" ca="1">_FV(table1[[#This Row],[DataField]],"Market cap",TRUE)</f>
        <v>10524325752</v>
      </c>
    </row>
    <row r="74" spans="1:14" x14ac:dyDescent="0.2">
      <c r="A74" t="e" vm="74">
        <v>#VALUE!</v>
      </c>
      <c r="B74" t="str" cm="1">
        <f t="array" aca="1" ref="B74" ca="1">_FV(table1[[#This Row],[DataField]],"Ticker symbol",TRUE)</f>
        <v>SNA</v>
      </c>
      <c r="H74" s="2" cm="1">
        <f t="array" aca="1" ref="H74" ca="1">_FV(table1[[#This Row],[DataField]],"Price")</f>
        <v>354.24990000000003</v>
      </c>
      <c r="I74" s="2" cm="1">
        <f t="array" aca="1" ref="I74" ca="1">_FV(table1[[#This Row],[DataField]],"52 week low",TRUE)</f>
        <v>289.81</v>
      </c>
      <c r="J74" s="2" cm="1">
        <f t="array" aca="1" ref="J74" ca="1">_FV(table1[[#This Row],[DataField]],"52 week high",TRUE)</f>
        <v>365.78</v>
      </c>
      <c r="K74" s="4" cm="1">
        <f t="array" aca="1" ref="K74" ca="1">_FV(table1[[#This Row],[DataField]],"P/E",TRUE)</f>
        <v>18.5703</v>
      </c>
      <c r="L74" s="2" t="str">
        <f ca="1">IF(table1[[#This Row],[Price]] &lt; (table1[[#This Row],[52Low]] * 0.25) + table1[[#This Row],[52Low]],  "TRUE", "FALSE")</f>
        <v>TRUE</v>
      </c>
      <c r="M74" s="2" t="str">
        <f ca="1">IF(table1[[#This Row],[Price]] &lt; (table1[[#This Row],[52Low]] * 0.1) + table1[[#This Row],[52Low]],  "TRUE", "FALSE")</f>
        <v>FALSE</v>
      </c>
      <c r="N74" s="6" cm="1">
        <f t="array" aca="1" ref="N74" ca="1">_FV(table1[[#This Row],[DataField]],"Market cap",TRUE)</f>
        <v>18423672929</v>
      </c>
    </row>
    <row r="75" spans="1:14" x14ac:dyDescent="0.2">
      <c r="A75" t="e" vm="75">
        <v>#VALUE!</v>
      </c>
      <c r="B75" t="str" cm="1">
        <f t="array" aca="1" ref="B75" ca="1">_FV(table1[[#This Row],[DataField]],"Ticker symbol",TRUE)</f>
        <v>SO</v>
      </c>
      <c r="H75" s="2" cm="1">
        <f t="array" aca="1" ref="H75" ca="1">_FV(table1[[#This Row],[DataField]],"Price")</f>
        <v>87.99</v>
      </c>
      <c r="I75" s="2" cm="1">
        <f t="array" aca="1" ref="I75" ca="1">_FV(table1[[#This Row],[DataField]],"52 week low",TRUE)</f>
        <v>80.459999999999994</v>
      </c>
      <c r="J75" s="2" cm="1">
        <f t="array" aca="1" ref="J75" ca="1">_FV(table1[[#This Row],[DataField]],"52 week high",TRUE)</f>
        <v>100.83499999999999</v>
      </c>
      <c r="K75" s="4" cm="1">
        <f t="array" aca="1" ref="K75" ca="1">_FV(table1[[#This Row],[DataField]],"P/E",TRUE)</f>
        <v>21.847300000000001</v>
      </c>
      <c r="L75" s="2" t="str">
        <f ca="1">IF(table1[[#This Row],[Price]] &lt; (table1[[#This Row],[52Low]] * 0.25) + table1[[#This Row],[52Low]],  "TRUE", "FALSE")</f>
        <v>TRUE</v>
      </c>
      <c r="M75" s="2" t="str">
        <f ca="1">IF(table1[[#This Row],[Price]] &lt; (table1[[#This Row],[52Low]] * 0.1) + table1[[#This Row],[52Low]],  "TRUE", "FALSE")</f>
        <v>TRUE</v>
      </c>
      <c r="N75" s="6" cm="1">
        <f t="array" aca="1" ref="N75" ca="1">_FV(table1[[#This Row],[DataField]],"Market cap",TRUE)</f>
        <v>96886228950</v>
      </c>
    </row>
    <row r="76" spans="1:14" x14ac:dyDescent="0.2">
      <c r="A76" t="e" vm="76">
        <v>#VALUE!</v>
      </c>
      <c r="B76" t="str" cm="1">
        <f t="array" aca="1" ref="B76" ca="1">_FV(table1[[#This Row],[DataField]],"Ticker symbol",TRUE)</f>
        <v>SPG</v>
      </c>
      <c r="C76" t="b">
        <v>1</v>
      </c>
      <c r="D76" t="s">
        <v>14</v>
      </c>
      <c r="E76" t="b">
        <v>1</v>
      </c>
      <c r="H76" s="2" cm="1">
        <f t="array" aca="1" ref="H76" ca="1">_FV(table1[[#This Row],[DataField]],"Price")</f>
        <v>187.83009999999999</v>
      </c>
      <c r="I76" s="2" cm="1">
        <f t="array" aca="1" ref="I76" ca="1">_FV(table1[[#This Row],[DataField]],"52 week low",TRUE)</f>
        <v>136.34</v>
      </c>
      <c r="J76" s="2" cm="1">
        <f t="array" aca="1" ref="J76" ca="1">_FV(table1[[#This Row],[DataField]],"52 week high",TRUE)</f>
        <v>190.13499999999999</v>
      </c>
      <c r="K76" s="4" cm="1">
        <f t="array" aca="1" ref="K76" ca="1">_FV(table1[[#This Row],[DataField]],"P/E",TRUE)</f>
        <v>21.9893</v>
      </c>
      <c r="L76" s="2" t="str">
        <f ca="1">IF(table1[[#This Row],[Price]] &lt; (table1[[#This Row],[52Low]] * 0.25) + table1[[#This Row],[52Low]],  "TRUE", "FALSE")</f>
        <v>FALSE</v>
      </c>
      <c r="M76" s="2" t="str">
        <f ca="1">IF(table1[[#This Row],[Price]] &lt; (table1[[#This Row],[52Low]] * 0.1) + table1[[#This Row],[52Low]],  "TRUE", "FALSE")</f>
        <v>FALSE</v>
      </c>
      <c r="N76" s="6" cm="1">
        <f t="array" aca="1" ref="N76" ca="1">_FV(table1[[#This Row],[DataField]],"Market cap",TRUE)</f>
        <v>61320911530</v>
      </c>
    </row>
    <row r="77" spans="1:14" x14ac:dyDescent="0.2">
      <c r="A77" t="e" vm="77">
        <v>#VALUE!</v>
      </c>
      <c r="B77" t="str" cm="1">
        <f t="array" aca="1" ref="B77" ca="1">_FV(table1[[#This Row],[DataField]],"Ticker symbol",TRUE)</f>
        <v>SPGI</v>
      </c>
      <c r="H77" s="2" cm="1">
        <f t="array" aca="1" ref="H77" ca="1">_FV(table1[[#This Row],[DataField]],"Price")</f>
        <v>531.11</v>
      </c>
      <c r="I77" s="2" cm="1">
        <f t="array" aca="1" ref="I77" ca="1">_FV(table1[[#This Row],[DataField]],"52 week low",TRUE)</f>
        <v>427.14</v>
      </c>
      <c r="J77" s="2" cm="1">
        <f t="array" aca="1" ref="J77" ca="1">_FV(table1[[#This Row],[DataField]],"52 week high",TRUE)</f>
        <v>579.04999999999995</v>
      </c>
      <c r="K77" s="4" cm="1">
        <f t="array" aca="1" ref="K77" ca="1">_FV(table1[[#This Row],[DataField]],"P/E",TRUE)</f>
        <v>38.610999999999997</v>
      </c>
      <c r="L77" s="2" t="str">
        <f ca="1">IF(table1[[#This Row],[Price]] &lt; (table1[[#This Row],[52Low]] * 0.25) + table1[[#This Row],[52Low]],  "TRUE", "FALSE")</f>
        <v>TRUE</v>
      </c>
      <c r="M77" s="2" t="str">
        <f ca="1">IF(table1[[#This Row],[Price]] &lt; (table1[[#This Row],[52Low]] * 0.1) + table1[[#This Row],[52Low]],  "TRUE", "FALSE")</f>
        <v>FALSE</v>
      </c>
      <c r="N77" s="6" cm="1">
        <f t="array" aca="1" ref="N77" ca="1">_FV(table1[[#This Row],[DataField]],"Market cap",TRUE)</f>
        <v>160820108000</v>
      </c>
    </row>
    <row r="78" spans="1:14" x14ac:dyDescent="0.2">
      <c r="A78" t="e" vm="78">
        <v>#VALUE!</v>
      </c>
      <c r="B78" t="str" cm="1">
        <f t="array" aca="1" ref="B78" ca="1">_FV(table1[[#This Row],[DataField]],"Ticker symbol",TRUE)</f>
        <v>T</v>
      </c>
      <c r="C78" t="b">
        <v>1</v>
      </c>
      <c r="D78" t="s">
        <v>10</v>
      </c>
      <c r="E78" t="b">
        <v>1</v>
      </c>
      <c r="H78" s="2" cm="1">
        <f t="array" aca="1" ref="H78" ca="1">_FV(table1[[#This Row],[DataField]],"Price")</f>
        <v>24.835000000000001</v>
      </c>
      <c r="I78" s="2" cm="1">
        <f t="array" aca="1" ref="I78" ca="1">_FV(table1[[#This Row],[DataField]],"52 week low",TRUE)</f>
        <v>21.38</v>
      </c>
      <c r="J78" s="2" cm="1">
        <f t="array" aca="1" ref="J78" ca="1">_FV(table1[[#This Row],[DataField]],"52 week high",TRUE)</f>
        <v>29.79</v>
      </c>
      <c r="K78" s="4" cm="1">
        <f t="array" aca="1" ref="K78" ca="1">_FV(table1[[#This Row],[DataField]],"P/E",TRUE)</f>
        <v>8.0582999999999991</v>
      </c>
      <c r="L78" s="2" t="str">
        <f ca="1">IF(table1[[#This Row],[Price]] &lt; (table1[[#This Row],[52Low]] * 0.25) + table1[[#This Row],[52Low]],  "TRUE", "FALSE")</f>
        <v>TRUE</v>
      </c>
      <c r="M78" s="2" t="str">
        <f ca="1">IF(table1[[#This Row],[Price]] &lt; (table1[[#This Row],[52Low]] * 0.1) + table1[[#This Row],[52Low]],  "TRUE", "FALSE")</f>
        <v>FALSE</v>
      </c>
      <c r="N78" s="6" cm="1">
        <f t="array" aca="1" ref="N78" ca="1">_FV(table1[[#This Row],[DataField]],"Market cap",TRUE)</f>
        <v>176066490750</v>
      </c>
    </row>
    <row r="79" spans="1:14" x14ac:dyDescent="0.2">
      <c r="A79" t="e" vm="79">
        <v>#VALUE!</v>
      </c>
      <c r="B79" t="str" cm="1">
        <f t="array" aca="1" ref="B79" ca="1">_FV(table1[[#This Row],[DataField]],"Ticker symbol",TRUE)</f>
        <v>TGT</v>
      </c>
      <c r="H79" s="2" cm="1">
        <f t="array" aca="1" ref="H79" ca="1">_FV(table1[[#This Row],[DataField]],"Price")</f>
        <v>98.67</v>
      </c>
      <c r="I79" s="2" cm="1">
        <f t="array" aca="1" ref="I79" ca="1">_FV(table1[[#This Row],[DataField]],"52 week low",TRUE)</f>
        <v>83.44</v>
      </c>
      <c r="J79" s="2" cm="1">
        <f t="array" aca="1" ref="J79" ca="1">_FV(table1[[#This Row],[DataField]],"52 week high",TRUE)</f>
        <v>145.08000000000001</v>
      </c>
      <c r="K79" s="4" cm="1">
        <f t="array" aca="1" ref="K79" ca="1">_FV(table1[[#This Row],[DataField]],"P/E",TRUE)</f>
        <v>11.9726</v>
      </c>
      <c r="L79" s="2" t="str">
        <f ca="1">IF(table1[[#This Row],[Price]] &lt; (table1[[#This Row],[52Low]] * 0.25) + table1[[#This Row],[52Low]],  "TRUE", "FALSE")</f>
        <v>TRUE</v>
      </c>
      <c r="M79" s="2" t="str">
        <f ca="1">IF(table1[[#This Row],[Price]] &lt; (table1[[#This Row],[52Low]] * 0.1) + table1[[#This Row],[52Low]],  "TRUE", "FALSE")</f>
        <v>FALSE</v>
      </c>
      <c r="N79" s="6" cm="1">
        <f t="array" aca="1" ref="N79" ca="1">_FV(table1[[#This Row],[DataField]],"Market cap",TRUE)</f>
        <v>44678407488</v>
      </c>
    </row>
    <row r="80" spans="1:14" x14ac:dyDescent="0.2">
      <c r="A80" t="e" vm="80">
        <v>#VALUE!</v>
      </c>
      <c r="B80" t="str" cm="1">
        <f t="array" aca="1" ref="B80" ca="1">_FV(table1[[#This Row],[DataField]],"Ticker symbol",TRUE)</f>
        <v>TROW</v>
      </c>
      <c r="C80" t="b">
        <v>1</v>
      </c>
      <c r="D80" t="s">
        <v>8</v>
      </c>
      <c r="E80" t="b">
        <v>1</v>
      </c>
      <c r="H80" s="2" cm="1">
        <f t="array" aca="1" ref="H80" ca="1">_FV(table1[[#This Row],[DataField]],"Price")</f>
        <v>104.71</v>
      </c>
      <c r="I80" s="2" cm="1">
        <f t="array" aca="1" ref="I80" ca="1">_FV(table1[[#This Row],[DataField]],"52 week low",TRUE)</f>
        <v>77.849999999999994</v>
      </c>
      <c r="J80" s="2" cm="1">
        <f t="array" aca="1" ref="J80" ca="1">_FV(table1[[#This Row],[DataField]],"52 week high",TRUE)</f>
        <v>118.32</v>
      </c>
      <c r="K80" s="4" cm="1">
        <f t="array" aca="1" ref="K80" ca="1">_FV(table1[[#This Row],[DataField]],"P/E",TRUE)</f>
        <v>11.405200000000001</v>
      </c>
      <c r="L80" s="2" t="str">
        <f ca="1">IF(table1[[#This Row],[Price]] &lt; (table1[[#This Row],[52Low]] * 0.25) + table1[[#This Row],[52Low]],  "TRUE", "FALSE")</f>
        <v>FALSE</v>
      </c>
      <c r="M80" s="2" t="str">
        <f ca="1">IF(table1[[#This Row],[Price]] &lt; (table1[[#This Row],[52Low]] * 0.1) + table1[[#This Row],[52Low]],  "TRUE", "FALSE")</f>
        <v>FALSE</v>
      </c>
      <c r="N80" s="6" cm="1">
        <f t="array" aca="1" ref="N80" ca="1">_FV(table1[[#This Row],[DataField]],"Market cap",TRUE)</f>
        <v>22851596270</v>
      </c>
    </row>
    <row r="81" spans="1:14" x14ac:dyDescent="0.2">
      <c r="A81" t="e" vm="81">
        <v>#VALUE!</v>
      </c>
      <c r="B81" t="str" cm="1">
        <f t="array" aca="1" ref="B81" ca="1">_FV(table1[[#This Row],[DataField]],"Ticker symbol",TRUE)</f>
        <v>TSM</v>
      </c>
      <c r="H81" s="2" cm="1">
        <f t="array" aca="1" ref="H81" ca="1">_FV(table1[[#This Row],[DataField]],"Price")</f>
        <v>300.07</v>
      </c>
      <c r="I81" s="2" cm="1">
        <f t="array" aca="1" ref="I81" ca="1">_FV(table1[[#This Row],[DataField]],"52 week low",TRUE)</f>
        <v>134.25</v>
      </c>
      <c r="J81" s="2" cm="1">
        <f t="array" aca="1" ref="J81" ca="1">_FV(table1[[#This Row],[DataField]],"52 week high",TRUE)</f>
        <v>313.98</v>
      </c>
      <c r="K81" s="4" cm="1">
        <f t="array" aca="1" ref="K81" ca="1">_FV(table1[[#This Row],[DataField]],"P/E",TRUE)</f>
        <v>29.858899999999998</v>
      </c>
      <c r="L81" s="2" t="str">
        <f ca="1">IF(table1[[#This Row],[Price]] &lt; (table1[[#This Row],[52Low]] * 0.25) + table1[[#This Row],[52Low]],  "TRUE", "FALSE")</f>
        <v>FALSE</v>
      </c>
      <c r="M81" s="2" t="str">
        <f ca="1">IF(table1[[#This Row],[Price]] &lt; (table1[[#This Row],[52Low]] * 0.1) + table1[[#This Row],[52Low]],  "TRUE", "FALSE")</f>
        <v>FALSE</v>
      </c>
      <c r="N81" s="6" cm="1">
        <f t="array" aca="1" ref="N81" ca="1">_FV(table1[[#This Row],[DataField]],"Market cap",TRUE)</f>
        <v>1246002000000</v>
      </c>
    </row>
    <row r="82" spans="1:14" x14ac:dyDescent="0.2">
      <c r="A82" t="e" vm="82">
        <v>#VALUE!</v>
      </c>
      <c r="B82" t="str" cm="1">
        <f t="array" aca="1" ref="B82" ca="1">_FV(table1[[#This Row],[DataField]],"Ticker symbol",TRUE)</f>
        <v>TSN</v>
      </c>
      <c r="C82" t="b">
        <v>1</v>
      </c>
      <c r="D82" t="s">
        <v>5</v>
      </c>
      <c r="E82" t="b">
        <v>1</v>
      </c>
      <c r="H82" s="2" cm="1">
        <f t="array" aca="1" ref="H82" ca="1">_FV(table1[[#This Row],[DataField]],"Price")</f>
        <v>58.424999999999997</v>
      </c>
      <c r="I82" s="2" cm="1">
        <f t="array" aca="1" ref="I82" ca="1">_FV(table1[[#This Row],[DataField]],"52 week low",TRUE)</f>
        <v>50.56</v>
      </c>
      <c r="J82" s="2" cm="1">
        <f t="array" aca="1" ref="J82" ca="1">_FV(table1[[#This Row],[DataField]],"52 week high",TRUE)</f>
        <v>64.36</v>
      </c>
      <c r="K82" s="4" cm="1">
        <f t="array" aca="1" ref="K82" ca="1">_FV(table1[[#This Row],[DataField]],"P/E",TRUE)</f>
        <v>43.639800000000001</v>
      </c>
      <c r="L82" s="2" t="str">
        <f ca="1">IF(table1[[#This Row],[Price]] &lt; (table1[[#This Row],[52Low]] * 0.25) + table1[[#This Row],[52Low]],  "TRUE", "FALSE")</f>
        <v>TRUE</v>
      </c>
      <c r="M82" s="2" t="str">
        <f ca="1">IF(table1[[#This Row],[Price]] &lt; (table1[[#This Row],[52Low]] * 0.1) + table1[[#This Row],[52Low]],  "TRUE", "FALSE")</f>
        <v>FALSE</v>
      </c>
      <c r="N82" s="6" cm="1">
        <f t="array" aca="1" ref="N82" ca="1">_FV(table1[[#This Row],[DataField]],"Market cap",TRUE)</f>
        <v>20627349382</v>
      </c>
    </row>
    <row r="83" spans="1:14" x14ac:dyDescent="0.2">
      <c r="A83" t="e" vm="83">
        <v>#VALUE!</v>
      </c>
      <c r="B83" t="str" cm="1">
        <f t="array" aca="1" ref="B83" ca="1">_FV(table1[[#This Row],[DataField]],"Ticker symbol",TRUE)</f>
        <v>TXN</v>
      </c>
      <c r="C83" t="b">
        <v>1</v>
      </c>
      <c r="D83" t="s">
        <v>6</v>
      </c>
      <c r="E83" t="b">
        <v>1</v>
      </c>
      <c r="H83" s="2" cm="1">
        <f t="array" aca="1" ref="H83" ca="1">_FV(table1[[#This Row],[DataField]],"Price")</f>
        <v>175.28</v>
      </c>
      <c r="I83" s="2" cm="1">
        <f t="array" aca="1" ref="I83" ca="1">_FV(table1[[#This Row],[DataField]],"52 week low",TRUE)</f>
        <v>139.94999999999999</v>
      </c>
      <c r="J83" s="2" cm="1">
        <f t="array" aca="1" ref="J83" ca="1">_FV(table1[[#This Row],[DataField]],"52 week high",TRUE)</f>
        <v>221.69</v>
      </c>
      <c r="K83" s="4" cm="1">
        <f t="array" aca="1" ref="K83" ca="1">_FV(table1[[#This Row],[DataField]],"P/E",TRUE)</f>
        <v>31.9848</v>
      </c>
      <c r="L83" s="2" t="str">
        <f ca="1">IF(table1[[#This Row],[Price]] &lt; (table1[[#This Row],[52Low]] * 0.25) + table1[[#This Row],[52Low]],  "TRUE", "FALSE")</f>
        <v>FALSE</v>
      </c>
      <c r="M83" s="2" t="str">
        <f ca="1">IF(table1[[#This Row],[Price]] &lt; (table1[[#This Row],[52Low]] * 0.1) + table1[[#This Row],[52Low]],  "TRUE", "FALSE")</f>
        <v>FALSE</v>
      </c>
      <c r="N83" s="6" cm="1">
        <f t="array" aca="1" ref="N83" ca="1">_FV(table1[[#This Row],[DataField]],"Market cap",TRUE)</f>
        <v>159263439440</v>
      </c>
    </row>
    <row r="84" spans="1:14" x14ac:dyDescent="0.2">
      <c r="A84" t="e" vm="84">
        <v>#VALUE!</v>
      </c>
      <c r="B84" t="str" cm="1">
        <f t="array" aca="1" ref="B84" ca="1">_FV(table1[[#This Row],[DataField]],"Ticker symbol",TRUE)</f>
        <v>UNH</v>
      </c>
      <c r="H84" s="2" cm="1">
        <f t="array" aca="1" ref="H84" ca="1">_FV(table1[[#This Row],[DataField]],"Price")</f>
        <v>280.7</v>
      </c>
      <c r="I84" s="2" cm="1">
        <f t="array" aca="1" ref="I84" ca="1">_FV(table1[[#This Row],[DataField]],"52 week low",TRUE)</f>
        <v>168.42</v>
      </c>
      <c r="J84" s="2" cm="1">
        <f t="array" aca="1" ref="J84" ca="1">_FV(table1[[#This Row],[DataField]],"52 week high",TRUE)</f>
        <v>589.70000000000005</v>
      </c>
      <c r="K84" s="4" cm="1">
        <f t="array" aca="1" ref="K84" ca="1">_FV(table1[[#This Row],[DataField]],"P/E",TRUE)</f>
        <v>17.178699999999999</v>
      </c>
      <c r="L84" s="2" t="str">
        <f ca="1">IF(table1[[#This Row],[Price]] &lt; (table1[[#This Row],[52Low]] * 0.25) + table1[[#This Row],[52Low]],  "TRUE", "FALSE")</f>
        <v>FALSE</v>
      </c>
      <c r="M84" s="2" t="str">
        <f ca="1">IF(table1[[#This Row],[Price]] &lt; (table1[[#This Row],[52Low]] * 0.1) + table1[[#This Row],[52Low]],  "TRUE", "FALSE")</f>
        <v>FALSE</v>
      </c>
      <c r="N84" s="6" cm="1">
        <f t="array" aca="1" ref="N84" ca="1">_FV(table1[[#This Row],[DataField]],"Market cap",TRUE)</f>
        <v>300584400000</v>
      </c>
    </row>
    <row r="85" spans="1:14" x14ac:dyDescent="0.2">
      <c r="A85" t="e" vm="85">
        <v>#VALUE!</v>
      </c>
      <c r="B85" t="str" cm="1">
        <f t="array" aca="1" ref="B85" ca="1">_FV(table1[[#This Row],[DataField]],"Ticker symbol",TRUE)</f>
        <v>UNP</v>
      </c>
      <c r="H85" s="2" cm="1">
        <f t="array" aca="1" ref="H85" ca="1">_FV(table1[[#This Row],[DataField]],"Price")</f>
        <v>233.71</v>
      </c>
      <c r="I85" s="2" cm="1">
        <f t="array" aca="1" ref="I85" ca="1">_FV(table1[[#This Row],[DataField]],"52 week low",TRUE)</f>
        <v>204.66</v>
      </c>
      <c r="J85" s="2" cm="1">
        <f t="array" aca="1" ref="J85" ca="1">_FV(table1[[#This Row],[DataField]],"52 week high",TRUE)</f>
        <v>256.83999999999997</v>
      </c>
      <c r="K85" s="4" cm="1">
        <f t="array" aca="1" ref="K85" ca="1">_FV(table1[[#This Row],[DataField]],"P/E",TRUE)</f>
        <v>19.8385</v>
      </c>
      <c r="L85" s="2" t="str">
        <f ca="1">IF(table1[[#This Row],[Price]] &lt; (table1[[#This Row],[52Low]] * 0.25) + table1[[#This Row],[52Low]],  "TRUE", "FALSE")</f>
        <v>TRUE</v>
      </c>
      <c r="M85" s="2" t="str">
        <f ca="1">IF(table1[[#This Row],[Price]] &lt; (table1[[#This Row],[52Low]] * 0.1) + table1[[#This Row],[52Low]],  "TRUE", "FALSE")</f>
        <v>FALSE</v>
      </c>
      <c r="N85" s="6" cm="1">
        <f t="array" aca="1" ref="N85" ca="1">_FV(table1[[#This Row],[DataField]],"Market cap",TRUE)</f>
        <v>138627633939</v>
      </c>
    </row>
    <row r="86" spans="1:14" x14ac:dyDescent="0.2">
      <c r="A86" t="e" vm="86">
        <v>#VALUE!</v>
      </c>
      <c r="B86" t="str" cm="1">
        <f t="array" aca="1" ref="B86" ca="1">_FV(table1[[#This Row],[DataField]],"Ticker symbol",TRUE)</f>
        <v>UPS</v>
      </c>
      <c r="C86" t="b">
        <v>1</v>
      </c>
      <c r="D86" t="s">
        <v>12</v>
      </c>
      <c r="E86" t="b">
        <v>1</v>
      </c>
      <c r="H86" s="2" cm="1">
        <f t="array" aca="1" ref="H86" ca="1">_FV(table1[[#This Row],[DataField]],"Price")</f>
        <v>99.46</v>
      </c>
      <c r="I86" s="2" cm="1">
        <f t="array" aca="1" ref="I86" ca="1">_FV(table1[[#This Row],[DataField]],"52 week low",TRUE)</f>
        <v>82</v>
      </c>
      <c r="J86" s="2" cm="1">
        <f t="array" aca="1" ref="J86" ca="1">_FV(table1[[#This Row],[DataField]],"52 week high",TRUE)</f>
        <v>136.99</v>
      </c>
      <c r="K86" s="4" cm="1">
        <f t="array" aca="1" ref="K86" ca="1">_FV(table1[[#This Row],[DataField]],"P/E",TRUE)</f>
        <v>15.369400000000001</v>
      </c>
      <c r="L86" s="2" t="str">
        <f ca="1">IF(table1[[#This Row],[Price]] &lt; (table1[[#This Row],[52Low]] * 0.25) + table1[[#This Row],[52Low]],  "TRUE", "FALSE")</f>
        <v>TRUE</v>
      </c>
      <c r="M86" s="2" t="str">
        <f ca="1">IF(table1[[#This Row],[Price]] &lt; (table1[[#This Row],[52Low]] * 0.1) + table1[[#This Row],[52Low]],  "TRUE", "FALSE")</f>
        <v>FALSE</v>
      </c>
      <c r="N86" s="6" cm="1">
        <f t="array" aca="1" ref="N86" ca="1">_FV(table1[[#This Row],[DataField]],"Market cap",TRUE)</f>
        <v>84380431776</v>
      </c>
    </row>
    <row r="87" spans="1:14" x14ac:dyDescent="0.2">
      <c r="A87" t="e" vm="87">
        <v>#VALUE!</v>
      </c>
      <c r="B87" t="str" cm="1">
        <f t="array" aca="1" ref="B87" ca="1">_FV(table1[[#This Row],[DataField]],"Ticker symbol",TRUE)</f>
        <v>V</v>
      </c>
      <c r="H87" s="2" cm="1">
        <f t="array" aca="1" ref="H87" ca="1">_FV(table1[[#This Row],[DataField]],"Price")</f>
        <v>354.5</v>
      </c>
      <c r="I87" s="2" cm="1">
        <f t="array" aca="1" ref="I87" ca="1">_FV(table1[[#This Row],[DataField]],"52 week low",TRUE)</f>
        <v>299</v>
      </c>
      <c r="J87" s="2" cm="1">
        <f t="array" aca="1" ref="J87" ca="1">_FV(table1[[#This Row],[DataField]],"52 week high",TRUE)</f>
        <v>375.51</v>
      </c>
      <c r="K87" s="4" cm="1">
        <f t="array" aca="1" ref="K87" ca="1">_FV(table1[[#This Row],[DataField]],"P/E",TRUE)</f>
        <v>34.731099999999998</v>
      </c>
      <c r="L87" s="2" t="str">
        <f ca="1">IF(table1[[#This Row],[Price]] &lt; (table1[[#This Row],[52Low]] * 0.25) + table1[[#This Row],[52Low]],  "TRUE", "FALSE")</f>
        <v>TRUE</v>
      </c>
      <c r="M87" s="2" t="str">
        <f ca="1">IF(table1[[#This Row],[Price]] &lt; (table1[[#This Row],[52Low]] * 0.1) + table1[[#This Row],[52Low]],  "TRUE", "FALSE")</f>
        <v>FALSE</v>
      </c>
      <c r="N87" s="6" cm="1">
        <f t="array" aca="1" ref="N87" ca="1">_FV(table1[[#This Row],[DataField]],"Market cap",TRUE)</f>
        <v>677888371000</v>
      </c>
    </row>
    <row r="88" spans="1:14" x14ac:dyDescent="0.2">
      <c r="A88" t="e" vm="88">
        <v>#VALUE!</v>
      </c>
      <c r="B88" t="str" cm="1">
        <f t="array" aca="1" ref="B88" ca="1">_FV(table1[[#This Row],[DataField]],"Ticker symbol",TRUE)</f>
        <v>VZ</v>
      </c>
      <c r="C88" t="b">
        <v>1</v>
      </c>
      <c r="D88" t="s">
        <v>10</v>
      </c>
      <c r="E88" t="b">
        <v>1</v>
      </c>
      <c r="H88" s="2" cm="1">
        <f t="array" aca="1" ref="H88" ca="1">_FV(table1[[#This Row],[DataField]],"Price")</f>
        <v>40.505000000000003</v>
      </c>
      <c r="I88" s="2" cm="1">
        <f t="array" aca="1" ref="I88" ca="1">_FV(table1[[#This Row],[DataField]],"52 week low",TRUE)</f>
        <v>37.585000000000001</v>
      </c>
      <c r="J88" s="2" cm="1">
        <f t="array" aca="1" ref="J88" ca="1">_FV(table1[[#This Row],[DataField]],"52 week high",TRUE)</f>
        <v>47.354999999999997</v>
      </c>
      <c r="K88" s="4" cm="1">
        <f t="array" aca="1" ref="K88" ca="1">_FV(table1[[#This Row],[DataField]],"P/E",TRUE)</f>
        <v>8.6351999999999993</v>
      </c>
      <c r="L88" s="2" t="str">
        <f ca="1">IF(table1[[#This Row],[Price]] &lt; (table1[[#This Row],[52Low]] * 0.25) + table1[[#This Row],[52Low]],  "TRUE", "FALSE")</f>
        <v>TRUE</v>
      </c>
      <c r="M88" s="2" t="str">
        <f ca="1">IF(table1[[#This Row],[Price]] &lt; (table1[[#This Row],[52Low]] * 0.1) + table1[[#This Row],[52Low]],  "TRUE", "FALSE")</f>
        <v>TRUE</v>
      </c>
      <c r="N88" s="6" cm="1">
        <f t="array" aca="1" ref="N88" ca="1">_FV(table1[[#This Row],[DataField]],"Market cap",TRUE)</f>
        <v>170786294625</v>
      </c>
    </row>
    <row r="89" spans="1:14" ht="18" customHeight="1" x14ac:dyDescent="0.2">
      <c r="A89" t="e" vm="89">
        <v>#VALUE!</v>
      </c>
      <c r="B89" t="str" cm="1">
        <f t="array" aca="1" ref="B89" ca="1">_FV(table1[[#This Row],[DataField]],"Ticker symbol",TRUE)</f>
        <v>WMT</v>
      </c>
      <c r="H89" s="2" cm="1">
        <f t="array" aca="1" ref="H89" ca="1">_FV(table1[[#This Row],[DataField]],"Price")</f>
        <v>112.3</v>
      </c>
      <c r="I89" s="2" cm="1">
        <f t="array" aca="1" ref="I89" ca="1">_FV(table1[[#This Row],[DataField]],"52 week low",TRUE)</f>
        <v>79.81</v>
      </c>
      <c r="J89" s="2" cm="1">
        <f t="array" aca="1" ref="J89" ca="1">_FV(table1[[#This Row],[DataField]],"52 week high",TRUE)</f>
        <v>117.45</v>
      </c>
      <c r="K89" s="4" cm="1">
        <f t="array" aca="1" ref="K89" ca="1">_FV(table1[[#This Row],[DataField]],"P/E",TRUE)</f>
        <v>39.388300000000001</v>
      </c>
      <c r="L89" s="2" t="str">
        <f ca="1">IF(table1[[#This Row],[Price]] &lt; (table1[[#This Row],[52Low]] * 0.25) + table1[[#This Row],[52Low]],  "TRUE", "FALSE")</f>
        <v>FALSE</v>
      </c>
      <c r="M89" s="2" t="str">
        <f ca="1">IF(table1[[#This Row],[Price]] &lt; (table1[[#This Row],[52Low]] * 0.1) + table1[[#This Row],[52Low]],  "TRUE", "FALSE")</f>
        <v>FALSE</v>
      </c>
      <c r="N89" s="6" cm="1">
        <f t="array" aca="1" ref="N89" ca="1">_FV(table1[[#This Row],[DataField]],"Market cap",TRUE)</f>
        <v>895049754100</v>
      </c>
    </row>
    <row r="90" spans="1:14" x14ac:dyDescent="0.2">
      <c r="A90" t="e" vm="90">
        <v>#VALUE!</v>
      </c>
      <c r="B90" t="str" cm="1">
        <f t="array" aca="1" ref="B90" ca="1">_FV(table1[[#This Row],[DataField]],"Ticker symbol",TRUE)</f>
        <v>XOM</v>
      </c>
      <c r="H90" s="2" cm="1">
        <f t="array" aca="1" ref="H90" ca="1">_FV(table1[[#This Row],[DataField]],"Price")</f>
        <v>120.86</v>
      </c>
      <c r="I90" s="2" cm="1">
        <f t="array" aca="1" ref="I90" ca="1">_FV(table1[[#This Row],[DataField]],"52 week low",TRUE)</f>
        <v>97.8</v>
      </c>
      <c r="J90" s="2" cm="1">
        <f t="array" aca="1" ref="J90" ca="1">_FV(table1[[#This Row],[DataField]],"52 week high",TRUE)</f>
        <v>121.2998</v>
      </c>
      <c r="K90" s="4" cm="1">
        <f t="array" aca="1" ref="K90" ca="1">_FV(table1[[#This Row],[DataField]],"P/E",TRUE)</f>
        <v>17.5684</v>
      </c>
      <c r="L90" s="2" t="str">
        <f ca="1">IF(table1[[#This Row],[Price]] &lt; (table1[[#This Row],[52Low]] * 0.25) + table1[[#This Row],[52Low]],  "TRUE", "FALSE")</f>
        <v>TRUE</v>
      </c>
      <c r="M90" s="2" t="str">
        <f ca="1">IF(table1[[#This Row],[Price]] &lt; (table1[[#This Row],[52Low]] * 0.1) + table1[[#This Row],[52Low]],  "TRUE", "FALSE")</f>
        <v>FALSE</v>
      </c>
      <c r="N90" s="6" cm="1">
        <f t="array" aca="1" ref="N90" ca="1">_FV(table1[[#This Row],[DataField]],"Market cap",TRUE)</f>
        <v>509686682760</v>
      </c>
    </row>
    <row r="91" spans="1:14" x14ac:dyDescent="0.2">
      <c r="A91" t="e" vm="91">
        <v>#VALUE!</v>
      </c>
      <c r="B91" t="str" cm="1">
        <f t="array" aca="1" ref="B91" ca="1">_FV(table1[[#This Row],[DataField]],"Ticker symbol",TRUE)</f>
        <v>ZTS</v>
      </c>
      <c r="H91" s="2" cm="1">
        <f t="array" aca="1" ref="H91" ca="1">_FV(table1[[#This Row],[DataField]],"Price")</f>
        <v>125.84</v>
      </c>
      <c r="I91" s="2" cm="1">
        <f t="array" aca="1" ref="I91" ca="1">_FV(table1[[#This Row],[DataField]],"52 week low",TRUE)</f>
        <v>115.25</v>
      </c>
      <c r="J91" s="2" cm="1">
        <f t="array" aca="1" ref="J91" ca="1">_FV(table1[[#This Row],[DataField]],"52 week high",TRUE)</f>
        <v>177.4</v>
      </c>
      <c r="K91" s="4" cm="1">
        <f t="array" aca="1" ref="K91" ca="1">_FV(table1[[#This Row],[DataField]],"P/E",TRUE)</f>
        <v>21.202999999999999</v>
      </c>
      <c r="L91" s="2" t="str">
        <f ca="1">IF(table1[[#This Row],[Price]] &lt; (table1[[#This Row],[52Low]] * 0.25) + table1[[#This Row],[52Low]],  "TRUE", "FALSE")</f>
        <v>TRUE</v>
      </c>
      <c r="M91" s="2" t="str">
        <f ca="1">IF(table1[[#This Row],[Price]] &lt; (table1[[#This Row],[52Low]] * 0.1) + table1[[#This Row],[52Low]],  "TRUE", "FALSE")</f>
        <v>TRUE</v>
      </c>
      <c r="N91" s="6" cm="1">
        <f t="array" aca="1" ref="N91" ca="1">_FV(table1[[#This Row],[DataField]],"Market cap",TRUE)</f>
        <v>55456832288</v>
      </c>
    </row>
    <row r="92" spans="1:14" x14ac:dyDescent="0.2">
      <c r="A92" t="e" vm="92">
        <v>#VALUE!</v>
      </c>
      <c r="B92" t="str" cm="1">
        <f t="array" aca="1" ref="B92" ca="1">_FV(table1[[#This Row],[DataField]],"Ticker symbol",TRUE)</f>
        <v>DLR</v>
      </c>
      <c r="H92" s="2" cm="1">
        <f t="array" aca="1" ref="H92" ca="1">_FV(table1[[#This Row],[DataField]],"Price")</f>
        <v>156.1</v>
      </c>
      <c r="I92" s="2" cm="1">
        <f t="array" aca="1" ref="I92" ca="1">_FV(table1[[#This Row],[DataField]],"52 week low",TRUE)</f>
        <v>129.94999999999999</v>
      </c>
      <c r="J92" s="2" cm="1">
        <f t="array" aca="1" ref="J92" ca="1">_FV(table1[[#This Row],[DataField]],"52 week high",TRUE)</f>
        <v>187.74</v>
      </c>
      <c r="K92" s="4" cm="1">
        <f t="array" aca="1" ref="K92" ca="1">_FV(table1[[#This Row],[DataField]],"P/E",TRUE)</f>
        <v>40.440399999999997</v>
      </c>
      <c r="L92" s="2" t="str">
        <f ca="1">IF(table1[[#This Row],[Price]] &lt; (table1[[#This Row],[52Low]] * 0.25) + table1[[#This Row],[52Low]],  "TRUE", "FALSE")</f>
        <v>TRUE</v>
      </c>
      <c r="M92" s="2" t="str">
        <f ca="1">IF(table1[[#This Row],[Price]] &lt; (table1[[#This Row],[52Low]] * 0.1) + table1[[#This Row],[52Low]],  "TRUE", "FALSE")</f>
        <v>FALSE</v>
      </c>
      <c r="N92" s="6" cm="1">
        <f t="array" aca="1" ref="N92" ca="1">_FV(table1[[#This Row],[DataField]],"Market cap",TRUE)</f>
        <v>53620599760</v>
      </c>
    </row>
    <row r="93" spans="1:14" x14ac:dyDescent="0.2">
      <c r="A93" t="e" vm="93">
        <v>#VALUE!</v>
      </c>
      <c r="B93" t="str" cm="1">
        <f t="array" aca="1" ref="B93" ca="1">_FV(table1[[#This Row],[DataField]],"Ticker symbol",TRUE)</f>
        <v>EQIX</v>
      </c>
      <c r="H93" s="2" cm="1">
        <f t="array" aca="1" ref="H93" ca="1">_FV(table1[[#This Row],[DataField]],"Price")</f>
        <v>765.93499999999995</v>
      </c>
      <c r="I93" s="2" cm="1">
        <f t="array" aca="1" ref="I93" ca="1">_FV(table1[[#This Row],[DataField]],"52 week low",TRUE)</f>
        <v>701.41</v>
      </c>
      <c r="J93" s="2" cm="1">
        <f t="array" aca="1" ref="J93" ca="1">_FV(table1[[#This Row],[DataField]],"52 week high",TRUE)</f>
        <v>964.73</v>
      </c>
      <c r="K93" s="4" cm="1">
        <f t="array" aca="1" ref="K93" ca="1">_FV(table1[[#This Row],[DataField]],"P/E",TRUE)</f>
        <v>70.126400000000004</v>
      </c>
      <c r="L93" s="2" t="str">
        <f ca="1">IF(table1[[#This Row],[Price]] &lt; (table1[[#This Row],[52Low]] * 0.25) + table1[[#This Row],[52Low]],  "TRUE", "FALSE")</f>
        <v>TRUE</v>
      </c>
      <c r="M93" s="2" t="str">
        <f ca="1">IF(table1[[#This Row],[Price]] &lt; (table1[[#This Row],[52Low]] * 0.1) + table1[[#This Row],[52Low]],  "TRUE", "FALSE")</f>
        <v>TRUE</v>
      </c>
      <c r="N93" s="6" cm="1">
        <f t="array" aca="1" ref="N93" ca="1">_FV(table1[[#This Row],[DataField]],"Market cap",TRUE)</f>
        <v>75204155184</v>
      </c>
    </row>
    <row r="94" spans="1:14" x14ac:dyDescent="0.2">
      <c r="A94" t="e" vm="94">
        <v>#VALUE!</v>
      </c>
      <c r="B94" t="str" cm="1">
        <f t="array" aca="1" ref="B94" ca="1">_FV(table1[[#This Row],[DataField]],"Ticker symbol",TRUE)</f>
        <v>IRM</v>
      </c>
      <c r="H94" s="2" cm="1">
        <f t="array" aca="1" ref="H94" ca="1">_FV(table1[[#This Row],[DataField]],"Price")</f>
        <v>82.375</v>
      </c>
      <c r="I94" s="2" cm="1">
        <f t="array" aca="1" ref="I94" ca="1">_FV(table1[[#This Row],[DataField]],"52 week low",TRUE)</f>
        <v>72.33</v>
      </c>
      <c r="J94" s="2" cm="1">
        <f t="array" aca="1" ref="J94" ca="1">_FV(table1[[#This Row],[DataField]],"52 week high",TRUE)</f>
        <v>112.18</v>
      </c>
      <c r="K94" s="4" cm="1">
        <f t="array" aca="1" ref="K94" ca="1">_FV(table1[[#This Row],[DataField]],"P/E",TRUE)</f>
        <v>154.23140000000001</v>
      </c>
      <c r="L94" s="2" t="str">
        <f ca="1">IF(table1[[#This Row],[Price]] &lt; (table1[[#This Row],[52Low]] * 0.25) + table1[[#This Row],[52Low]],  "TRUE", "FALSE")</f>
        <v>TRUE</v>
      </c>
      <c r="M94" s="2" t="str">
        <f ca="1">IF(table1[[#This Row],[Price]] &lt; (table1[[#This Row],[52Low]] * 0.1) + table1[[#This Row],[52Low]],  "TRUE", "FALSE")</f>
        <v>FALSE</v>
      </c>
      <c r="N94" s="6" cm="1">
        <f t="array" aca="1" ref="N94" ca="1">_FV(table1[[#This Row],[DataField]],"Market cap",TRUE)</f>
        <v>24349185062</v>
      </c>
    </row>
  </sheetData>
  <phoneticPr fontId="2" type="noConversion"/>
  <conditionalFormatting sqref="B1:B1048576">
    <cfRule type="duplicateValues" dxfId="1" priority="1"/>
  </conditionalFormatting>
  <conditionalFormatting sqref="L1:M94 N95:N1048576">
    <cfRule type="cellIs" dxfId="0"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2025-12-29T16:20:34Z</dcterms:modified>
</cp:coreProperties>
</file>