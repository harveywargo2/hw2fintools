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F28E1831-6D7A-E346-85B5-D17FDFA3A7BB}"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 l="1" a="1"/>
  <c r="B28" i="1" s="1"/>
  <c r="F28" i="1" a="1"/>
  <c r="F28" i="1" s="1"/>
  <c r="G28" i="1" a="1"/>
  <c r="G28" i="1" s="1"/>
  <c r="H28" i="1" a="1"/>
  <c r="H28" i="1" s="1"/>
  <c r="I28" i="1" a="1"/>
  <c r="I28" i="1" s="1"/>
  <c r="L28" i="1" a="1"/>
  <c r="L28" i="1" s="1"/>
  <c r="B106" i="1" a="1"/>
  <c r="B106" i="1" s="1"/>
  <c r="F106" i="1" a="1"/>
  <c r="F106" i="1" s="1"/>
  <c r="G106" i="1" a="1"/>
  <c r="G106" i="1" s="1"/>
  <c r="H106" i="1" a="1"/>
  <c r="H106" i="1" s="1"/>
  <c r="I106" i="1" a="1"/>
  <c r="I106" i="1" s="1"/>
  <c r="L106" i="1" a="1"/>
  <c r="L106" i="1" s="1"/>
  <c r="B71" i="1" a="1"/>
  <c r="B71" i="1" s="1"/>
  <c r="F71" i="1" a="1"/>
  <c r="F71" i="1" s="1"/>
  <c r="G71" i="1" a="1"/>
  <c r="G71" i="1" s="1"/>
  <c r="H71" i="1" a="1"/>
  <c r="H71" i="1" s="1"/>
  <c r="I71" i="1" a="1"/>
  <c r="I71" i="1" s="1"/>
  <c r="L71" i="1" a="1"/>
  <c r="L71" i="1" s="1"/>
  <c r="B108" i="1" a="1"/>
  <c r="B108" i="1" s="1"/>
  <c r="F108" i="1" a="1"/>
  <c r="F108" i="1" s="1"/>
  <c r="G108" i="1" a="1"/>
  <c r="G108" i="1" s="1"/>
  <c r="H108" i="1" a="1"/>
  <c r="H108" i="1" s="1"/>
  <c r="I108" i="1" a="1"/>
  <c r="I108" i="1" s="1"/>
  <c r="L108" i="1" a="1"/>
  <c r="L108" i="1" s="1"/>
  <c r="B56" i="1" a="1"/>
  <c r="B56" i="1" s="1"/>
  <c r="F56" i="1" a="1"/>
  <c r="F56" i="1" s="1"/>
  <c r="G56" i="1" a="1"/>
  <c r="G56" i="1" s="1"/>
  <c r="H56" i="1" a="1"/>
  <c r="H56" i="1" s="1"/>
  <c r="I56" i="1" a="1"/>
  <c r="I56" i="1" s="1"/>
  <c r="L56" i="1" a="1"/>
  <c r="L56" i="1" s="1"/>
  <c r="B49" i="1" a="1"/>
  <c r="B49" i="1" s="1"/>
  <c r="F49" i="1" a="1"/>
  <c r="F49" i="1" s="1"/>
  <c r="G49" i="1" a="1"/>
  <c r="G49" i="1" s="1"/>
  <c r="H49" i="1" a="1"/>
  <c r="H49" i="1" s="1"/>
  <c r="I49" i="1" a="1"/>
  <c r="I49" i="1" s="1"/>
  <c r="L49" i="1" a="1"/>
  <c r="L49" i="1" s="1"/>
  <c r="B30" i="1" a="1"/>
  <c r="B30" i="1" s="1"/>
  <c r="F30" i="1" a="1"/>
  <c r="F30" i="1" s="1"/>
  <c r="G30" i="1" a="1"/>
  <c r="G30" i="1" s="1"/>
  <c r="H30" i="1" a="1"/>
  <c r="H30" i="1" s="1"/>
  <c r="I30" i="1" a="1"/>
  <c r="I30" i="1" s="1"/>
  <c r="L30" i="1" a="1"/>
  <c r="L30" i="1" s="1"/>
  <c r="B29" i="1" a="1"/>
  <c r="B29" i="1" s="1"/>
  <c r="F29" i="1" a="1"/>
  <c r="F29" i="1" s="1"/>
  <c r="G29" i="1" a="1"/>
  <c r="G29" i="1" s="1"/>
  <c r="H29" i="1" a="1"/>
  <c r="H29" i="1" s="1"/>
  <c r="I29" i="1" a="1"/>
  <c r="I29" i="1" s="1"/>
  <c r="L29" i="1" a="1"/>
  <c r="L29" i="1" s="1"/>
  <c r="B103" i="1" a="1"/>
  <c r="B103" i="1" s="1"/>
  <c r="F103" i="1" a="1"/>
  <c r="F103" i="1" s="1"/>
  <c r="G103" i="1" a="1"/>
  <c r="G103" i="1" s="1"/>
  <c r="H103" i="1" a="1"/>
  <c r="H103" i="1" s="1"/>
  <c r="I103" i="1" a="1"/>
  <c r="I103" i="1" s="1"/>
  <c r="L103" i="1" a="1"/>
  <c r="L103" i="1" s="1"/>
  <c r="B104" i="1" a="1"/>
  <c r="B104" i="1" s="1"/>
  <c r="F104" i="1" a="1"/>
  <c r="F104" i="1" s="1"/>
  <c r="G104" i="1" a="1"/>
  <c r="G104" i="1" s="1"/>
  <c r="H104" i="1" a="1"/>
  <c r="H104" i="1" s="1"/>
  <c r="I104" i="1" a="1"/>
  <c r="I104" i="1" s="1"/>
  <c r="L104" i="1" a="1"/>
  <c r="L104" i="1" s="1"/>
  <c r="B102" i="1" a="1"/>
  <c r="B102" i="1" s="1"/>
  <c r="F102" i="1" a="1"/>
  <c r="F102" i="1" s="1"/>
  <c r="G102" i="1" a="1"/>
  <c r="G102" i="1" s="1"/>
  <c r="H102" i="1" a="1"/>
  <c r="H102" i="1" s="1"/>
  <c r="I102" i="1" a="1"/>
  <c r="I102" i="1" s="1"/>
  <c r="L102" i="1" a="1"/>
  <c r="L102" i="1" s="1"/>
  <c r="B101" i="1" a="1"/>
  <c r="B101" i="1" s="1"/>
  <c r="F101" i="1" a="1"/>
  <c r="F101" i="1" s="1"/>
  <c r="G101" i="1" a="1"/>
  <c r="G101" i="1" s="1"/>
  <c r="H101" i="1" a="1"/>
  <c r="H101" i="1" s="1"/>
  <c r="I101" i="1" a="1"/>
  <c r="I101" i="1" s="1"/>
  <c r="L101" i="1" a="1"/>
  <c r="L101" i="1" s="1"/>
  <c r="B100" i="1" a="1"/>
  <c r="B100" i="1" s="1"/>
  <c r="F100" i="1" a="1"/>
  <c r="F100" i="1" s="1"/>
  <c r="G100" i="1" a="1"/>
  <c r="G100" i="1" s="1"/>
  <c r="H100" i="1" a="1"/>
  <c r="H100" i="1" s="1"/>
  <c r="I100" i="1" a="1"/>
  <c r="I100" i="1" s="1"/>
  <c r="L100" i="1" a="1"/>
  <c r="L100" i="1" s="1"/>
  <c r="B99" i="1" a="1"/>
  <c r="B99" i="1" s="1"/>
  <c r="F99" i="1" a="1"/>
  <c r="F99" i="1" s="1"/>
  <c r="G99" i="1" a="1"/>
  <c r="G99" i="1" s="1"/>
  <c r="H99" i="1" a="1"/>
  <c r="H99" i="1" s="1"/>
  <c r="I99" i="1" a="1"/>
  <c r="I99" i="1" s="1"/>
  <c r="L99" i="1" a="1"/>
  <c r="L99" i="1" s="1"/>
  <c r="B12" i="1" a="1"/>
  <c r="B12" i="1" s="1"/>
  <c r="F12" i="1" a="1"/>
  <c r="F12" i="1" s="1"/>
  <c r="G12" i="1" a="1"/>
  <c r="G12" i="1" s="1"/>
  <c r="H12" i="1" a="1"/>
  <c r="H12" i="1" s="1"/>
  <c r="I12" i="1" a="1"/>
  <c r="I12" i="1" s="1"/>
  <c r="L12" i="1" a="1"/>
  <c r="L12" i="1" s="1"/>
  <c r="B66" i="1" a="1"/>
  <c r="B66" i="1" s="1"/>
  <c r="F66" i="1" a="1"/>
  <c r="F66" i="1" s="1"/>
  <c r="G66" i="1" a="1"/>
  <c r="G66" i="1" s="1"/>
  <c r="H66" i="1" a="1"/>
  <c r="H66" i="1" s="1"/>
  <c r="I66" i="1" a="1"/>
  <c r="I66" i="1" s="1"/>
  <c r="L66" i="1" a="1"/>
  <c r="L66" i="1" s="1"/>
  <c r="B89" i="1" a="1"/>
  <c r="B89" i="1" s="1"/>
  <c r="F89" i="1" a="1"/>
  <c r="F89" i="1" s="1"/>
  <c r="G89" i="1" a="1"/>
  <c r="G89" i="1" s="1"/>
  <c r="H89" i="1" a="1"/>
  <c r="H89" i="1" s="1"/>
  <c r="I89" i="1" a="1"/>
  <c r="I89" i="1" s="1"/>
  <c r="L89" i="1" a="1"/>
  <c r="L89" i="1" s="1"/>
  <c r="B40" i="1" a="1"/>
  <c r="B40" i="1" s="1"/>
  <c r="F40" i="1" a="1"/>
  <c r="F40" i="1" s="1"/>
  <c r="G40" i="1" a="1"/>
  <c r="G40" i="1" s="1"/>
  <c r="H40" i="1" a="1"/>
  <c r="H40" i="1" s="1"/>
  <c r="I40" i="1" a="1"/>
  <c r="I40" i="1" s="1"/>
  <c r="L40" i="1" a="1"/>
  <c r="L40" i="1" s="1"/>
  <c r="B65" i="1" a="1"/>
  <c r="B65" i="1" s="1"/>
  <c r="F65" i="1" a="1"/>
  <c r="F65" i="1" s="1"/>
  <c r="G65" i="1" a="1"/>
  <c r="G65" i="1" s="1"/>
  <c r="H65" i="1" a="1"/>
  <c r="H65" i="1" s="1"/>
  <c r="I65" i="1" a="1"/>
  <c r="I65" i="1" s="1"/>
  <c r="L65" i="1" a="1"/>
  <c r="L65" i="1" s="1"/>
  <c r="B80" i="1" a="1"/>
  <c r="B80" i="1" s="1"/>
  <c r="F80" i="1" a="1"/>
  <c r="F80" i="1" s="1"/>
  <c r="G80" i="1" a="1"/>
  <c r="G80" i="1" s="1"/>
  <c r="H80" i="1" a="1"/>
  <c r="H80" i="1" s="1"/>
  <c r="I80" i="1" a="1"/>
  <c r="I80" i="1" s="1"/>
  <c r="L80" i="1" a="1"/>
  <c r="L80" i="1" s="1"/>
  <c r="B79" i="1" a="1"/>
  <c r="B79" i="1" s="1"/>
  <c r="F79" i="1" a="1"/>
  <c r="F79" i="1" s="1"/>
  <c r="G79" i="1" a="1"/>
  <c r="G79" i="1" s="1"/>
  <c r="H79" i="1" a="1"/>
  <c r="H79" i="1" s="1"/>
  <c r="I79" i="1" a="1"/>
  <c r="I79" i="1" s="1"/>
  <c r="L79" i="1" a="1"/>
  <c r="L79" i="1" s="1"/>
  <c r="J28" i="1" l="1"/>
  <c r="K28" i="1"/>
  <c r="J106" i="1"/>
  <c r="K106" i="1"/>
  <c r="J71" i="1"/>
  <c r="K71" i="1"/>
  <c r="J108" i="1"/>
  <c r="J56" i="1"/>
  <c r="K108" i="1"/>
  <c r="K56" i="1"/>
  <c r="J49" i="1"/>
  <c r="K49" i="1"/>
  <c r="J30" i="1"/>
  <c r="K30" i="1"/>
  <c r="K29" i="1"/>
  <c r="J29" i="1"/>
  <c r="J103" i="1"/>
  <c r="K103" i="1"/>
  <c r="J104" i="1"/>
  <c r="K104" i="1"/>
  <c r="J102" i="1"/>
  <c r="K102" i="1"/>
  <c r="J101" i="1"/>
  <c r="K101" i="1"/>
  <c r="J100" i="1"/>
  <c r="K100" i="1"/>
  <c r="J99" i="1"/>
  <c r="K99" i="1"/>
  <c r="J12" i="1"/>
  <c r="K12" i="1"/>
  <c r="J66" i="1"/>
  <c r="K66" i="1"/>
  <c r="K89" i="1"/>
  <c r="J40" i="1"/>
  <c r="J89" i="1"/>
  <c r="K40" i="1"/>
  <c r="K65" i="1"/>
  <c r="J65" i="1"/>
  <c r="J80" i="1"/>
  <c r="K80" i="1"/>
  <c r="J79" i="1"/>
  <c r="K79" i="1"/>
  <c r="B105" i="1" a="1"/>
  <c r="B105" i="1" s="1"/>
  <c r="F105" i="1" a="1"/>
  <c r="F105" i="1" s="1"/>
  <c r="G105" i="1" a="1"/>
  <c r="G105" i="1" s="1"/>
  <c r="H105" i="1" a="1"/>
  <c r="H105" i="1" s="1"/>
  <c r="I105" i="1" a="1"/>
  <c r="I105" i="1" s="1"/>
  <c r="L105" i="1" a="1"/>
  <c r="L105" i="1" s="1"/>
  <c r="B97" i="1" a="1"/>
  <c r="B97" i="1" s="1"/>
  <c r="F97" i="1" a="1"/>
  <c r="F97" i="1" s="1"/>
  <c r="G97" i="1" a="1"/>
  <c r="G97" i="1" s="1"/>
  <c r="H97" i="1" a="1"/>
  <c r="H97" i="1" s="1"/>
  <c r="I97" i="1" a="1"/>
  <c r="I97" i="1" s="1"/>
  <c r="L97" i="1" a="1"/>
  <c r="L97" i="1" s="1"/>
  <c r="B98" i="1" a="1"/>
  <c r="B98" i="1" s="1"/>
  <c r="F98" i="1" a="1"/>
  <c r="F98" i="1" s="1"/>
  <c r="G98" i="1" a="1"/>
  <c r="G98" i="1" s="1"/>
  <c r="H98" i="1" a="1"/>
  <c r="H98" i="1" s="1"/>
  <c r="I98" i="1" a="1"/>
  <c r="I98" i="1" s="1"/>
  <c r="L98" i="1" a="1"/>
  <c r="L98" i="1" s="1"/>
  <c r="F88" i="1" a="1"/>
  <c r="F88" i="1" s="1"/>
  <c r="F72" i="1" a="1"/>
  <c r="F72" i="1" s="1"/>
  <c r="F74" i="1" a="1"/>
  <c r="F74" i="1" s="1"/>
  <c r="F31" i="1" a="1"/>
  <c r="F31" i="1" s="1"/>
  <c r="F20" i="1" a="1"/>
  <c r="F20" i="1" s="1"/>
  <c r="F36" i="1" a="1"/>
  <c r="F36" i="1" s="1"/>
  <c r="F22" i="1" a="1"/>
  <c r="F22" i="1" s="1"/>
  <c r="F90" i="1" a="1"/>
  <c r="F90" i="1" s="1"/>
  <c r="B62" i="1" a="1"/>
  <c r="B62" i="1" s="1"/>
  <c r="F62" i="1" a="1"/>
  <c r="F62" i="1" s="1"/>
  <c r="G62" i="1" a="1"/>
  <c r="G62" i="1" s="1"/>
  <c r="H62" i="1" a="1"/>
  <c r="H62" i="1" s="1"/>
  <c r="I62" i="1" a="1"/>
  <c r="I62" i="1" s="1"/>
  <c r="L62" i="1" a="1"/>
  <c r="L62" i="1" s="1"/>
  <c r="B92" i="1" a="1"/>
  <c r="B92" i="1" s="1"/>
  <c r="F92" i="1" a="1"/>
  <c r="F92" i="1" s="1"/>
  <c r="G92" i="1" a="1"/>
  <c r="G92" i="1" s="1"/>
  <c r="H92" i="1" a="1"/>
  <c r="H92" i="1" s="1"/>
  <c r="I92" i="1" a="1"/>
  <c r="I92" i="1" s="1"/>
  <c r="L92" i="1" a="1"/>
  <c r="L92" i="1" s="1"/>
  <c r="B58" i="1" a="1"/>
  <c r="B58" i="1" s="1"/>
  <c r="F58" i="1" a="1"/>
  <c r="F58" i="1" s="1"/>
  <c r="G58" i="1" a="1"/>
  <c r="G58" i="1" s="1"/>
  <c r="H58" i="1" a="1"/>
  <c r="H58" i="1" s="1"/>
  <c r="I58" i="1" a="1"/>
  <c r="I58" i="1" s="1"/>
  <c r="L58" i="1" a="1"/>
  <c r="L58" i="1" s="1"/>
  <c r="B54" i="1" a="1"/>
  <c r="B54" i="1" s="1"/>
  <c r="F54" i="1" a="1"/>
  <c r="F54" i="1" s="1"/>
  <c r="G54" i="1" a="1"/>
  <c r="G54" i="1" s="1"/>
  <c r="H54" i="1" a="1"/>
  <c r="H54" i="1" s="1"/>
  <c r="I54" i="1" a="1"/>
  <c r="I54" i="1" s="1"/>
  <c r="L54" i="1" a="1"/>
  <c r="L54" i="1" s="1"/>
  <c r="B38" i="1" a="1"/>
  <c r="B38" i="1" s="1"/>
  <c r="F38" i="1" a="1"/>
  <c r="F38" i="1" s="1"/>
  <c r="G38" i="1" a="1"/>
  <c r="G38" i="1" s="1"/>
  <c r="H38" i="1" a="1"/>
  <c r="H38" i="1" s="1"/>
  <c r="I38" i="1" a="1"/>
  <c r="I38" i="1" s="1"/>
  <c r="L38" i="1" a="1"/>
  <c r="L38" i="1" s="1"/>
  <c r="I78" i="1" a="1"/>
  <c r="I78" i="1" s="1"/>
  <c r="I39" i="1" a="1"/>
  <c r="I39" i="1" s="1"/>
  <c r="I91" i="1" a="1"/>
  <c r="I91" i="1" s="1"/>
  <c r="I7" i="1" a="1"/>
  <c r="I7" i="1" s="1"/>
  <c r="I3" i="1" a="1"/>
  <c r="I3" i="1" s="1"/>
  <c r="I67" i="1" a="1"/>
  <c r="I67" i="1" s="1"/>
  <c r="I8" i="1" a="1"/>
  <c r="I8" i="1" s="1"/>
  <c r="I9" i="1" a="1"/>
  <c r="I9" i="1" s="1"/>
  <c r="I27" i="1" a="1"/>
  <c r="I27" i="1" s="1"/>
  <c r="I37" i="1" a="1"/>
  <c r="I37" i="1" s="1"/>
  <c r="I59" i="1" a="1"/>
  <c r="I59" i="1" s="1"/>
  <c r="I94" i="1" a="1"/>
  <c r="I94" i="1" s="1"/>
  <c r="I81" i="1" a="1"/>
  <c r="I81" i="1" s="1"/>
  <c r="I76" i="1" a="1"/>
  <c r="I76" i="1" s="1"/>
  <c r="I52" i="1" a="1"/>
  <c r="I52" i="1" s="1"/>
  <c r="I50" i="1" a="1"/>
  <c r="I50" i="1" s="1"/>
  <c r="I18" i="1" a="1"/>
  <c r="I18" i="1" s="1"/>
  <c r="I75" i="1" a="1"/>
  <c r="I75" i="1" s="1"/>
  <c r="I34" i="1" a="1"/>
  <c r="I34" i="1" s="1"/>
  <c r="I41" i="1" a="1"/>
  <c r="I41" i="1" s="1"/>
  <c r="I82" i="1" a="1"/>
  <c r="I82" i="1" s="1"/>
  <c r="I21" i="1" a="1"/>
  <c r="I21" i="1" s="1"/>
  <c r="I23" i="1" a="1"/>
  <c r="I23" i="1" s="1"/>
  <c r="I77" i="1" a="1"/>
  <c r="I77" i="1" s="1"/>
  <c r="I60" i="1" a="1"/>
  <c r="I60" i="1" s="1"/>
  <c r="I24" i="1" a="1"/>
  <c r="I24" i="1" s="1"/>
  <c r="I25" i="1" a="1"/>
  <c r="I25" i="1" s="1"/>
  <c r="I61" i="1" a="1"/>
  <c r="I61" i="1" s="1"/>
  <c r="I73" i="1" a="1"/>
  <c r="I73" i="1" s="1"/>
  <c r="I68" i="1" a="1"/>
  <c r="I68" i="1" s="1"/>
  <c r="I4" i="1" a="1"/>
  <c r="I4" i="1" s="1"/>
  <c r="I32" i="1" a="1"/>
  <c r="I32" i="1" s="1"/>
  <c r="I42" i="1" a="1"/>
  <c r="I42" i="1" s="1"/>
  <c r="I43" i="1" a="1"/>
  <c r="I43" i="1" s="1"/>
  <c r="I10" i="1" a="1"/>
  <c r="I10" i="1" s="1"/>
  <c r="I17" i="1" a="1"/>
  <c r="I17" i="1" s="1"/>
  <c r="I83" i="1" a="1"/>
  <c r="I83" i="1" s="1"/>
  <c r="I51" i="1" a="1"/>
  <c r="I51" i="1" s="1"/>
  <c r="I44" i="1" a="1"/>
  <c r="I44" i="1" s="1"/>
  <c r="I84" i="1" a="1"/>
  <c r="I84" i="1" s="1"/>
  <c r="I69" i="1" a="1"/>
  <c r="I69" i="1" s="1"/>
  <c r="I33" i="1" a="1"/>
  <c r="I33" i="1" s="1"/>
  <c r="I11" i="1" a="1"/>
  <c r="I11" i="1" s="1"/>
  <c r="I55" i="1" a="1"/>
  <c r="I55" i="1" s="1"/>
  <c r="I85" i="1" a="1"/>
  <c r="I85" i="1" s="1"/>
  <c r="I5" i="1" a="1"/>
  <c r="I5" i="1" s="1"/>
  <c r="I45" i="1" a="1"/>
  <c r="I45" i="1" s="1"/>
  <c r="I63" i="1" a="1"/>
  <c r="I63" i="1" s="1"/>
  <c r="I57" i="1" a="1"/>
  <c r="I57" i="1" s="1"/>
  <c r="I86" i="1" a="1"/>
  <c r="I86" i="1" s="1"/>
  <c r="I6" i="1" a="1"/>
  <c r="I6" i="1" s="1"/>
  <c r="I53" i="1" a="1"/>
  <c r="I53" i="1" s="1"/>
  <c r="I70" i="1" a="1"/>
  <c r="I70" i="1" s="1"/>
  <c r="I13" i="1" a="1"/>
  <c r="I13" i="1" s="1"/>
  <c r="I46" i="1" a="1"/>
  <c r="I46" i="1" s="1"/>
  <c r="I87" i="1" a="1"/>
  <c r="I87" i="1" s="1"/>
  <c r="I14" i="1" a="1"/>
  <c r="I14" i="1" s="1"/>
  <c r="I95" i="1" a="1"/>
  <c r="I95" i="1" s="1"/>
  <c r="I47" i="1" a="1"/>
  <c r="I47" i="1" s="1"/>
  <c r="I64" i="1" a="1"/>
  <c r="I64" i="1" s="1"/>
  <c r="I26" i="1" a="1"/>
  <c r="I26" i="1" s="1"/>
  <c r="I93" i="1" a="1"/>
  <c r="I93" i="1" s="1"/>
  <c r="I19" i="1" a="1"/>
  <c r="I19" i="1" s="1"/>
  <c r="I35" i="1" a="1"/>
  <c r="I35" i="1" s="1"/>
  <c r="I96" i="1" a="1"/>
  <c r="I96" i="1" s="1"/>
  <c r="I15" i="1" a="1"/>
  <c r="I15" i="1" s="1"/>
  <c r="I48" i="1" a="1"/>
  <c r="I48" i="1" s="1"/>
  <c r="I16" i="1" a="1"/>
  <c r="I16" i="1" s="1"/>
  <c r="I88" i="1" a="1"/>
  <c r="I88" i="1" s="1"/>
  <c r="I72" i="1" a="1"/>
  <c r="I72" i="1" s="1"/>
  <c r="I74" i="1" a="1"/>
  <c r="I74" i="1" s="1"/>
  <c r="I31" i="1" a="1"/>
  <c r="I31" i="1" s="1"/>
  <c r="I20" i="1" a="1"/>
  <c r="I20" i="1" s="1"/>
  <c r="I36" i="1" a="1"/>
  <c r="I36" i="1" s="1"/>
  <c r="I22" i="1" a="1"/>
  <c r="I22" i="1" s="1"/>
  <c r="I90" i="1" a="1"/>
  <c r="I90" i="1" s="1"/>
  <c r="I107" i="1" a="1"/>
  <c r="I107" i="1" s="1"/>
  <c r="I2" i="1" a="1"/>
  <c r="I2" i="1" s="1"/>
  <c r="B107" i="1" a="1"/>
  <c r="B107" i="1" s="1"/>
  <c r="F107" i="1" a="1"/>
  <c r="F107" i="1" s="1"/>
  <c r="G107" i="1" a="1"/>
  <c r="G107" i="1" s="1"/>
  <c r="H107" i="1" a="1"/>
  <c r="H107" i="1" s="1"/>
  <c r="L107" i="1" a="1"/>
  <c r="L107" i="1" s="1"/>
  <c r="B36" i="1" a="1"/>
  <c r="B36" i="1" s="1"/>
  <c r="G36" i="1" a="1"/>
  <c r="G36" i="1" s="1"/>
  <c r="H36" i="1" a="1"/>
  <c r="H36" i="1" s="1"/>
  <c r="L36" i="1" a="1"/>
  <c r="L36" i="1" s="1"/>
  <c r="B87" i="1" a="1"/>
  <c r="B87" i="1" s="1"/>
  <c r="F87" i="1" a="1"/>
  <c r="F87" i="1" s="1"/>
  <c r="G87" i="1" a="1"/>
  <c r="G87" i="1" s="1"/>
  <c r="H87" i="1" a="1"/>
  <c r="H87" i="1" s="1"/>
  <c r="L87" i="1" a="1"/>
  <c r="L87" i="1" s="1"/>
  <c r="B15" i="1" a="1"/>
  <c r="B15" i="1" s="1"/>
  <c r="F15" i="1" a="1"/>
  <c r="F15" i="1" s="1"/>
  <c r="G15" i="1" a="1"/>
  <c r="G15" i="1" s="1"/>
  <c r="H15" i="1" a="1"/>
  <c r="H15" i="1" s="1"/>
  <c r="L15" i="1" a="1"/>
  <c r="L15" i="1" s="1"/>
  <c r="B93" i="1" a="1"/>
  <c r="B93" i="1" s="1"/>
  <c r="F93" i="1" a="1"/>
  <c r="F93" i="1" s="1"/>
  <c r="G93" i="1" a="1"/>
  <c r="G93" i="1" s="1"/>
  <c r="H93" i="1" a="1"/>
  <c r="H93" i="1" s="1"/>
  <c r="L93" i="1" a="1"/>
  <c r="L93" i="1" s="1"/>
  <c r="B27" i="1" a="1"/>
  <c r="B27" i="1" s="1"/>
  <c r="F27" i="1" a="1"/>
  <c r="F27" i="1" s="1"/>
  <c r="G27" i="1" a="1"/>
  <c r="G27" i="1" s="1"/>
  <c r="H27" i="1" a="1"/>
  <c r="H27" i="1" s="1"/>
  <c r="L27" i="1" a="1"/>
  <c r="L27" i="1" s="1"/>
  <c r="B90" i="1" a="1"/>
  <c r="B90" i="1" s="1"/>
  <c r="G90" i="1" a="1"/>
  <c r="G90" i="1" s="1"/>
  <c r="H90" i="1" a="1"/>
  <c r="H90" i="1" s="1"/>
  <c r="L90" i="1" a="1"/>
  <c r="L90" i="1" s="1"/>
  <c r="B86" i="1" a="1"/>
  <c r="B86" i="1" s="1"/>
  <c r="F86" i="1" a="1"/>
  <c r="F86" i="1" s="1"/>
  <c r="G86" i="1" a="1"/>
  <c r="G86" i="1" s="1"/>
  <c r="H86" i="1" a="1"/>
  <c r="H86" i="1" s="1"/>
  <c r="L86" i="1" a="1"/>
  <c r="L86" i="1" s="1"/>
  <c r="B7" i="1" a="1"/>
  <c r="B7" i="1" s="1"/>
  <c r="F7" i="1" a="1"/>
  <c r="F7" i="1" s="1"/>
  <c r="G7" i="1" a="1"/>
  <c r="G7" i="1" s="1"/>
  <c r="H7" i="1" a="1"/>
  <c r="H7" i="1" s="1"/>
  <c r="L7" i="1" a="1"/>
  <c r="L7" i="1" s="1"/>
  <c r="B63" i="1" a="1"/>
  <c r="B63" i="1" s="1"/>
  <c r="F63" i="1" a="1"/>
  <c r="F63" i="1" s="1"/>
  <c r="G63" i="1" a="1"/>
  <c r="G63" i="1" s="1"/>
  <c r="H63" i="1" a="1"/>
  <c r="H63" i="1" s="1"/>
  <c r="L63" i="1" a="1"/>
  <c r="L63" i="1" s="1"/>
  <c r="B8" i="1" a="1"/>
  <c r="B8" i="1" s="1"/>
  <c r="F8" i="1" a="1"/>
  <c r="F8" i="1" s="1"/>
  <c r="G8" i="1" a="1"/>
  <c r="G8" i="1" s="1"/>
  <c r="H8" i="1" a="1"/>
  <c r="H8" i="1" s="1"/>
  <c r="L8" i="1" a="1"/>
  <c r="L8" i="1" s="1"/>
  <c r="B22" i="1" a="1"/>
  <c r="B22" i="1" s="1"/>
  <c r="G22" i="1" a="1"/>
  <c r="G22" i="1" s="1"/>
  <c r="H22" i="1" a="1"/>
  <c r="H22" i="1" s="1"/>
  <c r="L22" i="1" a="1"/>
  <c r="L22" i="1" s="1"/>
  <c r="B31" i="1" a="1"/>
  <c r="B31" i="1" s="1"/>
  <c r="G31" i="1" a="1"/>
  <c r="G31" i="1" s="1"/>
  <c r="H31" i="1" a="1"/>
  <c r="H31" i="1" s="1"/>
  <c r="L31" i="1" a="1"/>
  <c r="L31" i="1" s="1"/>
  <c r="B88" i="1" a="1"/>
  <c r="B88" i="1" s="1"/>
  <c r="G88" i="1" a="1"/>
  <c r="G88" i="1" s="1"/>
  <c r="H88" i="1" a="1"/>
  <c r="H88" i="1" s="1"/>
  <c r="L88" i="1" a="1"/>
  <c r="L88" i="1" s="1"/>
  <c r="B72" i="1" a="1"/>
  <c r="B72" i="1" s="1"/>
  <c r="G72" i="1" a="1"/>
  <c r="G72" i="1" s="1"/>
  <c r="H72" i="1" a="1"/>
  <c r="H72" i="1" s="1"/>
  <c r="L72" i="1" a="1"/>
  <c r="L72" i="1" s="1"/>
  <c r="B35" i="1" a="1"/>
  <c r="B35" i="1" s="1"/>
  <c r="F35" i="1" a="1"/>
  <c r="F35" i="1" s="1"/>
  <c r="G35" i="1" a="1"/>
  <c r="G35" i="1" s="1"/>
  <c r="H35" i="1" a="1"/>
  <c r="H35" i="1" s="1"/>
  <c r="L35" i="1" a="1"/>
  <c r="L35" i="1" s="1"/>
  <c r="B26" i="1" a="1"/>
  <c r="B26" i="1" s="1"/>
  <c r="F26" i="1" a="1"/>
  <c r="F26" i="1" s="1"/>
  <c r="G26" i="1" a="1"/>
  <c r="G26" i="1" s="1"/>
  <c r="H26" i="1" a="1"/>
  <c r="H26" i="1" s="1"/>
  <c r="L26" i="1" a="1"/>
  <c r="L26" i="1" s="1"/>
  <c r="B64" i="1" a="1"/>
  <c r="B64" i="1" s="1"/>
  <c r="F64" i="1" a="1"/>
  <c r="F64" i="1" s="1"/>
  <c r="G64" i="1" a="1"/>
  <c r="G64" i="1" s="1"/>
  <c r="H64" i="1" a="1"/>
  <c r="H64" i="1" s="1"/>
  <c r="L64" i="1" a="1"/>
  <c r="L64" i="1" s="1"/>
  <c r="B95" i="1" a="1"/>
  <c r="B95" i="1" s="1"/>
  <c r="F95" i="1" a="1"/>
  <c r="F95" i="1" s="1"/>
  <c r="G95" i="1" a="1"/>
  <c r="G95" i="1" s="1"/>
  <c r="H95" i="1" a="1"/>
  <c r="H95" i="1" s="1"/>
  <c r="L95" i="1" a="1"/>
  <c r="L95" i="1" s="1"/>
  <c r="B14" i="1" a="1"/>
  <c r="B14" i="1" s="1"/>
  <c r="F14" i="1" a="1"/>
  <c r="F14" i="1" s="1"/>
  <c r="G14" i="1" a="1"/>
  <c r="G14" i="1" s="1"/>
  <c r="H14" i="1" a="1"/>
  <c r="H14" i="1" s="1"/>
  <c r="L14" i="1" a="1"/>
  <c r="L14" i="1" s="1"/>
  <c r="B70" i="1" a="1"/>
  <c r="B70" i="1" s="1"/>
  <c r="F70" i="1" a="1"/>
  <c r="F70" i="1" s="1"/>
  <c r="G70" i="1" a="1"/>
  <c r="G70" i="1" s="1"/>
  <c r="H70" i="1" a="1"/>
  <c r="H70" i="1" s="1"/>
  <c r="L70" i="1" a="1"/>
  <c r="L70" i="1" s="1"/>
  <c r="B57" i="1" a="1"/>
  <c r="B57" i="1" s="1"/>
  <c r="F57" i="1" a="1"/>
  <c r="F57" i="1" s="1"/>
  <c r="G57" i="1" a="1"/>
  <c r="G57" i="1" s="1"/>
  <c r="H57" i="1" a="1"/>
  <c r="H57" i="1" s="1"/>
  <c r="L57" i="1" a="1"/>
  <c r="L57" i="1" s="1"/>
  <c r="B84" i="1" a="1"/>
  <c r="B84" i="1" s="1"/>
  <c r="F84" i="1" a="1"/>
  <c r="F84" i="1" s="1"/>
  <c r="G84" i="1" a="1"/>
  <c r="G84" i="1" s="1"/>
  <c r="H84" i="1" a="1"/>
  <c r="H84" i="1" s="1"/>
  <c r="L84" i="1" a="1"/>
  <c r="L84" i="1" s="1"/>
  <c r="B44" i="1" a="1"/>
  <c r="B44" i="1" s="1"/>
  <c r="F44" i="1" a="1"/>
  <c r="F44" i="1" s="1"/>
  <c r="G44" i="1" a="1"/>
  <c r="G44" i="1" s="1"/>
  <c r="H44" i="1" a="1"/>
  <c r="H44" i="1" s="1"/>
  <c r="L44" i="1" a="1"/>
  <c r="L44" i="1" s="1"/>
  <c r="B17" i="1" a="1"/>
  <c r="B17" i="1" s="1"/>
  <c r="F17" i="1" a="1"/>
  <c r="F17" i="1" s="1"/>
  <c r="G17" i="1" a="1"/>
  <c r="G17" i="1" s="1"/>
  <c r="H17" i="1" a="1"/>
  <c r="H17" i="1" s="1"/>
  <c r="L17" i="1" a="1"/>
  <c r="L17" i="1" s="1"/>
  <c r="B10" i="1" a="1"/>
  <c r="B10" i="1" s="1"/>
  <c r="F10" i="1" a="1"/>
  <c r="F10" i="1" s="1"/>
  <c r="G10" i="1" a="1"/>
  <c r="G10" i="1" s="1"/>
  <c r="H10" i="1" a="1"/>
  <c r="H10" i="1" s="1"/>
  <c r="L10" i="1" a="1"/>
  <c r="L10" i="1" s="1"/>
  <c r="B42" i="1" a="1"/>
  <c r="B42" i="1" s="1"/>
  <c r="F42" i="1" a="1"/>
  <c r="F42" i="1" s="1"/>
  <c r="G42" i="1" a="1"/>
  <c r="G42" i="1" s="1"/>
  <c r="H42" i="1" a="1"/>
  <c r="H42" i="1" s="1"/>
  <c r="L42" i="1" a="1"/>
  <c r="L42" i="1" s="1"/>
  <c r="B73" i="1" a="1"/>
  <c r="B73" i="1" s="1"/>
  <c r="F73" i="1" a="1"/>
  <c r="F73" i="1" s="1"/>
  <c r="G73" i="1" a="1"/>
  <c r="G73" i="1" s="1"/>
  <c r="H73" i="1" a="1"/>
  <c r="H73" i="1" s="1"/>
  <c r="L73" i="1" a="1"/>
  <c r="L73" i="1" s="1"/>
  <c r="B61" i="1" a="1"/>
  <c r="B61" i="1" s="1"/>
  <c r="F61" i="1" a="1"/>
  <c r="F61" i="1" s="1"/>
  <c r="G61" i="1" a="1"/>
  <c r="G61" i="1" s="1"/>
  <c r="H61" i="1" a="1"/>
  <c r="H61" i="1" s="1"/>
  <c r="L61" i="1" a="1"/>
  <c r="L61" i="1" s="1"/>
  <c r="B60" i="1" a="1"/>
  <c r="B60" i="1" s="1"/>
  <c r="F60" i="1" a="1"/>
  <c r="F60" i="1" s="1"/>
  <c r="G60" i="1" a="1"/>
  <c r="G60" i="1" s="1"/>
  <c r="H60" i="1" a="1"/>
  <c r="H60" i="1" s="1"/>
  <c r="L60" i="1" a="1"/>
  <c r="L60" i="1" s="1"/>
  <c r="B25" i="1" a="1"/>
  <c r="B25" i="1" s="1"/>
  <c r="F25" i="1" a="1"/>
  <c r="F25" i="1" s="1"/>
  <c r="G25" i="1" a="1"/>
  <c r="G25" i="1" s="1"/>
  <c r="H25" i="1" a="1"/>
  <c r="H25" i="1" s="1"/>
  <c r="L25" i="1" a="1"/>
  <c r="L25" i="1" s="1"/>
  <c r="B24" i="1" a="1"/>
  <c r="B24" i="1" s="1"/>
  <c r="F24" i="1" a="1"/>
  <c r="F24" i="1" s="1"/>
  <c r="G24" i="1" a="1"/>
  <c r="G24" i="1" s="1"/>
  <c r="H24" i="1" a="1"/>
  <c r="H24" i="1" s="1"/>
  <c r="L24" i="1" a="1"/>
  <c r="L24" i="1" s="1"/>
  <c r="B77" i="1" a="1"/>
  <c r="B77" i="1" s="1"/>
  <c r="F77" i="1" a="1"/>
  <c r="F77" i="1" s="1"/>
  <c r="G77" i="1" a="1"/>
  <c r="G77" i="1" s="1"/>
  <c r="H77" i="1" a="1"/>
  <c r="H77" i="1" s="1"/>
  <c r="L77" i="1" a="1"/>
  <c r="L77" i="1" s="1"/>
  <c r="B23" i="1" a="1"/>
  <c r="B23" i="1" s="1"/>
  <c r="F23" i="1" a="1"/>
  <c r="F23" i="1" s="1"/>
  <c r="G23" i="1" a="1"/>
  <c r="G23" i="1" s="1"/>
  <c r="H23" i="1" a="1"/>
  <c r="H23" i="1" s="1"/>
  <c r="L23" i="1" a="1"/>
  <c r="L23" i="1" s="1"/>
  <c r="B41" i="1" a="1"/>
  <c r="B41" i="1" s="1"/>
  <c r="F41" i="1" a="1"/>
  <c r="F41" i="1" s="1"/>
  <c r="G41" i="1" a="1"/>
  <c r="G41" i="1" s="1"/>
  <c r="H41" i="1" a="1"/>
  <c r="H41" i="1" s="1"/>
  <c r="L41" i="1" a="1"/>
  <c r="L41" i="1" s="1"/>
  <c r="B34" i="1" a="1"/>
  <c r="B34" i="1" s="1"/>
  <c r="F34" i="1" a="1"/>
  <c r="F34" i="1" s="1"/>
  <c r="G34" i="1" a="1"/>
  <c r="G34" i="1" s="1"/>
  <c r="H34" i="1" a="1"/>
  <c r="H34" i="1" s="1"/>
  <c r="L34" i="1" a="1"/>
  <c r="L34" i="1" s="1"/>
  <c r="B75" i="1" a="1"/>
  <c r="B75" i="1" s="1"/>
  <c r="F75" i="1" a="1"/>
  <c r="F75" i="1" s="1"/>
  <c r="G75" i="1" a="1"/>
  <c r="G75" i="1" s="1"/>
  <c r="H75" i="1" a="1"/>
  <c r="H75" i="1" s="1"/>
  <c r="L75" i="1" a="1"/>
  <c r="L75" i="1" s="1"/>
  <c r="B52" i="1" a="1"/>
  <c r="B52" i="1" s="1"/>
  <c r="F52" i="1" a="1"/>
  <c r="F52" i="1" s="1"/>
  <c r="G52" i="1" a="1"/>
  <c r="G52" i="1" s="1"/>
  <c r="H52" i="1" a="1"/>
  <c r="H52" i="1" s="1"/>
  <c r="L52" i="1" a="1"/>
  <c r="L52" i="1" s="1"/>
  <c r="B76" i="1" a="1"/>
  <c r="B76" i="1" s="1"/>
  <c r="F76" i="1" a="1"/>
  <c r="F76" i="1" s="1"/>
  <c r="G76" i="1" a="1"/>
  <c r="G76" i="1" s="1"/>
  <c r="H76" i="1" a="1"/>
  <c r="H76" i="1" s="1"/>
  <c r="L76" i="1" a="1"/>
  <c r="L76" i="1" s="1"/>
  <c r="B59" i="1" a="1"/>
  <c r="B59" i="1" s="1"/>
  <c r="F59" i="1" a="1"/>
  <c r="F59" i="1" s="1"/>
  <c r="G59" i="1" a="1"/>
  <c r="G59" i="1" s="1"/>
  <c r="H59" i="1" a="1"/>
  <c r="H59" i="1" s="1"/>
  <c r="L59" i="1" a="1"/>
  <c r="L59" i="1" s="1"/>
  <c r="B37" i="1" a="1"/>
  <c r="B37" i="1" s="1"/>
  <c r="F37" i="1" a="1"/>
  <c r="F37" i="1" s="1"/>
  <c r="G37" i="1" a="1"/>
  <c r="G37" i="1" s="1"/>
  <c r="H37" i="1" a="1"/>
  <c r="H37" i="1" s="1"/>
  <c r="L37" i="1" a="1"/>
  <c r="L37" i="1" s="1"/>
  <c r="B9" i="1" a="1"/>
  <c r="B9" i="1" s="1"/>
  <c r="F9" i="1" a="1"/>
  <c r="F9" i="1" s="1"/>
  <c r="G9" i="1" a="1"/>
  <c r="G9" i="1" s="1"/>
  <c r="H9" i="1" a="1"/>
  <c r="H9" i="1" s="1"/>
  <c r="L9" i="1" a="1"/>
  <c r="L9" i="1" s="1"/>
  <c r="B67" i="1" a="1"/>
  <c r="B67" i="1" s="1"/>
  <c r="F67" i="1" a="1"/>
  <c r="F67" i="1" s="1"/>
  <c r="G67" i="1" a="1"/>
  <c r="G67" i="1" s="1"/>
  <c r="H67" i="1" a="1"/>
  <c r="H67" i="1" s="1"/>
  <c r="L67" i="1" a="1"/>
  <c r="L67" i="1" s="1"/>
  <c r="B91" i="1" a="1"/>
  <c r="B91" i="1" s="1"/>
  <c r="F91" i="1" a="1"/>
  <c r="F91" i="1" s="1"/>
  <c r="G91" i="1" a="1"/>
  <c r="G91" i="1" s="1"/>
  <c r="H91" i="1" a="1"/>
  <c r="H91" i="1" s="1"/>
  <c r="L91" i="1" a="1"/>
  <c r="L91" i="1" s="1"/>
  <c r="B78" i="1" a="1"/>
  <c r="B78" i="1" s="1"/>
  <c r="F78" i="1" a="1"/>
  <c r="F78" i="1" s="1"/>
  <c r="G78" i="1" a="1"/>
  <c r="G78" i="1" s="1"/>
  <c r="H78" i="1" a="1"/>
  <c r="H78" i="1" s="1"/>
  <c r="L78" i="1" a="1"/>
  <c r="L78" i="1" s="1"/>
  <c r="J105" i="1" l="1"/>
  <c r="K105" i="1"/>
  <c r="J97" i="1"/>
  <c r="J98" i="1"/>
  <c r="K97" i="1"/>
  <c r="K98" i="1"/>
  <c r="J62" i="1"/>
  <c r="J92" i="1"/>
  <c r="K62" i="1"/>
  <c r="K92" i="1"/>
  <c r="K58" i="1"/>
  <c r="J54" i="1"/>
  <c r="J58" i="1"/>
  <c r="J38" i="1"/>
  <c r="K54" i="1"/>
  <c r="K38" i="1"/>
  <c r="J107" i="1"/>
  <c r="K107" i="1"/>
  <c r="J36" i="1"/>
  <c r="K36" i="1"/>
  <c r="J87" i="1"/>
  <c r="K87" i="1"/>
  <c r="K15" i="1"/>
  <c r="J15" i="1"/>
  <c r="J93" i="1"/>
  <c r="K93" i="1"/>
  <c r="J27" i="1"/>
  <c r="K27" i="1"/>
  <c r="J90" i="1"/>
  <c r="J86" i="1"/>
  <c r="K90" i="1"/>
  <c r="K86" i="1"/>
  <c r="J7" i="1"/>
  <c r="J63" i="1"/>
  <c r="K7" i="1"/>
  <c r="J8" i="1"/>
  <c r="K63" i="1"/>
  <c r="K8" i="1"/>
  <c r="K31" i="1"/>
  <c r="J22" i="1"/>
  <c r="K22" i="1"/>
  <c r="J31" i="1"/>
  <c r="J88" i="1"/>
  <c r="K88" i="1"/>
  <c r="J72" i="1"/>
  <c r="J35" i="1"/>
  <c r="K72" i="1"/>
  <c r="J26" i="1"/>
  <c r="K35" i="1"/>
  <c r="J64" i="1"/>
  <c r="K26" i="1"/>
  <c r="K64" i="1"/>
  <c r="J95" i="1"/>
  <c r="K95" i="1"/>
  <c r="J14" i="1"/>
  <c r="J70" i="1"/>
  <c r="K14" i="1"/>
  <c r="J57" i="1"/>
  <c r="K70" i="1"/>
  <c r="K57" i="1"/>
  <c r="J84" i="1"/>
  <c r="K44" i="1"/>
  <c r="K84" i="1"/>
  <c r="J44" i="1"/>
  <c r="J17" i="1"/>
  <c r="J10" i="1"/>
  <c r="K17" i="1"/>
  <c r="K10" i="1"/>
  <c r="J42" i="1"/>
  <c r="K42" i="1"/>
  <c r="K73" i="1"/>
  <c r="J73" i="1"/>
  <c r="J61" i="1"/>
  <c r="K61" i="1"/>
  <c r="J25" i="1"/>
  <c r="J60" i="1"/>
  <c r="K60" i="1"/>
  <c r="J24" i="1"/>
  <c r="K25" i="1"/>
  <c r="J77" i="1"/>
  <c r="K24" i="1"/>
  <c r="K77" i="1"/>
  <c r="J23" i="1"/>
  <c r="K23" i="1"/>
  <c r="K41" i="1"/>
  <c r="J41" i="1"/>
  <c r="J34" i="1"/>
  <c r="K34" i="1"/>
  <c r="J75" i="1"/>
  <c r="K75" i="1"/>
  <c r="J52" i="1"/>
  <c r="K52" i="1"/>
  <c r="J76" i="1"/>
  <c r="K76" i="1"/>
  <c r="J59" i="1"/>
  <c r="J37" i="1"/>
  <c r="K59" i="1"/>
  <c r="K37" i="1"/>
  <c r="J9" i="1"/>
  <c r="J67" i="1"/>
  <c r="K9" i="1"/>
  <c r="K67" i="1"/>
  <c r="J91" i="1"/>
  <c r="K91" i="1"/>
  <c r="K78" i="1"/>
  <c r="J78" i="1"/>
  <c r="B5" i="1" l="1" a="1"/>
  <c r="B5" i="1" s="1"/>
  <c r="F5" i="1" a="1"/>
  <c r="F5" i="1" s="1"/>
  <c r="G5" i="1" a="1"/>
  <c r="G5" i="1" s="1"/>
  <c r="H5" i="1" a="1"/>
  <c r="H5" i="1" s="1"/>
  <c r="L5" i="1" a="1"/>
  <c r="L5" i="1" s="1"/>
  <c r="B13" i="1" a="1"/>
  <c r="B13" i="1" s="1"/>
  <c r="F13" i="1" a="1"/>
  <c r="F13" i="1" s="1"/>
  <c r="G13" i="1" a="1"/>
  <c r="G13" i="1" s="1"/>
  <c r="H13" i="1" a="1"/>
  <c r="H13" i="1" s="1"/>
  <c r="L13" i="1" a="1"/>
  <c r="L13" i="1" s="1"/>
  <c r="B4" i="1" a="1"/>
  <c r="B4" i="1" s="1"/>
  <c r="F4" i="1" a="1"/>
  <c r="F4" i="1" s="1"/>
  <c r="G4" i="1" a="1"/>
  <c r="G4" i="1" s="1"/>
  <c r="H4" i="1" a="1"/>
  <c r="H4" i="1" s="1"/>
  <c r="L4" i="1" a="1"/>
  <c r="L4" i="1" s="1"/>
  <c r="F53" i="1" a="1"/>
  <c r="F53" i="1" s="1"/>
  <c r="F46" i="1" a="1"/>
  <c r="F46" i="1" s="1"/>
  <c r="F47" i="1" a="1"/>
  <c r="F47" i="1" s="1"/>
  <c r="F19" i="1" a="1"/>
  <c r="F19" i="1" s="1"/>
  <c r="F96" i="1" a="1"/>
  <c r="F96" i="1" s="1"/>
  <c r="F48" i="1" a="1"/>
  <c r="F48" i="1" s="1"/>
  <c r="F16" i="1" a="1"/>
  <c r="F16" i="1" s="1"/>
  <c r="F11" i="1" a="1"/>
  <c r="F11" i="1" s="1"/>
  <c r="F55" i="1" a="1"/>
  <c r="F55" i="1" s="1"/>
  <c r="F51" i="1" a="1"/>
  <c r="F51" i="1" s="1"/>
  <c r="L2" i="1" a="1"/>
  <c r="L2" i="1" s="1"/>
  <c r="L39" i="1" a="1"/>
  <c r="L39" i="1" s="1"/>
  <c r="L3" i="1" a="1"/>
  <c r="L3" i="1" s="1"/>
  <c r="L94" i="1" a="1"/>
  <c r="L94" i="1" s="1"/>
  <c r="L81" i="1" a="1"/>
  <c r="L81" i="1" s="1"/>
  <c r="L50" i="1" a="1"/>
  <c r="L50" i="1" s="1"/>
  <c r="L18" i="1" a="1"/>
  <c r="L18" i="1" s="1"/>
  <c r="L82" i="1" a="1"/>
  <c r="L82" i="1" s="1"/>
  <c r="L21" i="1" a="1"/>
  <c r="L21" i="1" s="1"/>
  <c r="L68" i="1" a="1"/>
  <c r="L68" i="1" s="1"/>
  <c r="L32" i="1" a="1"/>
  <c r="L32" i="1" s="1"/>
  <c r="L43" i="1" a="1"/>
  <c r="L43" i="1" s="1"/>
  <c r="L83" i="1" a="1"/>
  <c r="L83" i="1" s="1"/>
  <c r="L69" i="1" a="1"/>
  <c r="L69" i="1" s="1"/>
  <c r="L33" i="1" a="1"/>
  <c r="L33" i="1" s="1"/>
  <c r="L85" i="1" a="1"/>
  <c r="L85" i="1" s="1"/>
  <c r="L45" i="1" a="1"/>
  <c r="L45" i="1" s="1"/>
  <c r="L6" i="1" a="1"/>
  <c r="L6" i="1" s="1"/>
  <c r="L53" i="1" a="1"/>
  <c r="L53" i="1" s="1"/>
  <c r="L46" i="1" a="1"/>
  <c r="L46" i="1" s="1"/>
  <c r="L47" i="1" a="1"/>
  <c r="L47" i="1" s="1"/>
  <c r="L19" i="1" a="1"/>
  <c r="L19" i="1" s="1"/>
  <c r="L96" i="1" a="1"/>
  <c r="L96" i="1" s="1"/>
  <c r="L48" i="1" a="1"/>
  <c r="L48" i="1" s="1"/>
  <c r="L16" i="1" a="1"/>
  <c r="L16" i="1" s="1"/>
  <c r="L74" i="1" a="1"/>
  <c r="L74" i="1" s="1"/>
  <c r="L20" i="1" a="1"/>
  <c r="L20" i="1" s="1"/>
  <c r="L11" i="1" a="1"/>
  <c r="L11" i="1" s="1"/>
  <c r="L55" i="1" a="1"/>
  <c r="L55" i="1" s="1"/>
  <c r="L51" i="1" a="1"/>
  <c r="L51" i="1" s="1"/>
  <c r="H2" i="1" a="1"/>
  <c r="H2" i="1" s="1"/>
  <c r="H39" i="1" a="1"/>
  <c r="H39" i="1" s="1"/>
  <c r="H3" i="1" a="1"/>
  <c r="H3" i="1" s="1"/>
  <c r="H94" i="1" a="1"/>
  <c r="H94" i="1" s="1"/>
  <c r="H81" i="1" a="1"/>
  <c r="H81" i="1" s="1"/>
  <c r="H50" i="1" a="1"/>
  <c r="H50" i="1" s="1"/>
  <c r="H18" i="1" a="1"/>
  <c r="H18" i="1" s="1"/>
  <c r="H82" i="1" a="1"/>
  <c r="H82" i="1" s="1"/>
  <c r="H21" i="1" a="1"/>
  <c r="H21" i="1" s="1"/>
  <c r="H68" i="1" a="1"/>
  <c r="H68" i="1" s="1"/>
  <c r="H32" i="1" a="1"/>
  <c r="H32" i="1" s="1"/>
  <c r="H43" i="1" a="1"/>
  <c r="H43" i="1" s="1"/>
  <c r="H83" i="1" a="1"/>
  <c r="H83" i="1" s="1"/>
  <c r="H69" i="1" a="1"/>
  <c r="H69" i="1" s="1"/>
  <c r="H33" i="1" a="1"/>
  <c r="H33" i="1" s="1"/>
  <c r="H85" i="1" a="1"/>
  <c r="H85" i="1" s="1"/>
  <c r="H45" i="1" a="1"/>
  <c r="H45" i="1" s="1"/>
  <c r="H6" i="1" a="1"/>
  <c r="H6" i="1" s="1"/>
  <c r="H53" i="1" a="1"/>
  <c r="H53" i="1" s="1"/>
  <c r="H46" i="1" a="1"/>
  <c r="H46" i="1" s="1"/>
  <c r="H47" i="1" a="1"/>
  <c r="H47" i="1" s="1"/>
  <c r="H19" i="1" a="1"/>
  <c r="H19" i="1" s="1"/>
  <c r="H96" i="1" a="1"/>
  <c r="H96" i="1" s="1"/>
  <c r="H48" i="1" a="1"/>
  <c r="H48" i="1" s="1"/>
  <c r="H16" i="1" a="1"/>
  <c r="H16" i="1" s="1"/>
  <c r="H74" i="1" a="1"/>
  <c r="H74" i="1" s="1"/>
  <c r="H20" i="1" a="1"/>
  <c r="H20" i="1" s="1"/>
  <c r="H11" i="1" a="1"/>
  <c r="H11" i="1" s="1"/>
  <c r="H55" i="1" a="1"/>
  <c r="H55" i="1" s="1"/>
  <c r="H51" i="1" a="1"/>
  <c r="H51" i="1" s="1"/>
  <c r="G2" i="1" a="1"/>
  <c r="G2" i="1" s="1"/>
  <c r="G39" i="1" a="1"/>
  <c r="G39" i="1" s="1"/>
  <c r="G3" i="1" a="1"/>
  <c r="G3" i="1" s="1"/>
  <c r="G94" i="1" a="1"/>
  <c r="G94" i="1" s="1"/>
  <c r="G81" i="1" a="1"/>
  <c r="G81" i="1" s="1"/>
  <c r="G50" i="1" a="1"/>
  <c r="G50" i="1" s="1"/>
  <c r="G18" i="1" a="1"/>
  <c r="G18" i="1" s="1"/>
  <c r="G82" i="1" a="1"/>
  <c r="G82" i="1" s="1"/>
  <c r="G21" i="1" a="1"/>
  <c r="G21" i="1" s="1"/>
  <c r="G68" i="1" a="1"/>
  <c r="G68" i="1" s="1"/>
  <c r="G32" i="1" a="1"/>
  <c r="G32" i="1" s="1"/>
  <c r="G43" i="1" a="1"/>
  <c r="G43" i="1" s="1"/>
  <c r="G83" i="1" a="1"/>
  <c r="G83" i="1" s="1"/>
  <c r="G69" i="1" a="1"/>
  <c r="G69" i="1" s="1"/>
  <c r="G33" i="1" a="1"/>
  <c r="G33" i="1" s="1"/>
  <c r="G85" i="1" a="1"/>
  <c r="G85" i="1" s="1"/>
  <c r="G45" i="1" a="1"/>
  <c r="G45" i="1" s="1"/>
  <c r="G6" i="1" a="1"/>
  <c r="G6" i="1" s="1"/>
  <c r="G53" i="1" a="1"/>
  <c r="G53" i="1" s="1"/>
  <c r="G46" i="1" a="1"/>
  <c r="G46" i="1" s="1"/>
  <c r="G47" i="1" a="1"/>
  <c r="G47" i="1" s="1"/>
  <c r="G19" i="1" a="1"/>
  <c r="G19" i="1" s="1"/>
  <c r="G96" i="1" a="1"/>
  <c r="G96" i="1" s="1"/>
  <c r="G48" i="1" a="1"/>
  <c r="G48" i="1" s="1"/>
  <c r="G16" i="1" a="1"/>
  <c r="G16" i="1" s="1"/>
  <c r="G74" i="1" a="1"/>
  <c r="G74" i="1" s="1"/>
  <c r="G20" i="1" a="1"/>
  <c r="G20" i="1" s="1"/>
  <c r="G11" i="1" a="1"/>
  <c r="G11" i="1" s="1"/>
  <c r="G55" i="1" a="1"/>
  <c r="G55" i="1" s="1"/>
  <c r="G51" i="1" a="1"/>
  <c r="G51" i="1" s="1"/>
  <c r="F2" i="1" a="1"/>
  <c r="F2" i="1" s="1"/>
  <c r="F39" i="1" a="1"/>
  <c r="F39" i="1" s="1"/>
  <c r="F3" i="1" a="1"/>
  <c r="F3" i="1" s="1"/>
  <c r="F94" i="1" a="1"/>
  <c r="F94" i="1" s="1"/>
  <c r="F81" i="1" a="1"/>
  <c r="F81" i="1" s="1"/>
  <c r="F50" i="1" a="1"/>
  <c r="F50" i="1" s="1"/>
  <c r="F18" i="1" a="1"/>
  <c r="F18" i="1" s="1"/>
  <c r="F82" i="1" a="1"/>
  <c r="F82" i="1" s="1"/>
  <c r="F21" i="1" a="1"/>
  <c r="F21" i="1" s="1"/>
  <c r="F68" i="1" a="1"/>
  <c r="F68" i="1" s="1"/>
  <c r="F32" i="1" a="1"/>
  <c r="F32" i="1" s="1"/>
  <c r="F43" i="1" a="1"/>
  <c r="F43" i="1" s="1"/>
  <c r="F83" i="1" a="1"/>
  <c r="F83" i="1" s="1"/>
  <c r="F69" i="1" a="1"/>
  <c r="F69" i="1" s="1"/>
  <c r="F33" i="1" a="1"/>
  <c r="F33" i="1" s="1"/>
  <c r="F85" i="1" a="1"/>
  <c r="F85" i="1" s="1"/>
  <c r="F45" i="1" a="1"/>
  <c r="F45" i="1" s="1"/>
  <c r="F6" i="1" a="1"/>
  <c r="F6" i="1" s="1"/>
  <c r="B51" i="1" a="1"/>
  <c r="B51" i="1" s="1"/>
  <c r="B55" i="1" a="1"/>
  <c r="B55" i="1" s="1"/>
  <c r="B11" i="1" a="1"/>
  <c r="B11" i="1" s="1"/>
  <c r="B20" i="1" a="1"/>
  <c r="B20" i="1" s="1"/>
  <c r="B74" i="1" a="1"/>
  <c r="B74" i="1" s="1"/>
  <c r="B16" i="1" a="1"/>
  <c r="B16" i="1" s="1"/>
  <c r="B48" i="1" a="1"/>
  <c r="B48" i="1" s="1"/>
  <c r="B96" i="1" a="1"/>
  <c r="B96" i="1" s="1"/>
  <c r="B19" i="1" a="1"/>
  <c r="B19" i="1" s="1"/>
  <c r="B47" i="1" a="1"/>
  <c r="B47" i="1" s="1"/>
  <c r="B46" i="1" a="1"/>
  <c r="B46" i="1" s="1"/>
  <c r="B53" i="1" a="1"/>
  <c r="B53" i="1" s="1"/>
  <c r="B6" i="1" a="1"/>
  <c r="B6" i="1" s="1"/>
  <c r="B45" i="1" a="1"/>
  <c r="B45" i="1" s="1"/>
  <c r="B85" i="1" a="1"/>
  <c r="B85" i="1" s="1"/>
  <c r="B33" i="1" a="1"/>
  <c r="B33" i="1" s="1"/>
  <c r="B69" i="1" a="1"/>
  <c r="B69" i="1" s="1"/>
  <c r="B83" i="1" a="1"/>
  <c r="B83" i="1" s="1"/>
  <c r="B43" i="1" a="1"/>
  <c r="B43" i="1" s="1"/>
  <c r="B32" i="1" a="1"/>
  <c r="B32" i="1" s="1"/>
  <c r="B68" i="1" a="1"/>
  <c r="B68" i="1" s="1"/>
  <c r="B21" i="1" a="1"/>
  <c r="B21" i="1" s="1"/>
  <c r="B82" i="1" a="1"/>
  <c r="B82" i="1" s="1"/>
  <c r="B18" i="1" a="1"/>
  <c r="B18" i="1" s="1"/>
  <c r="B50" i="1" a="1"/>
  <c r="B50" i="1" s="1"/>
  <c r="B81" i="1" a="1"/>
  <c r="B81" i="1" s="1"/>
  <c r="B94" i="1" a="1"/>
  <c r="B94" i="1" s="1"/>
  <c r="B3" i="1" a="1"/>
  <c r="B3" i="1" s="1"/>
  <c r="B39" i="1" a="1"/>
  <c r="B39" i="1" s="1"/>
  <c r="B2" i="1" a="1"/>
  <c r="B2" i="1" s="1"/>
  <c r="J5" i="1" l="1"/>
  <c r="J13" i="1"/>
  <c r="K5" i="1"/>
  <c r="K13" i="1"/>
  <c r="J4" i="1"/>
  <c r="K4" i="1"/>
  <c r="K83" i="1"/>
  <c r="K81" i="1"/>
  <c r="K51" i="1"/>
  <c r="K47" i="1"/>
  <c r="K74" i="1"/>
  <c r="K6" i="1"/>
  <c r="K39" i="1"/>
  <c r="J96" i="1"/>
  <c r="J82" i="1"/>
  <c r="K19" i="1"/>
  <c r="K33" i="1"/>
  <c r="J18" i="1"/>
  <c r="K16" i="1"/>
  <c r="K45" i="1"/>
  <c r="K2" i="1"/>
  <c r="K55" i="1"/>
  <c r="K46" i="1"/>
  <c r="K43" i="1"/>
  <c r="K94" i="1"/>
  <c r="K3" i="1"/>
  <c r="J48" i="1"/>
  <c r="J85" i="1"/>
  <c r="K11" i="1"/>
  <c r="K32" i="1"/>
  <c r="J21" i="1"/>
  <c r="K69" i="1"/>
  <c r="K50" i="1"/>
  <c r="K20" i="1"/>
  <c r="K53" i="1"/>
  <c r="K68" i="1"/>
  <c r="K48" i="1"/>
  <c r="K85" i="1"/>
  <c r="K21" i="1"/>
  <c r="K96" i="1"/>
  <c r="K82" i="1"/>
  <c r="J2" i="1"/>
  <c r="K18" i="1"/>
  <c r="J19" i="1"/>
  <c r="J33" i="1"/>
  <c r="J83" i="1"/>
  <c r="J51" i="1"/>
  <c r="J47" i="1"/>
  <c r="J81" i="1"/>
  <c r="J16" i="1"/>
  <c r="J45" i="1"/>
  <c r="J74" i="1"/>
  <c r="J6" i="1"/>
  <c r="J39" i="1"/>
  <c r="J69" i="1"/>
  <c r="J50" i="1"/>
  <c r="J55" i="1"/>
  <c r="J46" i="1"/>
  <c r="J43" i="1"/>
  <c r="J94" i="1"/>
  <c r="J32" i="1"/>
  <c r="J3" i="1"/>
  <c r="J11" i="1"/>
  <c r="J20" i="1"/>
  <c r="J53" i="1"/>
  <c r="J6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8">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41"/>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bk>
      <extLst>
        <ext uri="{3e2802c4-a4d2-4d8b-9148-e3be6c30e623}">
          <xlrd:rvb i="322"/>
        </ext>
      </extLst>
    </bk>
    <bk>
      <extLst>
        <ext uri="{3e2802c4-a4d2-4d8b-9148-e3be6c30e623}">
          <xlrd:rvb i="325"/>
        </ext>
      </extLst>
    </bk>
    <bk>
      <extLst>
        <ext uri="{3e2802c4-a4d2-4d8b-9148-e3be6c30e623}">
          <xlrd:rvb i="328"/>
        </ext>
      </extLst>
    </bk>
    <bk>
      <extLst>
        <ext uri="{3e2802c4-a4d2-4d8b-9148-e3be6c30e623}">
          <xlrd:rvb i="331"/>
        </ext>
      </extLst>
    </bk>
    <bk>
      <extLst>
        <ext uri="{3e2802c4-a4d2-4d8b-9148-e3be6c30e623}">
          <xlrd:rvb i="334"/>
        </ext>
      </extLst>
    </bk>
    <bk>
      <extLst>
        <ext uri="{3e2802c4-a4d2-4d8b-9148-e3be6c30e623}">
          <xlrd:rvb i="337"/>
        </ext>
      </extLst>
    </bk>
  </futureMetadata>
  <cellMetadata count="1">
    <bk>
      <rc t="1" v="0"/>
    </bk>
  </cellMetadata>
  <valueMetadata count="10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<sst xmlns="http://schemas.openxmlformats.org/spreadsheetml/2006/main" count="12" uniqueCount="12">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</sst>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3">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38">
  <rv s="0">
    <v>https://www.bing.com/financeapi/forcetrigger?t=a1mou2&amp;q=XNAS%3aAAPL&amp;form=skydnc</v>
    <v>Learn more on Bing</v>
  </rv>
  <rv s="1">
    <v>0</v>
    <v>APPLE INC. (XNAS:AAPL)</v>
    <v>2</v>
    <v>3</v>
    <v>Finance</v>
    <v>4</v>
    <v>en-US</v>
    <v>a1mou2</v>
    <v>268435456</v>
    <v>1</v>
    <v>Powered by Refinitiv</v>
    <v>288.62</v>
    <v>189.81120000000001</v>
    <v>1.0743</v>
    <v>6.7050000000000001</v>
    <v>2.5905000000000001E-2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265.79000000000002</v>
    <v>Computers, Phones &amp; Household Electronics</v>
    <v>Stock</v>
    <v>46127.715381816408</v>
    <v>0</v>
    <v>257.82</v>
    <v>3898356509900</v>
    <v>APPLE INC.</v>
    <v>APPLE INC.</v>
    <v>258.2</v>
    <v>33.735399999999998</v>
    <v>258.83</v>
    <v>265.53500000000003</v>
    <v>14681140000</v>
    <v>AAPL</v>
    <v>APPLE INC. (XNAS:AAPL)</v>
    <v>24743252</v>
    <v>39948661</v>
    <v>1977</v>
  </rv>
  <rv s="2">
    <v>1</v>
  </rv>
  <rv s="0">
    <v>https://www.bing.com/financeapi/forcetrigger?t=a1nhlh&amp;q=XNAS%3aAMZN&amp;form=skydnc</v>
    <v>Learn more on Bing</v>
  </rv>
  <rv s="1">
    <v>0</v>
    <v>AMAZON.COM, INC. (XNAS:AMZN)</v>
    <v>2</v>
    <v>3</v>
    <v>Finance</v>
    <v>4</v>
    <v>en-US</v>
    <v>a1nhlh</v>
    <v>268435456</v>
    <v>1</v>
    <v>Powered by Refinitiv</v>
    <v>258.60000000000002</v>
    <v>165.285</v>
    <v>1.4172</v>
    <v>-0.83</v>
    <v>-3.333E-3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250.44</v>
    <v>Diversified Retail</v>
    <v>Stock</v>
    <v>46127.71537138828</v>
    <v>3</v>
    <v>247.2</v>
    <v>2669097307500</v>
    <v>AMAZON.COM, INC.</v>
    <v>AMAZON.COM, INC.</v>
    <v>249.18</v>
    <v>34.604399999999998</v>
    <v>249.02</v>
    <v>248.19</v>
    <v>10754250000</v>
    <v>AMZN</v>
    <v>AMAZON.COM, INC. (XNAS:AMZN)</v>
    <v>22308135</v>
    <v>44737498</v>
    <v>1996</v>
  </rv>
  <rv s="2">
    <v>4</v>
  </rv>
  <rv s="0">
    <v>https://www.bing.com/financeapi/forcetrigger?t=a1u3rw&amp;q=XNAS%3aGOOGL&amp;form=skydnc</v>
    <v>Learn more on Bing</v>
  </rv>
  <rv s="1">
    <v>0</v>
    <v>ALPHABET INC. (XNAS:GOOGL)</v>
    <v>2</v>
    <v>3</v>
    <v>Finance</v>
    <v>4</v>
    <v>en-US</v>
    <v>a1u3rw</v>
    <v>268435456</v>
    <v>1</v>
    <v>Powered by Refinitiv</v>
    <v>349</v>
    <v>146.1</v>
    <v>1.1375999999999999</v>
    <v>1.52</v>
    <v>4.5659999999999997E-3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335.21850000000001</v>
    <v>Software &amp; IT Services</v>
    <v>Stock</v>
    <v>46127.715386307813</v>
    <v>6</v>
    <v>330.9</v>
    <v>4045599710000</v>
    <v>ALPHABET INC.</v>
    <v>ALPHABET INC.</v>
    <v>333</v>
    <v>30.937100000000001</v>
    <v>332.91</v>
    <v>334.43</v>
    <v>12097000000</v>
    <v>GOOGL</v>
    <v>ALPHABET INC. (XNAS:GOOGL)</v>
    <v>10969523</v>
    <v>28123187</v>
    <v>2015</v>
  </rv>
  <rv s="2">
    <v>7</v>
  </rv>
  <rv s="0">
    <v>https://www.bing.com/financeapi/forcetrigger?t=a1slm7&amp;q=XNAS%3aMETA&amp;form=skydnc</v>
    <v>Learn more on Bing</v>
  </rv>
  <rv s="1">
    <v>0</v>
    <v>META PLATFORMS, INC. (XNAS:META)</v>
    <v>2</v>
    <v>3</v>
    <v>Finance</v>
    <v>4</v>
    <v>en-US</v>
    <v>a1slm7</v>
    <v>268435456</v>
    <v>1</v>
    <v>Powered by Refinitiv</v>
    <v>796.25</v>
    <v>479.8</v>
    <v>1.3305</v>
    <v>11.69</v>
    <v>1.7645999999999998E-2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678.5</v>
    <v>Software &amp; IT Services</v>
    <v>Stock</v>
    <v>46127.715322823438</v>
    <v>9</v>
    <v>664.22</v>
    <v>1705375389899</v>
    <v>META PLATFORMS, INC.</v>
    <v>META PLATFORMS, INC.</v>
    <v>667</v>
    <v>23.0642</v>
    <v>662.49</v>
    <v>674.18</v>
    <v>2529555000</v>
    <v>META</v>
    <v>META PLATFORMS, INC. (XNAS:META)</v>
    <v>8248426</v>
    <v>17103113</v>
    <v>2004</v>
  </rv>
  <rv s="2">
    <v>10</v>
  </rv>
  <rv s="0">
    <v>http://en.wikipedia.org/wiki/Public_domain</v>
    <v>Public domain</v>
  </rv>
  <rv s="0">
    <v>https://en.wikipedia.org/wiki/Microsoft</v>
    <v>Wikipedia</v>
  </rv>
  <rv s="3">
    <v>12</v>
    <v>13</v>
  </rv>
  <rv s="4">
    <v>9</v>
    <v>https://www.bing.com/th?id=AMMS_e6e837c7bf3a77408619758b7447855a&amp;qlt=95</v>
    <v>14</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355.67</v>
    <v>1.0972</v>
    <v>15.49</v>
    <v>3.9404000000000002E-2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409.45</v>
    <v>15</v>
    <v>Software &amp; IT Services</v>
    <v>Stock</v>
    <v>46127.715378055465</v>
    <v>16</v>
    <v>396.73</v>
    <v>3034112009400</v>
    <v>MICROSOFT CORPORATION</v>
    <v>MICROSOFT CORPORATION</v>
    <v>398</v>
    <v>25.5656</v>
    <v>393.11</v>
    <v>408.6</v>
    <v>7425629000</v>
    <v>MSFT</v>
    <v>MICROSOFT CORPORATION (XNAS:MSFT)</v>
    <v>22786933</v>
    <v>31660668</v>
    <v>1993</v>
  </rv>
  <rv s="2">
    <v>17</v>
  </rv>
  <rv s="0">
    <v>https://www.bing.com/financeapi/forcetrigger?t=a1ndww&amp;q=XNAS%3aAMD&amp;form=skydnc</v>
    <v>Learn more on Bing</v>
  </rv>
  <rv s="1">
    <v>0</v>
    <v>ADVANCED MICRO DEVICES, INC. (XNAS:AMD)</v>
    <v>2</v>
    <v>3</v>
    <v>Finance</v>
    <v>4</v>
    <v>en-US</v>
    <v>a1ndww</v>
    <v>268435456</v>
    <v>1</v>
    <v>Powered by Refinitiv</v>
    <v>267.07990000000001</v>
    <v>83.75</v>
    <v>2.0461999999999998</v>
    <v>-1.155</v>
    <v>-4.5279999999999999E-3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257.59989999999999</v>
    <v>Semiconductors &amp; Semiconductor Equipment</v>
    <v>Stock</v>
    <v>46127.715310971878</v>
    <v>19</v>
    <v>251.85</v>
    <v>413967527185</v>
    <v>ADVANCED MICRO DEVICES, INC.</v>
    <v>ADVANCED MICRO DEVICES, INC.</v>
    <v>255.54</v>
    <v>97.494600000000005</v>
    <v>255.07</v>
    <v>253.91499999999999</v>
    <v>1630339000</v>
    <v>AMD</v>
    <v>ADVANCED MICRO DEVICES, INC. (XNAS:AMD)</v>
    <v>14204397</v>
    <v>32536750</v>
    <v>1969</v>
  </rv>
  <rv s="2">
    <v>20</v>
  </rv>
  <rv s="0">
    <v>https://www.bing.com/financeapi/forcetrigger?t=a1ntlh&amp;q=XNAS%3aASML&amp;form=skydnc</v>
    <v>Learn more on Bing</v>
  </rv>
  <rv s="1">
    <v>0</v>
    <v>ASML Holding NV (XNAS:ASML)</v>
    <v>2</v>
    <v>3</v>
    <v>Finance</v>
    <v>4</v>
    <v>en-US</v>
    <v>a1ntlh</v>
    <v>268435456</v>
    <v>1</v>
    <v>Powered by Refinitiv</v>
    <v>1547.22</v>
    <v>614.06200000000001</v>
    <v>1.9084000000000001</v>
    <v>-90.65</v>
    <v>-5.9705000000000001E-2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1474.4</v>
    <v>Semiconductors &amp; Semiconductor Equipment</v>
    <v>Stock</v>
    <v>46127.715341342191</v>
    <v>22</v>
    <v>1415.25</v>
    <v>554139063905</v>
    <v>ASML Holding NV</v>
    <v>ASML Holding NV</v>
    <v>1473.52</v>
    <v>49.185200000000002</v>
    <v>1518.3</v>
    <v>1427.65</v>
    <v>388147700</v>
    <v>ASML</v>
    <v>ASML Holding NV (XNAS:ASML)</v>
    <v>2636128</v>
    <v>1677473</v>
    <v>1994</v>
  </rv>
  <rv s="2">
    <v>23</v>
  </rv>
  <rv s="0">
    <v>https://www.bing.com/financeapi/forcetrigger?t=a1nz8m&amp;q=XNAS%3aAVGO&amp;form=skydnc</v>
    <v>Learn more on Bing</v>
  </rv>
  <rv s="1">
    <v>0</v>
    <v>BROADCOM INC. (XNAS:AVGO)</v>
    <v>2</v>
    <v>3</v>
    <v>Finance</v>
    <v>4</v>
    <v>en-US</v>
    <v>a1nz8m</v>
    <v>268435456</v>
    <v>1</v>
    <v>Powered by Refinitiv</v>
    <v>414.61</v>
    <v>161.61000000000001</v>
    <v>1.3527</v>
    <v>10.47</v>
    <v>2.7496E-2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396.56990000000002</v>
    <v>Semiconductors &amp; Semiconductor Equipment</v>
    <v>Stock</v>
    <v>46127.715315566405</v>
    <v>25</v>
    <v>385.57</v>
    <v>1852438855000</v>
    <v>BROADCOM INC.</v>
    <v>BROADCOM INC.</v>
    <v>390</v>
    <v>82.023099999999999</v>
    <v>380.78</v>
    <v>391.25</v>
    <v>4734668000</v>
    <v>AVGO</v>
    <v>BROADCOM INC. (XNAS:AVGO)</v>
    <v>17453477</v>
    <v>25823744</v>
    <v>2018</v>
  </rv>
  <rv s="2">
    <v>26</v>
  </rv>
  <rv s="0">
    <v>https://www.bing.com/financeapi/forcetrigger?t=a1vmf2&amp;q=XNAS%3aINTC&amp;form=skydnc</v>
    <v>Learn more on Bing</v>
  </rv>
  <rv s="1">
    <v>0</v>
    <v>INTEL CORPORATION (XNAS:INTC)</v>
    <v>2</v>
    <v>3</v>
    <v>Finance</v>
    <v>4</v>
    <v>en-US</v>
    <v>a1vmf2</v>
    <v>268435456</v>
    <v>1</v>
    <v>Powered by Refinitiv</v>
    <v>65.84</v>
    <v>18.25</v>
    <v>1.5912999999999999</v>
    <v>0.48</v>
    <v>7.522E-3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65.84</v>
    <v>Semiconductors &amp; Semiconductor Equipment</v>
    <v>Stock</v>
    <v>46127.715338414062</v>
    <v>28</v>
    <v>62.875</v>
    <v>322800732900</v>
    <v>INTEL CORPORATION</v>
    <v>INTEL CORPORATION</v>
    <v>63.8</v>
    <v>0</v>
    <v>63.81</v>
    <v>64.290000000000006</v>
    <v>5021010000</v>
    <v>INTC</v>
    <v>INTEL CORPORATION (XNAS:INTC)</v>
    <v>63524006</v>
    <v>101027520</v>
    <v>1989</v>
  </rv>
  <rv s="2">
    <v>29</v>
  </rv>
  <rv s="0">
    <v>https://www.bing.com/financeapi/forcetrigger?t=a1x4f2&amp;q=XNAS%3aLRCX&amp;form=skydnc</v>
    <v>Learn more on Bing</v>
  </rv>
  <rv s="1">
    <v>0</v>
    <v>LAM RESEARCH CORPORATION (XNAS:LRCX)</v>
    <v>2</v>
    <v>3</v>
    <v>Finance</v>
    <v>4</v>
    <v>en-US</v>
    <v>a1x4f2</v>
    <v>268435456</v>
    <v>1</v>
    <v>Powered by Refinitiv</v>
    <v>273.5</v>
    <v>61.14</v>
    <v>1.8852</v>
    <v>-14.17</v>
    <v>-5.2017000000000001E-2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cloud and enterprise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like nanoscale manufacturing enablement, chemistry, plasma and fluidics, and others.</v>
    <v>19000</v>
    <v>Nasdaq Stock Market</v>
    <v>XNAS</v>
    <v>XNAS</v>
    <v>4650 Cushing Blvd, FREMONT, CA, 94538 US</v>
    <v>267.99</v>
    <v>Semiconductors &amp; Semiconductor Equipment</v>
    <v>Stock</v>
    <v>46127.715372233593</v>
    <v>31</v>
    <v>255.48</v>
    <v>322482623040</v>
    <v>LAM RESEARCH CORPORATION</v>
    <v>LAM RESEARCH CORPORATION</v>
    <v>266.35000000000002</v>
    <v>52.925600000000003</v>
    <v>272.41000000000003</v>
    <v>258.24</v>
    <v>1248771000</v>
    <v>LRCX</v>
    <v>LAM RESEARCH CORPORATION (XNAS:LRCX)</v>
    <v>5987001</v>
    <v>10056024</v>
    <v>1989</v>
  </rv>
  <rv s="2">
    <v>32</v>
  </rv>
  <rv s="0">
    <v>https://www.bing.com/financeapi/forcetrigger?t=a1y4oc&amp;q=XNAS%3aMU&amp;form=skydnc</v>
    <v>Learn more on Bing</v>
  </rv>
  <rv s="1">
    <v>0</v>
    <v>MICRON TECHNOLOGY, INC. (XNAS:MU)</v>
    <v>2</v>
    <v>3</v>
    <v>Finance</v>
    <v>4</v>
    <v>en-US</v>
    <v>a1y4oc</v>
    <v>268435456</v>
    <v>1</v>
    <v>Powered by Refinitiv</v>
    <v>471.34</v>
    <v>65.644999999999996</v>
    <v>1.7791999999999999</v>
    <v>-21.4467</v>
    <v>-4.6056999999999994E-2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463.93</v>
    <v>Semiconductors &amp; Semiconductor Equipment</v>
    <v>Stock</v>
    <v>46127.715344513279</v>
    <v>34</v>
    <v>439.32</v>
    <v>500954441662</v>
    <v>MICRON TECHNOLOGY, INC.</v>
    <v>MICRON TECHNOLOGY, INC.</v>
    <v>457.56</v>
    <v>20.972000000000001</v>
    <v>465.66</v>
    <v>444.2133</v>
    <v>1127734000</v>
    <v>MU</v>
    <v>MICRON TECHNOLOGY, INC. (XNAS:MU)</v>
    <v>27561750</v>
    <v>49897069</v>
    <v>1984</v>
  </rv>
  <rv s="2">
    <v>35</v>
  </rv>
  <rv s="0">
    <v>https://www.bing.com/financeapi/forcetrigger?t=a1yv52&amp;q=XNAS%3aNVDA&amp;form=skydnc</v>
    <v>Learn more on Bing</v>
  </rv>
  <rv s="1">
    <v>0</v>
    <v>NVIDIA CORPORATION (XNAS:NVDA)</v>
    <v>2</v>
    <v>3</v>
    <v>Finance</v>
    <v>4</v>
    <v>en-US</v>
    <v>a1yv52</v>
    <v>268435456</v>
    <v>1</v>
    <v>Powered by Refinitiv</v>
    <v>212.18989999999999</v>
    <v>95.04</v>
    <v>2.3148</v>
    <v>0.8</v>
    <v>4.071E-3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200.4</v>
    <v>Semiconductors &amp; Semiconductor Equipment</v>
    <v>Stock</v>
    <v>46127.715357950779</v>
    <v>37</v>
    <v>196.14</v>
    <v>4794633000000</v>
    <v>NVIDIA CORPORATION</v>
    <v>NVIDIA CORPORATION</v>
    <v>196.54</v>
    <v>40.252600000000001</v>
    <v>196.51</v>
    <v>197.31</v>
    <v>24300000000</v>
    <v>NVDA</v>
    <v>NVIDIA CORPORATION (XNAS:NVDA)</v>
    <v>111806026</v>
    <v>166726400</v>
    <v>1998</v>
  </rv>
  <rv s="2">
    <v>38</v>
  </rv>
  <rv s="0">
    <v>http://en.wikipedia.org/wiki/Qualcomm</v>
    <v>Wikipedia</v>
  </rv>
  <rv s="3">
    <v>12</v>
    <v>40</v>
  </rv>
  <rv s="4">
    <v>9</v>
    <v>https://www.bing.com/th?id=AMMS_2b1c176dae370ecc0d55a1517537f595&amp;qlt=95</v>
    <v>41</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1.2607999999999999</v>
    <v>0.56000000000000005</v>
    <v>4.2160000000000001E-3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134.34</v>
    <v>42</v>
    <v>Semiconductors &amp; Semiconductor Equipment</v>
    <v>Stock</v>
    <v>46127.71534956016</v>
    <v>43</v>
    <v>132.7199</v>
    <v>142337800000</v>
    <v>QUALCOMM INCORPORATED</v>
    <v>QUALCOMM INCORPORATED</v>
    <v>133.44</v>
    <v>27.559699999999999</v>
    <v>132.84</v>
    <v>133.4</v>
    <v>1067000000</v>
    <v>QCOM</v>
    <v>QUALCOMM INCORPORATED (XNAS:QCOM)</v>
    <v>3609937</v>
    <v>12303636</v>
    <v>1991</v>
  </rv>
  <rv s="2">
    <v>44</v>
  </rv>
  <rv s="0">
    <v>https://www.bing.com/financeapi/forcetrigger?t=a24kjc&amp;q=XNYS%3aTSM&amp;form=skydnc</v>
    <v>Learn more on Bing</v>
  </rv>
  <rv s="1">
    <v>0</v>
    <v>Taiwan Semiconductor Manufacturing Company Limited (XNYS:TSM)</v>
    <v>2</v>
    <v>3</v>
    <v>Finance</v>
    <v>4</v>
    <v>en-US</v>
    <v>a24kjc</v>
    <v>268435456</v>
    <v>1</v>
    <v>Powered by Refinitiv</v>
    <v>390.20499999999998</v>
    <v>145.84</v>
    <v>1.3987000000000001</v>
    <v>-5.0350000000000001</v>
    <v>-1.3253999999999998E-2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381.97</v>
    <v>Semiconductors &amp; Semiconductor Equipment</v>
    <v>Stock</v>
    <v>46127.715363610936</v>
    <v>46</v>
    <v>372.21</v>
    <v>1944187331775</v>
    <v>Taiwan Semiconductor Manufacturing Company Limited</v>
    <v>Taiwan Semiconductor Manufacturing Company Limited</v>
    <v>381.37</v>
    <v>35.457700000000003</v>
    <v>379.89</v>
    <v>374.85500000000002</v>
    <v>5186505000</v>
    <v>TSM</v>
    <v>Taiwan Semiconductor Manufacturing Company Limited (XNYS:TSM)</v>
    <v>8581487</v>
    <v>13020317</v>
    <v>1987</v>
  </rv>
  <rv s="2">
    <v>47</v>
  </rv>
  <rv s="0">
    <v>https://www.bing.com/financeapi/forcetrigger?t=a24p1h&amp;q=XNAS%3aTXN&amp;form=skydnc</v>
    <v>Learn more on Bing</v>
  </rv>
  <rv s="1">
    <v>0</v>
    <v>TEXAS INSTRUMENTS INCORPORATED (XNAS:TXN)</v>
    <v>2</v>
    <v>3</v>
    <v>Finance</v>
    <v>4</v>
    <v>en-US</v>
    <v>a24p1h</v>
    <v>268435456</v>
    <v>1</v>
    <v>Powered by Refinitiv</v>
    <v>231.32</v>
    <v>142.56</v>
    <v>1.0615000000000001</v>
    <v>-5.72</v>
    <v>-2.6134000000000001E-2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218.30500000000001</v>
    <v>Semiconductors &amp; Semiconductor Equipment</v>
    <v>Stock</v>
    <v>46127.715326260935</v>
    <v>49</v>
    <v>211.7</v>
    <v>194065273710</v>
    <v>TEXAS INSTRUMENTS INCORPORATED</v>
    <v>TEXAS INSTRUMENTS INCORPORATED</v>
    <v>217.2</v>
    <v>38.895299999999999</v>
    <v>218.87</v>
    <v>213.15</v>
    <v>910463400</v>
    <v>TXN</v>
    <v>TEXAS INSTRUMENTS INCORPORATED (XNAS:TXN)</v>
    <v>1604865</v>
    <v>5853630</v>
    <v>1938</v>
  </rv>
  <rv s="2">
    <v>50</v>
  </rv>
  <rv s="0">
    <v>https://www.bing.com/financeapi/forcetrigger?t=a1vmtc&amp;q=XNAS%3aINTU&amp;form=skydnc</v>
    <v>Learn more on Bing</v>
  </rv>
  <rv s="1">
    <v>0</v>
    <v>INTUIT INC. (XNAS:INTU)</v>
    <v>2</v>
    <v>3</v>
    <v>Finance</v>
    <v>4</v>
    <v>en-US</v>
    <v>a1vmtc</v>
    <v>268435456</v>
    <v>1</v>
    <v>Powered by Refinitiv</v>
    <v>813.7</v>
    <v>342.10500000000002</v>
    <v>1.093</v>
    <v>21.71</v>
    <v>5.9187999999999998E-2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389.56</v>
    <v>Financial Technology (Fintech) &amp; Infrastructure</v>
    <v>Stock</v>
    <v>46127.715384178126</v>
    <v>52</v>
    <v>372.76</v>
    <v>107442440500</v>
    <v>INTUIT INC.</v>
    <v>INTUIT INC.</v>
    <v>375</v>
    <v>25.271899999999999</v>
    <v>366.8</v>
    <v>388.51</v>
    <v>276550000</v>
    <v>INTU</v>
    <v>INTUIT INC. (XNAS:INTU)</v>
    <v>1639087</v>
    <v>3332387</v>
    <v>1993</v>
  </rv>
  <rv s="2">
    <v>53</v>
  </rv>
  <rv s="0">
    <v>https://www.bing.com/financeapi/forcetrigger?t=a1pwqh&amp;q=XNAS%3aCMCSA&amp;form=skydnc</v>
    <v>Learn more on Bing</v>
  </rv>
  <rv s="1">
    <v>0</v>
    <v>COMCAST CORPORATION (XNAS:CMCSA)</v>
    <v>2</v>
    <v>3</v>
    <v>Finance</v>
    <v>4</v>
    <v>en-US</v>
    <v>a1pwqh</v>
    <v>268435456</v>
    <v>1</v>
    <v>Powered by Refinitiv</v>
    <v>34.344200000000001</v>
    <v>24.1234</v>
    <v>0.7591</v>
    <v>0.315</v>
    <v>1.1193999999999999E-2</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28.454999999999998</v>
    <v>Telecommunications Services</v>
    <v>Stock</v>
    <v>46127.715354178123</v>
    <v>55</v>
    <v>28.004999999999999</v>
    <v>102376707930</v>
    <v>COMCAST CORPORATION</v>
    <v>COMCAST CORPORATION</v>
    <v>28.16</v>
    <v>5.2933000000000003</v>
    <v>28.14</v>
    <v>28.454999999999998</v>
    <v>3597846000</v>
    <v>CMCSA</v>
    <v>COMCAST CORPORATION (XNAS:CMCSA)</v>
    <v>7509949</v>
    <v>33966022</v>
    <v>2001</v>
  </rv>
  <rv s="2">
    <v>56</v>
  </rv>
  <rv s="0">
    <v>https://www.bing.com/financeapi/forcetrigger?t=a23www&amp;q=XNYS%3aT&amp;form=skydnc</v>
    <v>Learn more on Bing</v>
  </rv>
  <rv s="1">
    <v>0</v>
    <v>AT&amp;T INC. (XNYS:T)</v>
    <v>2</v>
    <v>3</v>
    <v>Finance</v>
    <v>4</v>
    <v>en-US</v>
    <v>a23www</v>
    <v>268435456</v>
    <v>1</v>
    <v>Powered by Refinitiv</v>
    <v>29.79</v>
    <v>22.95</v>
    <v>0.2424</v>
    <v>0.08</v>
    <v>3.1230000000000003E-3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25.774999999999999</v>
    <v>Telecommunications Services</v>
    <v>Stock</v>
    <v>46127.715347453122</v>
    <v>58</v>
    <v>25.49</v>
    <v>179441152200</v>
    <v>AT&amp;T INC.</v>
    <v>AT&amp;T INC.</v>
    <v>25.57</v>
    <v>8.4217999999999993</v>
    <v>25.62</v>
    <v>25.7</v>
    <v>6982146000</v>
    <v>T</v>
    <v>AT&amp;T INC. (XNYS:T)</v>
    <v>9546461</v>
    <v>42192507</v>
    <v>1983</v>
  </rv>
  <rv s="2">
    <v>59</v>
  </rv>
  <rv s="0">
    <v>https://www.bing.com/financeapi/forcetrigger?t=a25obh&amp;q=XNYS%3aVZ&amp;form=skydnc</v>
    <v>Learn more on Bing</v>
  </rv>
  <rv s="1">
    <v>0</v>
    <v>VERIZON COMMUNICATIONS INC. (XNYS:VZ)</v>
    <v>2</v>
    <v>3</v>
    <v>Finance</v>
    <v>4</v>
    <v>en-US</v>
    <v>a25obh</v>
    <v>268435456</v>
    <v>1</v>
    <v>Powered by Refinitiv</v>
    <v>51.68</v>
    <v>38.39</v>
    <v>0.223</v>
    <v>-0.155</v>
    <v>-3.408E-3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45.34</v>
    <v>Telecommunications Services</v>
    <v>Stock</v>
    <v>46127.715366990626</v>
    <v>61</v>
    <v>44.93</v>
    <v>189458500000</v>
    <v>VERIZON COMMUNICATIONS INC.</v>
    <v>VERIZON COMMUNICATIONS INC.</v>
    <v>45.33</v>
    <v>11.1638</v>
    <v>45.48</v>
    <v>45.325000000000003</v>
    <v>4180000000</v>
    <v>VZ</v>
    <v>VERIZON COMMUNICATIONS INC. (XNYS:VZ)</v>
    <v>10164271</v>
    <v>27282661</v>
    <v>1983</v>
  </rv>
  <rv s="2">
    <v>62</v>
  </rv>
  <rv s="0">
    <v>https://www.bing.com/financeapi/forcetrigger?t=a1qlz2&amp;q=XNYS%3aCVX&amp;form=skydnc</v>
    <v>Learn more on Bing</v>
  </rv>
  <rv s="1">
    <v>0</v>
    <v>CHEVRON CORPORATION (XNYS:CVX)</v>
    <v>2</v>
    <v>3</v>
    <v>Finance</v>
    <v>4</v>
    <v>en-US</v>
    <v>a1qlz2</v>
    <v>268435456</v>
    <v>1</v>
    <v>Powered by Refinitiv</v>
    <v>214.71</v>
    <v>132.33000000000001</v>
    <v>0.53590000000000004</v>
    <v>-0.62</v>
    <v>-3.3150000000000002E-3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187.22</v>
    <v>Oil &amp; Gas</v>
    <v>Stock</v>
    <v>46127.715345635937</v>
    <v>64</v>
    <v>184.0401</v>
    <v>371289973600</v>
    <v>CHEVRON CORPORATION</v>
    <v>CHEVRON CORPORATION</v>
    <v>186.53</v>
    <v>28.0474</v>
    <v>187.02</v>
    <v>186.4</v>
    <v>1991899000</v>
    <v>CVX</v>
    <v>CHEVRON CORPORATION (XNYS:CVX)</v>
    <v>4110404</v>
    <v>14760333</v>
    <v>1926</v>
  </rv>
  <rv s="2">
    <v>65</v>
  </rv>
  <rv s="0">
    <v>https://www.bing.com/financeapi/forcetrigger?t=a269ec&amp;q=XNYS%3aXOM&amp;form=skydnc</v>
    <v>Learn more on Bing</v>
  </rv>
  <rv s="1">
    <v>0</v>
    <v>EXXON MOBIL CORPORATION (XNYS:XOM)</v>
    <v>2</v>
    <v>3</v>
    <v>Finance</v>
    <v>4</v>
    <v>en-US</v>
    <v>a269ec</v>
    <v>268435456</v>
    <v>1</v>
    <v>Powered by Refinitiv</v>
    <v>176.41</v>
    <v>101.185</v>
    <v>0.21249999999999999</v>
    <v>0.52500000000000002</v>
    <v>3.5179999999999999E-3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149.81989999999999</v>
    <v>Oil &amp; Gas</v>
    <v>Stock</v>
    <v>46127.715360312497</v>
    <v>67</v>
    <v>146.9</v>
    <v>622507208400</v>
    <v>EXXON MOBIL CORPORATION</v>
    <v>EXXON MOBIL CORPORATION</v>
    <v>148.5</v>
    <v>22.418199999999999</v>
    <v>149.24</v>
    <v>149.76499999999999</v>
    <v>4156560000</v>
    <v>XOM</v>
    <v>EXXON MOBIL CORPORATION (XNYS:XOM)</v>
    <v>6901332</v>
    <v>25089902</v>
    <v>1882</v>
  </rv>
  <rv s="2">
    <v>68</v>
  </rv>
  <rv s="0">
    <v>https://www.bing.com/financeapi/forcetrigger?t=a1qpw7&amp;q=XNYS%3aD&amp;form=skydnc</v>
    <v>Learn more on Bing</v>
  </rv>
  <rv s="1">
    <v>0</v>
    <v>Dominion Energy, Inc. (XNYS:D)</v>
    <v>2</v>
    <v>3</v>
    <v>Finance</v>
    <v>4</v>
    <v>en-US</v>
    <v>a1qpw7</v>
    <v>268435456</v>
    <v>1</v>
    <v>Powered by Refinitiv</v>
    <v>67.569900000000004</v>
    <v>51.414999999999999</v>
    <v>0.6462</v>
    <v>-1.01</v>
    <v>-1.5852999999999999E-2</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63.4</v>
    <v>Electrical Utilities &amp; IPPs</v>
    <v>Stock</v>
    <v>46127.715292603905</v>
    <v>70</v>
    <v>62.405000000000001</v>
    <v>55111086690</v>
    <v>Dominion Energy, Inc.</v>
    <v>Dominion Energy, Inc.</v>
    <v>63.14</v>
    <v>18.161300000000001</v>
    <v>63.71</v>
    <v>62.7</v>
    <v>878964700</v>
    <v>D</v>
    <v>Dominion Energy, Inc. (XNYS:D)</v>
    <v>1977762</v>
    <v>4016846</v>
    <v>1983</v>
  </rv>
  <rv s="2">
    <v>71</v>
  </rv>
  <rv s="0">
    <v>https://www.bing.com/financeapi/forcetrigger?t=a1rdzr&amp;q=XNYS%3aDUK&amp;form=skydnc</v>
    <v>Learn more on Bing</v>
  </rv>
  <rv s="1">
    <v>0</v>
    <v>DUKE ENERGY CORPORATION (XNYS:DUK)</v>
    <v>2</v>
    <v>3</v>
    <v>Finance</v>
    <v>4</v>
    <v>en-US</v>
    <v>a1rdzr</v>
    <v>268435456</v>
    <v>1</v>
    <v>Powered by Refinitiv</v>
    <v>134.49</v>
    <v>111.22</v>
    <v>0.42730000000000001</v>
    <v>-0.66</v>
    <v>-5.0860000000000002E-3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129.22999999999999</v>
    <v>Electrical Utilities &amp; IPPs</v>
    <v>Stock</v>
    <v>46127.715312812499</v>
    <v>73</v>
    <v>128.16999999999999</v>
    <v>100470544512</v>
    <v>DUKE ENERGY CORPORATION</v>
    <v>DUKE ENERGY CORPORATION</v>
    <v>129.08000000000001</v>
    <v>20.425899999999999</v>
    <v>129.78</v>
    <v>129.12</v>
    <v>778117600</v>
    <v>DUK</v>
    <v>DUKE ENERGY CORPORATION (XNYS:DUK)</v>
    <v>923556</v>
    <v>4283339</v>
    <v>2005</v>
  </rv>
  <rv s="2">
    <v>74</v>
  </rv>
  <rv s="0">
    <v>https://www.bing.com/financeapi/forcetrigger?t=a1rmkr&amp;q=XNYS%3aED&amp;form=skydnc</v>
    <v>Learn more on Bing</v>
  </rv>
  <rv s="1">
    <v>0</v>
    <v>CONSOLIDATED EDISON, INC. (XNYS:ED)</v>
    <v>2</v>
    <v>3</v>
    <v>Finance</v>
    <v>4</v>
    <v>en-US</v>
    <v>a1rmkr</v>
    <v>268435456</v>
    <v>1</v>
    <v>Powered by Refinitiv</v>
    <v>116.23</v>
    <v>94.96</v>
    <v>0.31030000000000002</v>
    <v>-0.55500000000000005</v>
    <v>-4.9699999999999996E-3</v>
    <v>USD</v>
    <v>Consolidated Edison, Inc. is a holding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along with its electric utility subsidiary, Rockland Electric Company, provides electric service in southeastern New York and northern New Jersey and gas service in southeastern New York. O&amp;R delivers gas to customers in southeastern New York. Con Edison Transmission, Inc. falls primarily under the oversight of the Federal Energy Regulatory Commission, which develops and invests in electric transmission projects and owns, through joint ventures, both electric and gas assets.</v>
    <v>15407</v>
    <v>New York Stock Exchange</v>
    <v>XNYS</v>
    <v>XNYS</v>
    <v>4 Irving Place, NEW YORK, NY, 10003 US</v>
    <v>111.44499999999999</v>
    <v>Electrical Utilities &amp; IPPs</v>
    <v>Stock</v>
    <v>46127.715308738283</v>
    <v>76</v>
    <v>109.95</v>
    <v>40933448536</v>
    <v>CONSOLIDATED EDISON, INC.</v>
    <v>CONSOLIDATED EDISON, INC.</v>
    <v>110.815</v>
    <v>19.653099999999998</v>
    <v>111.66</v>
    <v>111.105</v>
    <v>368421300</v>
    <v>ED</v>
    <v>CONSOLIDATED EDISON, INC. (XNYS:ED)</v>
    <v>407258</v>
    <v>1913772</v>
    <v>1997</v>
  </rv>
  <rv s="2">
    <v>77</v>
  </rv>
  <rv s="0">
    <v>https://www.bing.com/financeapi/forcetrigger?t=a23a5r&amp;q=XNYS%3aSO&amp;form=skydnc</v>
    <v>Learn more on Bing</v>
  </rv>
  <rv s="1">
    <v>0</v>
    <v>THE SOUTHERN COMPANY (XNYS:SO)</v>
    <v>2</v>
    <v>3</v>
    <v>Finance</v>
    <v>4</v>
    <v>en-US</v>
    <v>a23a5r</v>
    <v>268435456</v>
    <v>1</v>
    <v>Powered by Refinitiv</v>
    <v>100.83499999999999</v>
    <v>83.09</v>
    <v>0.373</v>
    <v>-0.79</v>
    <v>-8.2330000000000007E-3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95.584999999999994</v>
    <v>Electrical Utilities &amp; IPPs</v>
    <v>Stock</v>
    <v>46127.715358125002</v>
    <v>79</v>
    <v>94.71</v>
    <v>107285521680</v>
    <v>THE SOUTHERN COMPANY</v>
    <v>THE SOUTHERN COMPANY</v>
    <v>95.55</v>
    <v>24.296700000000001</v>
    <v>95.96</v>
    <v>95.17</v>
    <v>1127304000</v>
    <v>SO</v>
    <v>THE SOUTHERN COMPANY (XNYS:SO)</v>
    <v>1175454</v>
    <v>5132338</v>
    <v>1945</v>
  </rv>
  <rv s="2">
    <v>80</v>
  </rv>
  <rv s="0">
    <v>https://www.bing.com/financeapi/forcetrigger?t=a1o1jc&amp;q=XNYS%3aAWK&amp;form=skydnc</v>
    <v>Learn more on Bing</v>
  </rv>
  <rv s="1">
    <v>0</v>
    <v>AMERICAN WATER WORKS COMPANY, INC. (XNYS:AWK)</v>
    <v>2</v>
    <v>3</v>
    <v>Finance</v>
    <v>4</v>
    <v>en-US</v>
    <v>a1o1jc</v>
    <v>268435456</v>
    <v>1</v>
    <v>Powered by Refinitiv</v>
    <v>150.51</v>
    <v>121.27500000000001</v>
    <v>0.7</v>
    <v>-3.355</v>
    <v>-2.5152000000000001E-2</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The Company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14 states. The Company's utilities operate in states such as Georgia, Hawaii, Indiana, Iowa, Kentucky, Maryland, Tennessee, Virginia and West Virginia. It also serves commercial customers, fire service customers, industrial customers, public authorities, and other utilities and community water and wastewater systems.</v>
    <v>7000</v>
    <v>New York Stock Exchange</v>
    <v>XNYS</v>
    <v>XNYS</v>
    <v>1 Water Street, CAMDEN, NJ, 08102-1658 US</v>
    <v>132.27000000000001</v>
    <v>Water Utilities</v>
    <v>Stock</v>
    <v>46127.715318865623</v>
    <v>82</v>
    <v>128.79</v>
    <v>25393247803</v>
    <v>AMERICAN WATER WORKS COMPANY, INC.</v>
    <v>AMERICAN WATER WORKS COMPANY, INC.</v>
    <v>132</v>
    <v>22.823599999999999</v>
    <v>133.38999999999999</v>
    <v>130.035</v>
    <v>195280100</v>
    <v>AWK</v>
    <v>AMERICAN WATER WORKS COMPANY, INC. (XNYS:AWK)</v>
    <v>958056</v>
    <v>1882141</v>
    <v>1936</v>
  </rv>
  <rv s="2">
    <v>83</v>
  </rv>
  <rv s="0">
    <v>https://www.bing.com/financeapi/forcetrigger?t=a25xjc&amp;q=XNYS%3aWM&amp;form=skydnc</v>
    <v>Learn more on Bing</v>
  </rv>
  <rv s="1">
    <v>0</v>
    <v>WASTE MANAGEMENT, INC. (XNYS:WM)</v>
    <v>2</v>
    <v>3</v>
    <v>Finance</v>
    <v>4</v>
    <v>en-US</v>
    <v>a25xjc</v>
    <v>268435456</v>
    <v>1</v>
    <v>Powered by Refinitiv</v>
    <v>248.13</v>
    <v>194.11</v>
    <v>0.50670000000000004</v>
    <v>-0.73</v>
    <v>-3.215E-3</v>
    <v>USD</v>
    <v>Waste Management, Inc. is a provider of environmental solutions. The Company provides collection, recycling, and disposal services to millions of residential, commercial, industrial, and municipal customers throughout the United States and Canada. Its segments include East Tier, West Tier, Recycling Processing and Sales, WM Renewable Energy, and WM Healthcare Solutions. East Tier primarily consists of geographic areas located in the Eastern U.S., the Great Lakes region and all of Canada. The West Tier primarily includes geographic areas located in the Western U.S., including the upper Midwest region and British Columbia, Canada. Recycling Processing and Sales includes the processing and sales of materials collected from residential, commercial, and industrial customers. WM Renewable Energy develops, operates, and promotes projects for the beneficial use of landfill gas. WM Healthcare Solutions includes Regulated Waste and Compliance Services and Secure Information Destruction services.</v>
    <v>60500</v>
    <v>New York Stock Exchange</v>
    <v>XNYS</v>
    <v>XNYS</v>
    <v>800 Capitol Street, Suite 3000, HOUSTON, TX, 77002 US</v>
    <v>227.57</v>
    <v>Professional &amp; Commercial Services</v>
    <v>Stock</v>
    <v>46127.715280635937</v>
    <v>85</v>
    <v>223.91</v>
    <v>91203499860</v>
    <v>WASTE MANAGEMENT, INC.</v>
    <v>WASTE MANAGEMENT, INC.</v>
    <v>226.61</v>
    <v>33.798699999999997</v>
    <v>227.09</v>
    <v>226.36</v>
    <v>402913500</v>
    <v>WM</v>
    <v>WASTE MANAGEMENT, INC. (XNYS:WM)</v>
    <v>926513</v>
    <v>1872079</v>
    <v>1995</v>
  </rv>
  <rv s="2">
    <v>86</v>
  </rv>
  <rv s="0">
    <v>https://www.bing.com/financeapi/forcetrigger?t=a1x8w7&amp;q=XNYS%3aMA&amp;form=skydnc</v>
    <v>Learn more on Bing</v>
  </rv>
  <rv s="1">
    <v>0</v>
    <v>MASTERCARD INCORPORATED (XNYS:MA)</v>
    <v>2</v>
    <v>3</v>
    <v>Finance</v>
    <v>4</v>
    <v>en-US</v>
    <v>a1x8w7</v>
    <v>268435456</v>
    <v>1</v>
    <v>Powered by Refinitiv</v>
    <v>601.77</v>
    <v>480.5</v>
    <v>0.80559999999999998</v>
    <v>7.08</v>
    <v>1.3796999999999999E-2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39800</v>
    <v>New York Stock Exchange</v>
    <v>XNYS</v>
    <v>XNYS</v>
    <v>2000 Purchase St, PURCHASE, NY, 10577 US</v>
    <v>520.24</v>
    <v>Software &amp; IT Services</v>
    <v>Stock</v>
    <v>46127.715347464844</v>
    <v>88</v>
    <v>513.21</v>
    <v>463956430952</v>
    <v>MASTERCARD INCORPORATED</v>
    <v>MASTERCARD INCORPORATED</v>
    <v>516</v>
    <v>31.480899999999998</v>
    <v>513.16</v>
    <v>520.24</v>
    <v>891812300</v>
    <v>MA</v>
    <v>MASTERCARD INCORPORATED (XNYS:MA)</v>
    <v>1426537</v>
    <v>3332247</v>
    <v>2001</v>
  </rv>
  <rv s="2">
    <v>89</v>
  </rv>
  <rv s="0">
    <v>https://www.bing.com/financeapi/forcetrigger?t=a21icw&amp;q=XNAS%3aPYPL&amp;form=skydnc</v>
    <v>Learn more on Bing</v>
  </rv>
  <rv s="1">
    <v>0</v>
    <v>PAYPAL HOLDINGS, INC. (XNAS:PYPL)</v>
    <v>2</v>
    <v>3</v>
    <v>Finance</v>
    <v>4</v>
    <v>en-US</v>
    <v>a21icw</v>
    <v>268435456</v>
    <v>1</v>
    <v>Powered by Refinitiv</v>
    <v>79.5</v>
    <v>38.46</v>
    <v>1.3966000000000001</v>
    <v>1.385</v>
    <v>2.8871999999999998E-2</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49.46</v>
    <v>Professional &amp; Commercial Services</v>
    <v>Stock</v>
    <v>46127.715354455468</v>
    <v>91</v>
    <v>47.9</v>
    <v>44403410270</v>
    <v>PAYPAL HOLDINGS, INC.</v>
    <v>PAYPAL HOLDINGS, INC.</v>
    <v>48.5</v>
    <v>9.1046999999999993</v>
    <v>47.97</v>
    <v>49.354999999999997</v>
    <v>899674000</v>
    <v>PYPL</v>
    <v>PAYPAL HOLDINGS, INC. (XNAS:PYPL)</v>
    <v>5492183</v>
    <v>16258015</v>
    <v>2015</v>
  </rv>
  <rv s="2">
    <v>92</v>
  </rv>
  <rv s="0">
    <v>https://www.bing.com/financeapi/forcetrigger?t=a256cw&amp;q=XNYS%3aV&amp;form=skydnc</v>
    <v>Learn more on Bing</v>
  </rv>
  <rv s="1">
    <v>0</v>
    <v>VISA INC. (XNYS:V)</v>
    <v>2</v>
    <v>3</v>
    <v>Finance</v>
    <v>4</v>
    <v>en-US</v>
    <v>a256cw</v>
    <v>268435456</v>
    <v>1</v>
    <v>Powered by Refinitiv</v>
    <v>375.51</v>
    <v>293.89</v>
    <v>0.76459999999999995</v>
    <v>4.0949999999999998</v>
    <v>1.3151999999999999E-2</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315.47000000000003</v>
    <v>Professional &amp; Commercial Services</v>
    <v>Stock</v>
    <v>46127.715347500001</v>
    <v>94</v>
    <v>311.52</v>
    <v>601279129185</v>
    <v>VISA INC.</v>
    <v>VISA INC.</v>
    <v>312.74</v>
    <v>29.601700000000001</v>
    <v>311.37</v>
    <v>315.46499999999997</v>
    <v>1906009000</v>
    <v>V</v>
    <v>VISA INC. (XNYS:V)</v>
    <v>2194693</v>
    <v>6943932</v>
    <v>2007</v>
  </rv>
  <rv s="2">
    <v>95</v>
  </rv>
  <rv s="0">
    <v>https://www.bing.com/financeapi/forcetrigger?t=a1uj52&amp;q=XNYS%3aHD&amp;form=skydnc</v>
    <v>Learn more on Bing</v>
  </rv>
  <rv s="1">
    <v>0</v>
    <v>THE HOME DEPOT, INC. (XNYS:HD)</v>
    <v>2</v>
    <v>3</v>
    <v>Finance</v>
    <v>4</v>
    <v>en-US</v>
    <v>a1uj52</v>
    <v>268435456</v>
    <v>1</v>
    <v>Powered by Refinitiv</v>
    <v>426.75</v>
    <v>315.31</v>
    <v>1.0696000000000001</v>
    <v>-5.2850000000000001</v>
    <v>-1.5421000000000001E-2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342.11</v>
    <v>Specialty Retailers</v>
    <v>Stock</v>
    <v>46127.715375890628</v>
    <v>97</v>
    <v>336.62</v>
    <v>336084612930</v>
    <v>THE HOME DEPOT, INC.</v>
    <v>THE HOME DEPOT, INC.</v>
    <v>341.85</v>
    <v>23.703600000000002</v>
    <v>342.71</v>
    <v>337.42500000000001</v>
    <v>996027600</v>
    <v>HD</v>
    <v>THE HOME DEPOT, INC. (XNYS:HD)</v>
    <v>1295828</v>
    <v>4027107</v>
    <v>1978</v>
  </rv>
  <rv s="2">
    <v>98</v>
  </rv>
  <rv s="0">
    <v>https://www.bing.com/financeapi/forcetrigger?t=a1x2ur&amp;q=XNYS%3aLOW&amp;form=skydnc</v>
    <v>Learn more on Bing</v>
  </rv>
  <rv s="1">
    <v>0</v>
    <v>LOWE'S COMPANIES, INC. (XNYS:LOW)</v>
    <v>2</v>
    <v>3</v>
    <v>Finance</v>
    <v>4</v>
    <v>en-US</v>
    <v>a1x2ur</v>
    <v>268435456</v>
    <v>1</v>
    <v>Powered by Refinitiv</v>
    <v>293.06</v>
    <v>210.33</v>
    <v>0.96619999999999995</v>
    <v>-4.3099999999999996</v>
    <v>-1.7347999999999999E-2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167000</v>
    <v>New York Stock Exchange</v>
    <v>XNYS</v>
    <v>XNYS</v>
    <v>1000 Lowes Blvd, MOORESVILLE, NC, 28117-8520 US</v>
    <v>248.44</v>
    <v>Specialty Retailers</v>
    <v>Stock</v>
    <v>46127.71532481406</v>
    <v>100</v>
    <v>242.88</v>
    <v>136728277842</v>
    <v>LOWE'S COMPANIES, INC.</v>
    <v>LOWE'S COMPANIES, INC.</v>
    <v>247.38</v>
    <v>20.607299999999999</v>
    <v>248.44</v>
    <v>244.13</v>
    <v>560063400</v>
    <v>LOW</v>
    <v>LOWE'S COMPANIES, INC. (XNYS:LOW)</v>
    <v>552635</v>
    <v>2568575</v>
    <v>1952</v>
  </rv>
  <rv s="2">
    <v>101</v>
  </rv>
  <rv s="0">
    <v>https://www.bing.com/financeapi/forcetrigger?t=a1q6k2&amp;q=XNAS%3aCOST&amp;form=skydnc</v>
    <v>Learn more on Bing</v>
  </rv>
  <rv s="1">
    <v>0</v>
    <v>COSTCO WHOLESALE CORPORATION (XNAS:COST)</v>
    <v>2</v>
    <v>3</v>
    <v>Finance</v>
    <v>4</v>
    <v>en-US</v>
    <v>a1q6k2</v>
    <v>268435456</v>
    <v>1</v>
    <v>Powered by Refinitiv</v>
    <v>1067.08</v>
    <v>844.06</v>
    <v>0.9395</v>
    <v>8.2349999999999994</v>
    <v>8.4480000000000006E-3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983.96</v>
    <v>Diversified Retail</v>
    <v>Stock</v>
    <v>46127.71535420078</v>
    <v>103</v>
    <v>968.3</v>
    <v>436125935337</v>
    <v>COSTCO WHOLESALE CORPORATION</v>
    <v>COSTCO WHOLESALE CORPORATION</v>
    <v>972</v>
    <v>52.658299999999997</v>
    <v>974.8</v>
    <v>983.03499999999997</v>
    <v>443652500</v>
    <v>COST</v>
    <v>COSTCO WHOLESALE CORPORATION (XNAS:COST)</v>
    <v>774636</v>
    <v>1699465</v>
    <v>1987</v>
  </rv>
  <rv s="2">
    <v>104</v>
  </rv>
  <rv s="0">
    <v>https://www.bing.com/financeapi/forcetrigger?t=a246z2&amp;q=XNYS%3aTGT&amp;form=skydnc</v>
    <v>Learn more on Bing</v>
  </rv>
  <rv s="1">
    <v>0</v>
    <v>TARGET CORPORATION (XNYS:TGT)</v>
    <v>2</v>
    <v>3</v>
    <v>Finance</v>
    <v>4</v>
    <v>en-US</v>
    <v>a246z2</v>
    <v>268435456</v>
    <v>1</v>
    <v>Powered by Refinitiv</v>
    <v>126</v>
    <v>83.44</v>
    <v>0.99470000000000003</v>
    <v>3.33</v>
    <v>2.7858999999999998E-2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122.926</v>
    <v>Diversified Retail</v>
    <v>Stock</v>
    <v>46127.715312025</v>
    <v>106</v>
    <v>118.79</v>
    <v>55637839016</v>
    <v>TARGET CORPORATION</v>
    <v>TARGET CORPORATION</v>
    <v>119.75</v>
    <v>14.9078</v>
    <v>119.53</v>
    <v>122.86</v>
    <v>452855600</v>
    <v>TGT</v>
    <v>TARGET CORPORATION (XNYS:TGT)</v>
    <v>2353783</v>
    <v>5492835</v>
    <v>1902</v>
  </rv>
  <rv s="2">
    <v>107</v>
  </rv>
  <rv s="0">
    <v>https://www.bing.com/financeapi/forcetrigger?t=a25ya2&amp;q=XNYS%3aWMT&amp;form=skydnc</v>
    <v>Learn more on Bing</v>
  </rv>
  <rv s="1">
    <v>0</v>
    <v>WALMART INC. (XNAS:WMT)</v>
    <v>2</v>
    <v>3</v>
    <v>Finance</v>
    <v>4</v>
    <v>en-US</v>
    <v>a25ya2</v>
    <v>268435456</v>
    <v>1</v>
    <v>Powered by Refinitiv</v>
    <v>134.69</v>
    <v>90.61</v>
    <v>0.64259999999999995</v>
    <v>-0.42</v>
    <v>-3.3589999999999996E-3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125.04</v>
    <v>Food &amp; Drug Retailing</v>
    <v>Stock</v>
    <v>46127.715326307814</v>
    <v>109</v>
    <v>123.1799</v>
    <v>993600461260</v>
    <v>WALMART INC.</v>
    <v>WALMART INC.</v>
    <v>124.63</v>
    <v>45.656999999999996</v>
    <v>125.05</v>
    <v>124.63</v>
    <v>7972402000</v>
    <v>WMT</v>
    <v>WALMART INC. (XNAS:WMT)</v>
    <v>6974221</v>
    <v>18956508</v>
    <v>1969</v>
  </rv>
  <rv s="2">
    <v>110</v>
  </rv>
  <rv s="0">
    <v>https://www.bing.com/financeapi/forcetrigger?t=a1o9gh&amp;q=XNYS%3aBBY&amp;form=skydnc</v>
    <v>Learn more on Bing</v>
  </rv>
  <rv s="1">
    <v>0</v>
    <v>Best Buy Co., Inc. (XNYS:BBY)</v>
    <v>2</v>
    <v>3</v>
    <v>Finance</v>
    <v>4</v>
    <v>en-US</v>
    <v>a1o9gh</v>
    <v>268435456</v>
    <v>1</v>
    <v>Powered by Refinitiv</v>
    <v>84.99</v>
    <v>59.16</v>
    <v>1.3360000000000001</v>
    <v>0.83</v>
    <v>1.3373999999999999E-2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63.01</v>
    <v>Specialty Retailers</v>
    <v>Stock</v>
    <v>46127.715317175782</v>
    <v>112</v>
    <v>61.9</v>
    <v>13151091414</v>
    <v>Best Buy Co., Inc.</v>
    <v>Best Buy Co., Inc.</v>
    <v>62.27</v>
    <v>12.460100000000001</v>
    <v>62.06</v>
    <v>62.89</v>
    <v>209112600</v>
    <v>BBY</v>
    <v>Best Buy Co., Inc. (XNYS:BBY)</v>
    <v>981665</v>
    <v>4339812</v>
    <v>1966</v>
  </rv>
  <rv s="2">
    <v>113</v>
  </rv>
  <rv s="0">
    <v>https://www.bing.com/financeapi/forcetrigger?t=a24jvh&amp;q=XNAS%3aTSCO&amp;form=skydnc</v>
    <v>Learn more on Bing</v>
  </rv>
  <rv s="1">
    <v>0</v>
    <v>TRACTOR SUPPLY COMPANY (XNAS:TSCO)</v>
    <v>2</v>
    <v>3</v>
    <v>Finance</v>
    <v>4</v>
    <v>en-US</v>
    <v>a24jvh</v>
    <v>268435456</v>
    <v>1</v>
    <v>Powered by Refinitiv</v>
    <v>63.989899999999999</v>
    <v>43.23</v>
    <v>0.70899999999999996</v>
    <v>0.03</v>
    <v>6.6640000000000004E-4</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45.484999999999999</v>
    <v>Specialty Retailers</v>
    <v>Stock</v>
    <v>46127.715347800782</v>
    <v>115</v>
    <v>44.395000000000003</v>
    <v>23696583815</v>
    <v>TRACTOR SUPPLY COMPANY</v>
    <v>TRACTOR SUPPLY COMPANY</v>
    <v>44.81</v>
    <v>21.87</v>
    <v>45.02</v>
    <v>45.05</v>
    <v>526006300</v>
    <v>TSCO</v>
    <v>TRACTOR SUPPLY COMPANY (XNAS:TSCO)</v>
    <v>2831296</v>
    <v>5633659</v>
    <v>1982</v>
  </rv>
  <rv s="2">
    <v>116</v>
  </rv>
  <rv s="0">
    <v>https://www.bing.com/financeapi/forcetrigger?t=a1mvm7&amp;q=XNYS%3aADM&amp;form=skydnc</v>
    <v>Learn more on Bing</v>
  </rv>
  <rv s="1">
    <v>0</v>
    <v>ARCHER-DANIELS-MIDLAND COMPANY. (XNYS:ADM)</v>
    <v>2</v>
    <v>3</v>
    <v>Finance</v>
    <v>4</v>
    <v>en-US</v>
    <v>a1mvm7</v>
    <v>268435456</v>
    <v>1</v>
    <v>Powered by Refinitiv</v>
    <v>74.19</v>
    <v>45.42</v>
    <v>0.56089999999999995</v>
    <v>-1.58</v>
    <v>-2.2952E-2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68.64</v>
    <v>Food &amp; Tobacco</v>
    <v>Stock</v>
    <v>46127.715326400001</v>
    <v>118</v>
    <v>66.86</v>
    <v>32412264426</v>
    <v>ARCHER-DANIELS-MIDLAND COMPANY.</v>
    <v>ARCHER-DANIELS-MIDLAND COMPANY.</v>
    <v>68.349999999999994</v>
    <v>30.181699999999999</v>
    <v>68.84</v>
    <v>67.260000000000005</v>
    <v>481895100</v>
    <v>ADM</v>
    <v>ARCHER-DANIELS-MIDLAND COMPANY. (XNYS:ADM)</v>
    <v>1106032</v>
    <v>4359290</v>
    <v>1923</v>
  </rv>
  <rv s="2">
    <v>119</v>
  </rv>
  <rv s="0">
    <v>https://www.bing.com/financeapi/forcetrigger?t=a23wlh&amp;q=XNYS%3aSYY&amp;form=skydnc</v>
    <v>Learn more on Bing</v>
  </rv>
  <rv s="1">
    <v>0</v>
    <v>SYSCO CORPORATION (XNYS:SYY)</v>
    <v>2</v>
    <v>3</v>
    <v>Finance</v>
    <v>4</v>
    <v>en-US</v>
    <v>a23wlh</v>
    <v>268435456</v>
    <v>1</v>
    <v>Powered by Refinitiv</v>
    <v>91.844999999999999</v>
    <v>68</v>
    <v>0.67449999999999999</v>
    <v>0.79</v>
    <v>1.0669999999999999E-2</v>
    <v>USD</v>
    <v>Sysco Corporation is the global distributor of food and related products primarily to the foodservice or food-away-from-home industry. The Company's segment includes U.S. Foodservice Operations, International Foodservice Operations, SYGMA and Other. The U.S. Foodservice Operations segment primarily includes its U.S. broad line operations, which distribute a line of food products, including custom-cut meat, seafood, produce, specialty Italian, specialty imports, and a variety of non-food products. The International Foodservice Operations segment includes operations outside the United States which distribute a line of food products and a variety of non-food products. The SYGMA segment is engaged in customized distribution operations serving quick-service chain restaurant customer locations. The Other segment primarily includes its hotel supply operations, Guest Worldwide. It distributes various products, such as frozen foods, canned and dry foods, fresh meats and seafood and others.</v>
    <v>75000</v>
    <v>New York Stock Exchange</v>
    <v>XNYS</v>
    <v>XNYS</v>
    <v>1390 Enclave Pkwy, HOUSTON, TX, 77077 US</v>
    <v>74.98</v>
    <v>Food &amp; Drug Retailing</v>
    <v>Stock</v>
    <v>46127.715312731249</v>
    <v>121</v>
    <v>73.66</v>
    <v>35782082189</v>
    <v>SYSCO CORPORATION</v>
    <v>SYSCO CORPORATION</v>
    <v>73.849999999999994</v>
    <v>20.125299999999999</v>
    <v>74.040000000000006</v>
    <v>74.83</v>
    <v>478178300</v>
    <v>SYY</v>
    <v>SYSCO CORPORATION (XNYS:SYY)</v>
    <v>3315748</v>
    <v>5620748</v>
    <v>1969</v>
  </rv>
  <rv s="2">
    <v>122</v>
  </rv>
  <rv s="0">
    <v>https://www.bing.com/financeapi/forcetrigger?t=a1q7jc&amp;q=XNYS%3aCPB&amp;form=skydnc</v>
    <v>Learn more on Bing</v>
  </rv>
  <rv s="1">
    <v>0</v>
    <v>THE CAMPBELL'S COMPANY (XNAS:CPB)</v>
    <v>2</v>
    <v>3</v>
    <v>Finance</v>
    <v>4</v>
    <v>en-US</v>
    <v>a1q7jc</v>
    <v>268435456</v>
    <v>1</v>
    <v>Powered by Refinitiv</v>
    <v>38.99</v>
    <v>19.760000000000002</v>
    <v>-6.1999999999999998E-3</v>
    <v>0.33500000000000002</v>
    <v>1.6750000000000001E-2</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20.399999999999999</v>
    <v>Food &amp; Tobacco</v>
    <v>Stock</v>
    <v>46127.715342187497</v>
    <v>124</v>
    <v>19.760000000000002</v>
    <v>6062809077</v>
    <v>THE CAMPBELL'S COMPANY</v>
    <v>THE CAMPBELL'S COMPANY</v>
    <v>20</v>
    <v>10.529199999999999</v>
    <v>20</v>
    <v>20.335000000000001</v>
    <v>298146500</v>
    <v>CPB</v>
    <v>THE CAMPBELL'S COMPANY (XNAS:CPB)</v>
    <v>3549811</v>
    <v>10980596</v>
    <v>1922</v>
  </rv>
  <rv s="2">
    <v>125</v>
  </rv>
  <rv s="0">
    <v>https://www.bing.com/financeapi/forcetrigger?t=a1uv7w&amp;q=XNYS%3aHRL&amp;form=skydnc</v>
    <v>Learn more on Bing</v>
  </rv>
  <rv s="1">
    <v>0</v>
    <v>HORMEL FOODS CORPORATION (XNYS:HRL)</v>
    <v>2</v>
    <v>3</v>
    <v>Finance</v>
    <v>4</v>
    <v>en-US</v>
    <v>a1uv7w</v>
    <v>268435456</v>
    <v>1</v>
    <v>Powered by Refinitiv</v>
    <v>31.86</v>
    <v>20.315000000000001</v>
    <v>0.3256</v>
    <v>-0.02</v>
    <v>-9.634E-4</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20.78</v>
    <v>Food &amp; Tobacco</v>
    <v>Stock</v>
    <v>46127.715313066408</v>
    <v>127</v>
    <v>20.414999999999999</v>
    <v>11412894308</v>
    <v>HORMEL FOODS CORPORATION</v>
    <v>HORMEL FOODS CORPORATION</v>
    <v>20.73</v>
    <v>23.337499999999999</v>
    <v>20.76</v>
    <v>20.74</v>
    <v>550284200</v>
    <v>HRL</v>
    <v>HORMEL FOODS CORPORATION (XNYS:HRL)</v>
    <v>1829320</v>
    <v>4709903</v>
    <v>1928</v>
  </rv>
  <rv s="2">
    <v>128</v>
  </rv>
  <rv s="0">
    <v>https://www.bing.com/financeapi/forcetrigger?t=a1uwu2&amp;q=XNYS%3aHSY&amp;form=skydnc</v>
    <v>Learn more on Bing</v>
  </rv>
  <rv s="1">
    <v>0</v>
    <v>THE HERSHEY COMPANY (XNYS:HSY)</v>
    <v>2</v>
    <v>3</v>
    <v>Finance</v>
    <v>4</v>
    <v>en-US</v>
    <v>a1uwu2</v>
    <v>268435456</v>
    <v>1</v>
    <v>Powered by Refinitiv</v>
    <v>239.48</v>
    <v>150.04</v>
    <v>0.1338</v>
    <v>-4.3099999999999996</v>
    <v>-2.1802999999999999E-2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197.53</v>
    <v>Food &amp; Tobacco</v>
    <v>Stock</v>
    <v>46127.715356399996</v>
    <v>130</v>
    <v>192.37</v>
    <v>39194339333</v>
    <v>THE HERSHEY COMPANY</v>
    <v>THE HERSHEY COMPANY</v>
    <v>196.995</v>
    <v>44.5379</v>
    <v>197.68</v>
    <v>193.37</v>
    <v>202690900</v>
    <v>HSY</v>
    <v>THE HERSHEY COMPANY (XNYS:HSY)</v>
    <v>818467</v>
    <v>1857685</v>
    <v>1927</v>
  </rv>
  <rv s="2">
    <v>131</v>
  </rv>
  <rv s="0">
    <v>https://www.bing.com/financeapi/forcetrigger?t=a1wljc&amp;q=XNYS%3aKO&amp;form=skydnc</v>
    <v>Learn more on Bing</v>
  </rv>
  <rv s="1">
    <v>0</v>
    <v>THE COCA-COLA COMPANY (XNYS:KO)</v>
    <v>2</v>
    <v>3</v>
    <v>Finance</v>
    <v>4</v>
    <v>en-US</v>
    <v>a1wljc</v>
    <v>268435456</v>
    <v>1</v>
    <v>Powered by Refinitiv</v>
    <v>82</v>
    <v>65.353800000000007</v>
    <v>0.34610000000000002</v>
    <v>-0.375</v>
    <v>-4.9410000000000001E-3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75.739999999999995</v>
    <v>Beverages</v>
    <v>Stock</v>
    <v>46127.715349571095</v>
    <v>133</v>
    <v>74.724999999999994</v>
    <v>325071155325</v>
    <v>THE COCA-COLA COMPANY</v>
    <v>THE COCA-COLA COMPANY</v>
    <v>75.62</v>
    <v>24.851900000000001</v>
    <v>75.900000000000006</v>
    <v>75.525000000000006</v>
    <v>4304153000</v>
    <v>KO</v>
    <v>THE COCA-COLA COMPANY (XNYS:KO)</v>
    <v>6215605</v>
    <v>14757933</v>
    <v>1919</v>
  </rv>
  <rv s="2">
    <v>134</v>
  </rv>
  <rv s="0">
    <v>http://zh.wikipedia.org/wiki/味可美</v>
    <v>Wikipedia</v>
  </rv>
  <rv s="3">
    <v>12</v>
    <v>136</v>
  </rv>
  <rv s="4">
    <v>9</v>
    <v>https://www.bing.com/th?id=AMMS_8d96836a886471f7120ce0135f3ca8bd&amp;qlt=95</v>
    <v>137</v>
    <v>0</v>
    <v>https://www.bing.com/images/search?form=xlimg&amp;q=mccormick+%26+company</v>
    <v>Image of MCCORMICK &amp; COMPANY, INCORPORATED</v>
  </rv>
  <rv s="0">
    <v>https://www.bing.com/financeapi/forcetrigger?t=a1xof2&amp;q=XNYS%3aMKC.V&amp;form=skydnc</v>
    <v>Learn more on Bing</v>
  </rv>
  <rv s="6">
    <v>10</v>
    <v>MCCORMICK &amp; COMPANY, INCORPORATED (XNYS:MKC.V)</v>
    <v>7</v>
    <v>11</v>
    <v>Finance</v>
    <v>4</v>
    <v>en-US</v>
    <v>a1xof2</v>
    <v>268435456</v>
    <v>1</v>
    <v>Powered by Refinitiv</v>
    <v>80</v>
    <v>48.11</v>
    <v>0.72729999999999995</v>
    <v>-1</v>
    <v>-1.8629E-2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53.27</v>
    <v>138</v>
    <v>Food &amp; Tobacco</v>
    <v>Stock</v>
    <v>46127.709736226563</v>
    <v>139</v>
    <v>52.54</v>
    <v>14162659776</v>
    <v>MCCORMICK &amp; COMPANY, INCORPORATED</v>
    <v>MCCORMICK &amp; COMPANY, INCORPORATED</v>
    <v>52.54</v>
    <v>53.68</v>
    <v>52.68</v>
    <v>268843200</v>
    <v>MKC.V</v>
    <v>MCCORMICK &amp; COMPANY, INCORPORATED (XNYS:MKC.V)</v>
    <v>2683</v>
    <v>7266</v>
    <v>1915</v>
  </rv>
  <rv s="2">
    <v>140</v>
  </rv>
  <rv s="7">
    <v>12</v>
    <v>P/E</v>
    <v>0</v>
  </rv>
  <rv s="0">
    <v>https://www.bing.com/financeapi/forcetrigger?t=axyhnm&amp;q=XNAS%3aPEP&amp;form=skydnc</v>
    <v>Learn more on Bing</v>
  </rv>
  <rv s="1">
    <v>0</v>
    <v>Pepsico, Inc. (XNAS:PEP)</v>
    <v>2</v>
    <v>3</v>
    <v>Finance</v>
    <v>4</v>
    <v>en-US</v>
    <v>axyhnm</v>
    <v>268435456</v>
    <v>1</v>
    <v>Powered by Refinitiv</v>
    <v>171.48</v>
    <v>127.6</v>
    <v>0.39850000000000002</v>
    <v>-0.62</v>
    <v>-3.9820000000000003E-3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155.75989999999999</v>
    <v>Beverages</v>
    <v>Stock</v>
    <v>46127.715290103908</v>
    <v>143</v>
    <v>153.34</v>
    <v>212012549100</v>
    <v>Pepsico, Inc.</v>
    <v>Pepsico, Inc.</v>
    <v>155.02000000000001</v>
    <v>25.843499999999999</v>
    <v>155.72</v>
    <v>155.1</v>
    <v>1366941000</v>
    <v>PEP</v>
    <v>Pepsico, Inc. (XNAS:PEP)</v>
    <v>2853257</v>
    <v>6025731</v>
    <v>1986</v>
  </rv>
  <rv s="2">
    <v>144</v>
  </rv>
  <rv s="0">
    <v>https://www.bing.com/financeapi/forcetrigger?t=a2319c&amp;q=XNYS%3aSJM&amp;form=skydnc</v>
    <v>Learn more on Bing</v>
  </rv>
  <rv s="1">
    <v>0</v>
    <v>THE J. M. SMUCKER COMPANY (XNYS:SJM)</v>
    <v>2</v>
    <v>3</v>
    <v>Finance</v>
    <v>4</v>
    <v>en-US</v>
    <v>a2319c</v>
    <v>268435456</v>
    <v>1</v>
    <v>Powered by Refinitiv</v>
    <v>119.39</v>
    <v>88.25</v>
    <v>0.22109999999999999</v>
    <v>0.65</v>
    <v>7.0489999999999997E-3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93.004999999999995</v>
    <v>Food &amp; Tobacco</v>
    <v>Stock</v>
    <v>46127.71529802031</v>
    <v>146</v>
    <v>91.28</v>
    <v>9903361138</v>
    <v>THE J. M. SMUCKER COMPANY</v>
    <v>THE J. M. SMUCKER COMPANY</v>
    <v>92.31</v>
    <v>0</v>
    <v>92.21</v>
    <v>92.86</v>
    <v>106648300</v>
    <v>SJM</v>
    <v>THE J. M. SMUCKER COMPANY (XNYS:SJM)</v>
    <v>571570</v>
    <v>1954522</v>
    <v>1921</v>
  </rv>
  <rv s="2">
    <v>147</v>
  </rv>
  <rv s="0">
    <v>https://www.bing.com/financeapi/forcetrigger?t=a24km7&amp;q=XNYS%3aTSN&amp;form=skydnc</v>
    <v>Learn more on Bing</v>
  </rv>
  <rv s="1">
    <v>0</v>
    <v>TYSON FOODS, INCORPORATED (XNYS:TSN)</v>
    <v>2</v>
    <v>3</v>
    <v>Finance</v>
    <v>4</v>
    <v>en-US</v>
    <v>a24km7</v>
    <v>268435456</v>
    <v>1</v>
    <v>Powered by Refinitiv</v>
    <v>66.41</v>
    <v>50.56</v>
    <v>0.42009999999999997</v>
    <v>-0.56999999999999995</v>
    <v>-8.7749999999999998E-3</v>
    <v>USD</v>
    <v>Tyson Foods, Inc. is a food company. The Company has a portfolio of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The Pork segment includes operations related to processing live market hogs and fabricating pork carcasses into primal and sub-primal cuts and case-ready products. The Chicken segment includes its domestic operations related to raising and processing live chickens into, and purchasing raw materials for fresh, frozen and value-added chicken products and sales of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64.92</v>
    <v>Food &amp; Tobacco</v>
    <v>Stock</v>
    <v>46127.715333760934</v>
    <v>149</v>
    <v>63.55</v>
    <v>22670366810</v>
    <v>TYSON FOODS, INCORPORATED</v>
    <v>TYSON FOODS, INCORPORATED</v>
    <v>64.92</v>
    <v>112.9055</v>
    <v>64.959999999999994</v>
    <v>64.39</v>
    <v>352079000</v>
    <v>TSN</v>
    <v>TYSON FOODS, INCORPORATED (XNYS:TSN)</v>
    <v>684876</v>
    <v>2863739</v>
    <v>1986</v>
  </rv>
  <rv s="2">
    <v>150</v>
  </rv>
  <rv s="0">
    <v>https://www.bing.com/financeapi/forcetrigger?t=a1zsjc&amp;q=XNYS%3aPG&amp;form=skydnc</v>
    <v>Learn more on Bing</v>
  </rv>
  <rv s="1">
    <v>0</v>
    <v>THE PROCTER &amp; GAMBLE COMPANY (XNYS:PG)</v>
    <v>2</v>
    <v>3</v>
    <v>Finance</v>
    <v>4</v>
    <v>en-US</v>
    <v>a1zsjc</v>
    <v>268435456</v>
    <v>1</v>
    <v>Powered by Refinitiv</v>
    <v>171.65</v>
    <v>137.62</v>
    <v>0.40300000000000002</v>
    <v>-0.73</v>
    <v>-5.0560000000000006E-3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144.40309999999999</v>
    <v>Personal &amp; Household Products &amp; Services</v>
    <v>Stock</v>
    <v>46127.715301527343</v>
    <v>152</v>
    <v>142.26</v>
    <v>333842743650</v>
    <v>THE PROCTER &amp; GAMBLE COMPANY</v>
    <v>THE PROCTER &amp; GAMBLE COMPANY</v>
    <v>144.25</v>
    <v>21.285</v>
    <v>144.38</v>
    <v>143.65</v>
    <v>2324001000</v>
    <v>PG</v>
    <v>THE PROCTER &amp; GAMBLE COMPANY (XNYS:PG)</v>
    <v>2451899</v>
    <v>10522109</v>
    <v>1905</v>
  </rv>
  <rv s="2">
    <v>153</v>
  </rv>
  <rv s="0">
    <v>https://www.bing.com/financeapi/forcetrigger?t=a1pvu2&amp;q=XNYS%3aCLX&amp;form=skydnc</v>
    <v>Learn more on Bing</v>
  </rv>
  <rv s="1">
    <v>0</v>
    <v>THE CLOROX COMPANY (XNYS:CLX)</v>
    <v>2</v>
    <v>3</v>
    <v>Finance</v>
    <v>4</v>
    <v>en-US</v>
    <v>a1pvu2</v>
    <v>268435456</v>
    <v>1</v>
    <v>Powered by Refinitiv</v>
    <v>143.96</v>
    <v>96.6601</v>
    <v>0.66139999999999999</v>
    <v>-1.375</v>
    <v>-1.3165E-2</v>
    <v>USD</v>
    <v>The Clorox Company is a multinational manufacturer and marketer of consumer and professional products. Its brands include Brita, Burt's Bees, Clorox, Fresh Step, Glad, Hidden Valley, Kingsford, Liquid-Plumr, Pine-Sol and Purell as well as international brands such as Chux, Clorinda and Poett. Its segments include Health and Wellness, Household, Lifestyle and International. Health and Wellness segment consists of cleaning, disinfecting and professional products marketed and sold in the United States. Products within this segment include home care, cleaning and disinfecting products and laundry additives; professional cleaning and disinfecting products, and others. Household segment consists of bags and wraps, cat litter and grilling products marketed and sold in the United States. Lifestyle segment consists of food, water filtration and natural personal care products marketed and sold in the United States. International segment consists of products sold outside the United States.</v>
    <v>7600</v>
    <v>New York Stock Exchange</v>
    <v>XNYS</v>
    <v>XNYS</v>
    <v>1221 Broadway, OAKLAND, CA, 94612-1888 US</v>
    <v>104.59</v>
    <v>Personal &amp; Household Products &amp; Services</v>
    <v>Stock</v>
    <v>46127.715313043751</v>
    <v>155</v>
    <v>102.38500000000001</v>
    <v>12461784973</v>
    <v>THE CLOROX COMPANY</v>
    <v>THE CLOROX COMPANY</v>
    <v>104.3</v>
    <v>16.8399</v>
    <v>104.44</v>
    <v>103.065</v>
    <v>120911900</v>
    <v>CLX</v>
    <v>THE CLOROX COMPANY (XNYS:CLX)</v>
    <v>630689</v>
    <v>2161544</v>
    <v>1986</v>
  </rv>
  <rv s="2">
    <v>156</v>
  </rv>
  <rv s="0">
    <v>https://www.bing.com/financeapi/forcetrigger?t=a1wjz2&amp;q=XNYS%3aKMB&amp;form=skydnc</v>
    <v>Learn more on Bing</v>
  </rv>
  <rv s="1">
    <v>0</v>
    <v>KIMBERLY-CLARK CORPORATION (XNAS:KMB)</v>
    <v>2</v>
    <v>3</v>
    <v>Finance</v>
    <v>4</v>
    <v>en-US</v>
    <v>a1wjz2</v>
    <v>268435456</v>
    <v>1</v>
    <v>Powered by Refinitiv</v>
    <v>144.30500000000001</v>
    <v>92.42</v>
    <v>0.31140000000000001</v>
    <v>-0.51500000000000001</v>
    <v>-5.3010000000000002E-3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97.5</v>
    <v>Personal &amp; Household Products &amp; Services</v>
    <v>Stock</v>
    <v>46127.715315253903</v>
    <v>158</v>
    <v>95.87</v>
    <v>32078968941</v>
    <v>KIMBERLY-CLARK CORPORATION</v>
    <v>KIMBERLY-CLARK CORPORATION</v>
    <v>97.16</v>
    <v>19.782800000000002</v>
    <v>97.16</v>
    <v>96.644999999999996</v>
    <v>331925800</v>
    <v>KMB</v>
    <v>KIMBERLY-CLARK CORPORATION (XNAS:KMB)</v>
    <v>1251719</v>
    <v>5075842</v>
    <v>1928</v>
  </rv>
  <rv s="2">
    <v>159</v>
  </rv>
  <rv s="0">
    <v>https://www.bing.com/financeapi/forcetrigger?t=a1pshw&amp;q=XNYS%3aCL&amp;form=skydnc</v>
    <v>Learn more on Bing</v>
  </rv>
  <rv s="1">
    <v>0</v>
    <v>COLGATE-PALMOLIVE COMPANY (XNYS:CL)</v>
    <v>2</v>
    <v>3</v>
    <v>Finance</v>
    <v>4</v>
    <v>en-US</v>
    <v>a1pshw</v>
    <v>268435456</v>
    <v>1</v>
    <v>Powered by Refinitiv</v>
    <v>99.33</v>
    <v>74.545000000000002</v>
    <v>0.312</v>
    <v>-0.42</v>
    <v>-4.9899999999999996E-3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84.36</v>
    <v>Personal &amp; Household Products &amp; Services</v>
    <v>Stock</v>
    <v>46127.715354941407</v>
    <v>161</v>
    <v>82.6</v>
    <v>67184761105</v>
    <v>COLGATE-PALMOLIVE COMPANY</v>
    <v>COLGATE-PALMOLIVE COMPANY</v>
    <v>84.094999999999999</v>
    <v>31.944800000000001</v>
    <v>84.16</v>
    <v>83.74</v>
    <v>802301900</v>
    <v>CL</v>
    <v>COLGATE-PALMOLIVE COMPANY (XNYS:CL)</v>
    <v>2109556</v>
    <v>6344231</v>
    <v>1923</v>
  </rv>
  <rv s="2">
    <v>162</v>
  </rv>
  <rv s="0">
    <v>https://www.bing.com/financeapi/forcetrigger?t=a1yjxm&amp;q=XNYS%3aNKE&amp;form=skydnc</v>
    <v>Learn more on Bing</v>
  </rv>
  <rv s="1">
    <v>0</v>
    <v>NIKE, INC. (XNYS:NKE)</v>
    <v>2</v>
    <v>3</v>
    <v>Finance</v>
    <v>4</v>
    <v>en-US</v>
    <v>a1yjxm</v>
    <v>268435456</v>
    <v>1</v>
    <v>Powered by Refinitiv</v>
    <v>80.165000000000006</v>
    <v>42.09</v>
    <v>1.2231000000000001</v>
    <v>1.3</v>
    <v>2.9411999999999997E-2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45.9</v>
    <v>Textiles &amp; Apparel</v>
    <v>Stock</v>
    <v>46127.715312835157</v>
    <v>164</v>
    <v>44.71</v>
    <v>67380358500</v>
    <v>NIKE, INC.</v>
    <v>NIKE, INC.</v>
    <v>45.15</v>
    <v>26.68</v>
    <v>44.2</v>
    <v>45.5</v>
    <v>1480887000</v>
    <v>NKE</v>
    <v>NIKE, INC. (XNYS:NKE)</v>
    <v>20552726</v>
    <v>25138766</v>
    <v>1969</v>
  </rv>
  <rv s="2">
    <v>165</v>
  </rv>
  <rv s="0">
    <v>https://www.bing.com/financeapi/forcetrigger?t=a22k9c&amp;q=XNAS%3aSBUX&amp;form=skydnc</v>
    <v>Learn more on Bing</v>
  </rv>
  <rv s="1">
    <v>0</v>
    <v>STARBUCKS CORPORATION (XNAS:SBUX)</v>
    <v>2</v>
    <v>3</v>
    <v>Finance</v>
    <v>4</v>
    <v>en-US</v>
    <v>a22k9c</v>
    <v>268435456</v>
    <v>1</v>
    <v>Powered by Refinitiv</v>
    <v>104.82</v>
    <v>75.5</v>
    <v>0.96399999999999997</v>
    <v>0.49</v>
    <v>4.9759999999999995E-3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98.99</v>
    <v>Hotels &amp; Entertainment Services</v>
    <v>Stock</v>
    <v>46127.715317140624</v>
    <v>167</v>
    <v>97.8</v>
    <v>112745128000</v>
    <v>STARBUCKS CORPORATION</v>
    <v>STARBUCKS CORPORATION</v>
    <v>98.49</v>
    <v>82.4392</v>
    <v>98.47</v>
    <v>98.96</v>
    <v>1139300000</v>
    <v>SBUX</v>
    <v>STARBUCKS CORPORATION (XNAS:SBUX)</v>
    <v>2218464</v>
    <v>7882312</v>
    <v>1985</v>
  </rv>
  <rv s="2">
    <v>168</v>
  </rv>
  <rv s="0">
    <v>http://en.wikipedia.org/wiki/McDonald's</v>
    <v>Wikipedia</v>
  </rv>
  <rv s="3">
    <v>12</v>
    <v>170</v>
  </rv>
  <rv s="4">
    <v>9</v>
    <v>https://www.bing.com/th?id=AMMS_7d8255243964a8970376f8dd41121106&amp;qlt=95</v>
    <v>171</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0.49170000000000003</v>
    <v>3.16</v>
    <v>1.0421E-2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306.41500000000002</v>
    <v>172</v>
    <v>Hotels &amp; Entertainment Services</v>
    <v>Stock</v>
    <v>46127.715297036717</v>
    <v>173</v>
    <v>303.00420000000003</v>
    <v>217783360088</v>
    <v>MCDONALD'S CORPORATION</v>
    <v>MCDONALD'S CORPORATION</v>
    <v>304.10000000000002</v>
    <v>25.6312</v>
    <v>303.22000000000003</v>
    <v>306.38</v>
    <v>710827600</v>
    <v>MCD</v>
    <v>MCDONALD'S CORPORATION (XNYS:MCD)</v>
    <v>995511</v>
    <v>3029048</v>
    <v>1964</v>
  </rv>
  <rv s="2">
    <v>174</v>
  </rv>
  <rv s="0">
    <v>https://www.bing.com/financeapi/forcetrigger?t=a1r9lh&amp;q=XNYS%3aDPZ&amp;form=skydnc</v>
    <v>Learn more on Bing</v>
  </rv>
  <rv s="1">
    <v>0</v>
    <v>DOMINO'S PIZZA, INC. (XNAS:DPZ)</v>
    <v>2</v>
    <v>3</v>
    <v>Finance</v>
    <v>4</v>
    <v>en-US</v>
    <v>a1r9lh</v>
    <v>268435456</v>
    <v>1</v>
    <v>Powered by Refinitiv</v>
    <v>499.08</v>
    <v>346.31</v>
    <v>1.1286</v>
    <v>0.39</v>
    <v>1.0560000000000001E-3</v>
    <v>USD</v>
    <v>Domino’s Pizza, Inc. is a pizza company with a significant business in both delivery and carryout. The Company operates through three segments: U.S. stores, international franchise, and supply chain. The U.S. stores segment is comprised primarily of its franchise operations, which consists of franchised stores located in the United States. The segment also operates a network of United States Company-owned stores. The international franchise segment primarily includes operations related to the Company’s franchising business in foreign markets. The supply chain segment primarily includes the distribution of food, equipment and supplies to stores from the Company’s supply chain center operations in the United States and Canada. It is primarily a franchisor, with approximately 99% of its global stores owned and operated by its independent franchisees. In its international markets, the Company generally grants geographical rights to the Domino’s Pizza brand to master franchisees.</v>
    <v>10200</v>
    <v>Nasdaq Stock Market</v>
    <v>XNAS</v>
    <v>XNAS</v>
    <v>30 Frank Lloyd Wright Drive, ANN ARBOR, MI, 48105 US</v>
    <v>370</v>
    <v>Hotels &amp; Entertainment Services</v>
    <v>Stock</v>
    <v>46127.715325960155</v>
    <v>176</v>
    <v>365.45</v>
    <v>12426713692</v>
    <v>DOMINO'S PIZZA, INC.</v>
    <v>DOMINO'S PIZZA, INC.</v>
    <v>369.17</v>
    <v>21.028400000000001</v>
    <v>369.17</v>
    <v>369.56</v>
    <v>33625700</v>
    <v>DPZ</v>
    <v>DOMINO'S PIZZA, INC. (XNAS:DPZ)</v>
    <v>260944</v>
    <v>1002072</v>
    <v>2002</v>
  </rv>
  <rv s="2">
    <v>177</v>
  </rv>
  <rv s="0">
    <v>https://www.bing.com/financeapi/forcetrigger?t=a1xtpr&amp;q=XNYS%3aMO&amp;form=skydnc</v>
    <v>Learn more on Bing</v>
  </rv>
  <rv s="1">
    <v>0</v>
    <v>Altria Group, Inc. (XNYS:MO)</v>
    <v>2</v>
    <v>3</v>
    <v>Finance</v>
    <v>4</v>
    <v>en-US</v>
    <v>a1xtpr</v>
    <v>268435456</v>
    <v>1</v>
    <v>Powered by Refinitiv</v>
    <v>70.510000000000005</v>
    <v>54.7</v>
    <v>0.4622</v>
    <v>-0.61499999999999999</v>
    <v>-9.3720000000000001E-3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65.349999999999994</v>
    <v>Food &amp; Tobacco</v>
    <v>Stock</v>
    <v>46127.715305428123</v>
    <v>179</v>
    <v>64.290000000000006</v>
    <v>108643766570</v>
    <v>Altria Group, Inc.</v>
    <v>Altria Group, Inc.</v>
    <v>65.349999999999994</v>
    <v>15.7906</v>
    <v>65.62</v>
    <v>65.004999999999995</v>
    <v>1671314000</v>
    <v>MO</v>
    <v>Altria Group, Inc. (XNYS:MO)</v>
    <v>3423499</v>
    <v>9906670</v>
    <v>1985</v>
  </rv>
  <rv s="2">
    <v>180</v>
  </rv>
  <rv s="0">
    <v>https://www.bing.com/financeapi/forcetrigger?t=a1zzmw&amp;q=XNYS%3aPM&amp;form=skydnc</v>
    <v>Learn more on Bing</v>
  </rv>
  <rv s="1">
    <v>0</v>
    <v>Philip Morris International Inc. (XNYS:PM)</v>
    <v>2</v>
    <v>3</v>
    <v>Finance</v>
    <v>4</v>
    <v>en-US</v>
    <v>a1zzmw</v>
    <v>268435456</v>
    <v>1</v>
    <v>Powered by Refinitiv</v>
    <v>191.3</v>
    <v>142.11000000000001</v>
    <v>0.39950000000000002</v>
    <v>-0.87</v>
    <v>-5.4559999999999999E-3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159.55000000000001</v>
    <v>Food &amp; Tobacco</v>
    <v>Stock</v>
    <v>46127.715284154685</v>
    <v>182</v>
    <v>157.25</v>
    <v>247182858000</v>
    <v>Philip Morris International Inc.</v>
    <v>Philip Morris International Inc.</v>
    <v>158.93</v>
    <v>21.836099999999998</v>
    <v>159.47</v>
    <v>158.6</v>
    <v>1558530000</v>
    <v>PM</v>
    <v>Philip Morris International Inc. (XNYS:PM)</v>
    <v>1466194</v>
    <v>4899076</v>
    <v>2007</v>
  </rv>
  <rv s="2">
    <v>183</v>
  </rv>
  <rv s="0">
    <v>https://www.bing.com/financeapi/forcetrigger?t=a1odur&amp;q=XNYS%3aBF.A&amp;form=skydnc</v>
    <v>Learn more on Bing</v>
  </rv>
  <rv s="1">
    <v>0</v>
    <v>BROWN-FORMAN CORPORATION (XNYS:BF.A)</v>
    <v>2</v>
    <v>3</v>
    <v>Finance</v>
    <v>4</v>
    <v>en-US</v>
    <v>a1odur</v>
    <v>268435456</v>
    <v>1</v>
    <v>Powered by Refinitiv</v>
    <v>35.954999999999998</v>
    <v>23.01</v>
    <v>0.43490000000000001</v>
    <v>-0.77200000000000002</v>
    <v>-2.6019999999999998E-2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29.49</v>
    <v>Beverages</v>
    <v>Stock</v>
    <v>46127.715006747654</v>
    <v>185</v>
    <v>28.72</v>
    <v>13255616632</v>
    <v>BROWN-FORMAN CORPORATION</v>
    <v>BROWN-FORMAN CORPORATION</v>
    <v>29.49</v>
    <v>0</v>
    <v>29.67</v>
    <v>28.898</v>
    <v>458703600</v>
    <v>BF.A</v>
    <v>BROWN-FORMAN CORPORATION (XNYS:BF.A)</v>
    <v>50117</v>
    <v>287840</v>
    <v>1933</v>
  </rv>
  <rv s="2">
    <v>186</v>
  </rv>
  <rv s="0">
    <v>https://www.bing.com/financeapi/forcetrigger?t=a1qwoc&amp;q=XNYS%3aDEO&amp;form=skydnc</v>
    <v>Learn more on Bing</v>
  </rv>
  <rv s="1">
    <v>0</v>
    <v>DIAGEO PLC (XNYS:DEO)</v>
    <v>2</v>
    <v>3</v>
    <v>Finance</v>
    <v>4</v>
    <v>en-US</v>
    <v>a1qwoc</v>
    <v>268435456</v>
    <v>1</v>
    <v>Powered by Refinitiv</v>
    <v>116.69</v>
    <v>72.45</v>
    <v>0.52569999999999995</v>
    <v>-1</v>
    <v>-1.2421999999999999E-2</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80.959999999999994</v>
    <v>Beverages</v>
    <v>Stock</v>
    <v>46127.715310346874</v>
    <v>188</v>
    <v>79.17</v>
    <v>44252832300</v>
    <v>DIAGEO PLC</v>
    <v>DIAGEO PLC</v>
    <v>80.900000000000006</v>
    <v>18.364100000000001</v>
    <v>80.5</v>
    <v>79.5</v>
    <v>556639400</v>
    <v>DEO</v>
    <v>DIAGEO PLC (XNYS:DEO)</v>
    <v>1867873</v>
    <v>1841393</v>
    <v>1886</v>
  </rv>
  <rv s="2">
    <v>189</v>
  </rv>
  <rv s="0">
    <v>https://www.bing.com/financeapi/forcetrigger?t=a1sl52&amp;q=XNAS%3aFAST&amp;form=skydnc</v>
    <v>Learn more on Bing</v>
  </rv>
  <rv s="1">
    <v>0</v>
    <v>FASTENAL COMPANY (XNAS:FAST)</v>
    <v>2</v>
    <v>3</v>
    <v>Finance</v>
    <v>4</v>
    <v>en-US</v>
    <v>a1sl52</v>
    <v>268435456</v>
    <v>1</v>
    <v>Powered by Refinitiv</v>
    <v>50.63</v>
    <v>38.970300000000002</v>
    <v>0.79249999999999998</v>
    <v>-0.48</v>
    <v>-1.0758E-2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It serves general and commercial contractors in non-residential end markets as well as farmers, truckers, railroads, oil exploration companies, oil production and refinement companies, mining companies, federal, state, and local governmental entities, schools, warehouse and storage, data centers, and certain retail trades. The Company also invests in digital solutions and leverages local inventory for same-day solutions and provides services.</v>
    <v>21602</v>
    <v>Nasdaq Stock Market</v>
    <v>XNAS</v>
    <v>XNAS</v>
    <v>2001 Theurer Blvd, WINONA, MN, 55987 US</v>
    <v>44.5</v>
    <v>Machinery, Equipment &amp; Components</v>
    <v>Stock</v>
    <v>46127.715343460157</v>
    <v>191</v>
    <v>43.52</v>
    <v>50672764140</v>
    <v>FASTENAL COMPANY</v>
    <v>FASTENAL COMPANY</v>
    <v>44.5</v>
    <v>40.343699999999998</v>
    <v>44.62</v>
    <v>44.14</v>
    <v>1148001000</v>
    <v>FAST</v>
    <v>FASTENAL COMPANY (XNAS:FAST)</v>
    <v>3889734</v>
    <v>8218397</v>
    <v>1968</v>
  </rv>
  <rv s="2">
    <v>192</v>
  </rv>
  <rv s="0">
    <v>https://www.bing.com/financeapi/forcetrigger?t=a1vv8m&amp;q=XNYS%3aITW&amp;form=skydnc</v>
    <v>Learn more on Bing</v>
  </rv>
  <rv s="1">
    <v>0</v>
    <v>ILLINOIS TOOL WORKS INC. (XNYS:ITW)</v>
    <v>2</v>
    <v>3</v>
    <v>Finance</v>
    <v>4</v>
    <v>en-US</v>
    <v>a1vv8m</v>
    <v>268435456</v>
    <v>1</v>
    <v>Powered by Refinitiv</v>
    <v>303.15499999999997</v>
    <v>224.9</v>
    <v>1.1372</v>
    <v>-8.42</v>
    <v>-3.0926999999999996E-2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270.8</v>
    <v>Consumer Goods Conglomerates</v>
    <v>Stock</v>
    <v>46127.71529288125</v>
    <v>194</v>
    <v>262.11</v>
    <v>76003645123</v>
    <v>ILLINOIS TOOL WORKS INC.</v>
    <v>ILLINOIS TOOL WORKS INC.</v>
    <v>270.3</v>
    <v>25.147300000000001</v>
    <v>272.25</v>
    <v>263.83</v>
    <v>288078100</v>
    <v>ITW</v>
    <v>ILLINOIS TOOL WORKS INC. (XNYS:ITW)</v>
    <v>608419</v>
    <v>1243953</v>
    <v>1961</v>
  </rv>
  <rv s="2">
    <v>195</v>
  </rv>
  <rv s="0">
    <v>https://www.bing.com/financeapi/forcetrigger?t=a1xroc&amp;q=XNYS%3aMMM&amp;form=skydnc</v>
    <v>Learn more on Bing</v>
  </rv>
  <rv s="1">
    <v>0</v>
    <v>3M COMPANY (XNYS:MMM)</v>
    <v>2</v>
    <v>3</v>
    <v>Finance</v>
    <v>4</v>
    <v>en-US</v>
    <v>a1xroc</v>
    <v>268435456</v>
    <v>1</v>
    <v>Powered by Refinitiv</v>
    <v>177.41</v>
    <v>124.65</v>
    <v>1.0813999999999999</v>
    <v>-2.0150000000000001</v>
    <v>-1.3209E-2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152.672</v>
    <v>Consumer Goods Conglomerates</v>
    <v>Stock</v>
    <v>46127.715243251565</v>
    <v>197</v>
    <v>150.09</v>
    <v>78638911967</v>
    <v>3M COMPANY</v>
    <v>3M COMPANY</v>
    <v>152.13999999999999</v>
    <v>25.107600000000001</v>
    <v>152.55000000000001</v>
    <v>150.535</v>
    <v>522396200</v>
    <v>MMM</v>
    <v>3M COMPANY (XNYS:MMM)</v>
    <v>1069968</v>
    <v>3568841</v>
    <v>1929</v>
  </rv>
  <rv s="2">
    <v>198</v>
  </rv>
  <rv s="0">
    <v>https://www.bing.com/financeapi/forcetrigger?t=a237gh&amp;q=XNYS%3aSNA&amp;form=skydnc</v>
    <v>Learn more on Bing</v>
  </rv>
  <rv s="1">
    <v>0</v>
    <v>SNAP-ON INCORPORATED (XNYS:SNA)</v>
    <v>2</v>
    <v>3</v>
    <v>Finance</v>
    <v>4</v>
    <v>en-US</v>
    <v>a237gh</v>
    <v>268435456</v>
    <v>1</v>
    <v>Powered by Refinitiv</v>
    <v>390.13</v>
    <v>289.81</v>
    <v>0.75839999999999996</v>
    <v>-11.815</v>
    <v>-3.1267000000000003E-2</v>
    <v>USD</v>
    <v>Snap-On Inc is a manufacturer and marketer of tools, equipment, diagnostics, repair information, and systems solutions. The Company operates through four segments, which include the Commercial &amp; Industrial Group, the Snap-on Tools Group, the Repair Systems &amp; Information Group and Financial Services. The Commercial &amp; Industrial Group segment consists of business operations serving a range of industrial and commercial customers globally, including customers in the aerospace, natural resources, government, and military. The Snap-on Tools Group segment consists of business operations primarily serving vehicle service and repair technicians through the company's multinational mobile tool distribution channel. The Repair Systems &amp; Information Group segment consists of business operations serving other professional vehicle repair customers globally. The Financial Services segment consists of the business operations of Snap-on’s finance subsidiaries.</v>
    <v>13000</v>
    <v>New York Stock Exchange</v>
    <v>XNYS</v>
    <v>XNYS</v>
    <v>2801 80th St, KENOSHA, WI, 53143 US</v>
    <v>375.47</v>
    <v>Machinery, Equipment &amp; Components</v>
    <v>Stock</v>
    <v>46127.715272777343</v>
    <v>200</v>
    <v>364.53</v>
    <v>19055849593</v>
    <v>SNAP-ON INCORPORATED</v>
    <v>SNAP-ON INCORPORATED</v>
    <v>375.47</v>
    <v>19.078499999999998</v>
    <v>377.87</v>
    <v>366.05500000000001</v>
    <v>52057340</v>
    <v>SNA</v>
    <v>SNAP-ON INCORPORATED (XNYS:SNA)</v>
    <v>102735</v>
    <v>402624</v>
    <v>1930</v>
  </rv>
  <rv s="2">
    <v>201</v>
  </rv>
  <rv s="0">
    <v>https://www.bing.com/financeapi/forcetrigger?t=a23tw7&amp;q=XNYS%3aSWK&amp;form=skydnc</v>
    <v>Learn more on Bing</v>
  </rv>
  <rv s="1">
    <v>0</v>
    <v>STANLEY BLACK &amp; DECKER, INC. (XNYS:SWK)</v>
    <v>2</v>
    <v>3</v>
    <v>Finance</v>
    <v>4</v>
    <v>en-US</v>
    <v>a23tw7</v>
    <v>268435456</v>
    <v>1</v>
    <v>Powered by Refinitiv</v>
    <v>93.37</v>
    <v>55.38</v>
    <v>1.1820999999999999</v>
    <v>-4.99</v>
    <v>-6.9123000000000004E-2</v>
    <v>USD</v>
    <v>Stanley Black &amp; Decker Inc. is a global provider of hand tools, power tools, outdoor products and related accessories, as well as a provider of engineered fastening solutions. The Company’s segments include Tools &amp; Outdoor and Engineered Fastening. The Tools &amp; Outdoor segment is comprised of the Power Tools Group (PTG), Hand Tools, Accessories &amp; Storage (HTAS) and Outdoor Power Equipment (Outdoor) product lines. The PTG product line includes both professional and consumer products. The HTAS product line sells hand tools, power tool accessories and storage products. The Outdoor product line primarily sells corded and cordless electric lawn and garden products. The Engineered Fastening segment primarily sells highly engineered components such as fasteners, fittings and various engineered products, which are designed for specific application across multiple verticals. The Company's portfolio of brands includes DEWALT, CRAFTSMAN, STANLEY, BLACK+DECKER, and Cub Cadet.</v>
    <v>43500</v>
    <v>New York Stock Exchange</v>
    <v>XNYS</v>
    <v>XNYS</v>
    <v>1000 Stanley Dr, PO Box 7000, NEW BRITAIN, CT, 06053-1675 US</v>
    <v>71.650000000000006</v>
    <v>Machinery, Equipment &amp; Components</v>
    <v>Stock</v>
    <v>46127.715290346874</v>
    <v>203</v>
    <v>66.965000000000003</v>
    <v>10435246080</v>
    <v>STANLEY BLACK &amp; DECKER, INC.</v>
    <v>STANLEY BLACK &amp; DECKER, INC.</v>
    <v>71.650000000000006</v>
    <v>25.398700000000002</v>
    <v>72.19</v>
    <v>67.2</v>
    <v>155286400</v>
    <v>SWK</v>
    <v>STANLEY BLACK &amp; DECKER, INC. (XNYS:SWK)</v>
    <v>1706281</v>
    <v>1688298</v>
    <v>1901</v>
  </rv>
  <rv s="2">
    <v>204</v>
  </rv>
  <rv s="0">
    <v>https://www.bing.com/financeapi/forcetrigger?t=a262ar&amp;q=XNYS%3aWSO&amp;form=skydnc</v>
    <v>Learn more on Bing</v>
  </rv>
  <rv s="1">
    <v>0</v>
    <v>WATSCO, INC. (XNYS:WSO)</v>
    <v>2</v>
    <v>3</v>
    <v>Finance</v>
    <v>4</v>
    <v>en-US</v>
    <v>a262ar</v>
    <v>268435456</v>
    <v>1</v>
    <v>Powered by Refinitiv</v>
    <v>518</v>
    <v>323.05</v>
    <v>1.0568</v>
    <v>-3.63</v>
    <v>-8.8400000000000006E-3</v>
    <v>USD</v>
    <v>Watsco, Inc. is a distributor of air conditioning, heating and refrigeration equipment and related parts and supplies. It sells air conditioning and heating equipment to the replacement and new construction markets for both residential and commercial applications. It also sells a variety of non-equipment products including parts, supplies, ductwork, air movement products, insulation, tools, installation supplies, thermostats, and air quality products. It provides condensing units, compressors, evaporators, valves, refrigerants, walk-in coolers, and ice machines for industrial and commercial applications. Its business units include Carrier Enterprise, Baker Distributing Company, Gemaire Distributors, East Coast Metal Distributors, Heating and Cooling Supply, Homans Associates, Pierce Phelps, N&amp;S Supply, Acme Refrigeration, Alert Labs Inc., Tradewinds, Boreal International, Watsco Ventures, and Gateway Supply Co.</v>
    <v>6950</v>
    <v>New York Stock Exchange</v>
    <v>XNYS</v>
    <v>XNYS</v>
    <v>STE 901, 2665 S BAYSHORE DR, COCONUT GROVE, FL, 33133 US</v>
    <v>408.96</v>
    <v>Machinery, Equipment &amp; Components</v>
    <v>Stock</v>
    <v>46127.715280543751</v>
    <v>206</v>
    <v>394.2</v>
    <v>16515677420</v>
    <v>WATSCO, INC.</v>
    <v>WATSCO, INC.</v>
    <v>407.1</v>
    <v>33.6111</v>
    <v>410.63</v>
    <v>407</v>
    <v>40579060</v>
    <v>WSO</v>
    <v>WATSCO, INC. (XNYS:WSO)</v>
    <v>325020</v>
    <v>503150</v>
    <v>1956</v>
  </rv>
  <rv s="2">
    <v>207</v>
  </rv>
  <rv s="0">
    <v>https://www.bing.com/financeapi/forcetrigger?t=a1nkm7&amp;q=XNYS%3aAOS&amp;form=skydnc</v>
    <v>Learn more on Bing</v>
  </rv>
  <rv s="1">
    <v>0</v>
    <v>A. O. SMITH CORPORATION (XNYS:AOS)</v>
    <v>2</v>
    <v>3</v>
    <v>Finance</v>
    <v>4</v>
    <v>en-US</v>
    <v>a1nkm7</v>
    <v>268435456</v>
    <v>1</v>
    <v>Powered by Refinitiv</v>
    <v>81.864999999999995</v>
    <v>61.344999999999999</v>
    <v>1.3352999999999999</v>
    <v>-4.13</v>
    <v>-6.1706000000000004E-2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66.56</v>
    <v>Machinery, Equipment &amp; Components</v>
    <v>Stock</v>
    <v>46127.715294351561</v>
    <v>209</v>
    <v>62.14</v>
    <v>8681459440</v>
    <v>A. O. SMITH CORPORATION</v>
    <v>A. O. SMITH CORPORATION</v>
    <v>66.02</v>
    <v>16.3231</v>
    <v>66.930000000000007</v>
    <v>62.8</v>
    <v>138239800</v>
    <v>AOS</v>
    <v>A. O. SMITH CORPORATION (XNYS:AOS)</v>
    <v>1023694</v>
    <v>1430337</v>
    <v>1986</v>
  </rv>
  <rv s="2">
    <v>210</v>
  </rv>
  <rv s="0">
    <v>https://www.bing.com/financeapi/forcetrigger?t=a1tppr&amp;q=XNYS%3aGD&amp;form=skydnc</v>
    <v>Learn more on Bing</v>
  </rv>
  <rv s="1">
    <v>0</v>
    <v>GENERAL DYNAMICS CORPORATION (XNYS:GD)</v>
    <v>2</v>
    <v>3</v>
    <v>Finance</v>
    <v>4</v>
    <v>en-US</v>
    <v>a1tppr</v>
    <v>268435456</v>
    <v>1</v>
    <v>Powered by Refinitiv</v>
    <v>369.7</v>
    <v>262.83999999999997</v>
    <v>0.35820000000000002</v>
    <v>-1.1158999999999999</v>
    <v>-3.2829999999999999E-3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341.89</v>
    <v>Aerospace &amp; Defense</v>
    <v>Stock</v>
    <v>46127.715304432815</v>
    <v>212</v>
    <v>337.09</v>
    <v>91752867552</v>
    <v>GENERAL DYNAMICS CORPORATION</v>
    <v>GENERAL DYNAMICS CORPORATION</v>
    <v>340.31</v>
    <v>21.921099999999999</v>
    <v>339.88</v>
    <v>338.76409999999998</v>
    <v>270845900</v>
    <v>GD</v>
    <v>GENERAL DYNAMICS CORPORATION (XNYS:GD)</v>
    <v>323225</v>
    <v>1318663</v>
    <v>1952</v>
  </rv>
  <rv s="2">
    <v>213</v>
  </rv>
  <rv s="0">
    <v>https://www.bing.com/financeapi/forcetrigger?t=a1wzw7&amp;q=XNYS%3aLMT&amp;form=skydnc</v>
    <v>Learn more on Bing</v>
  </rv>
  <rv s="1">
    <v>0</v>
    <v>LOCKHEED MARTIN CORPORATION (XNYS:LMT)</v>
    <v>2</v>
    <v>3</v>
    <v>Finance</v>
    <v>4</v>
    <v>en-US</v>
    <v>a1wzw7</v>
    <v>268435456</v>
    <v>1</v>
    <v>Powered by Refinitiv</v>
    <v>692</v>
    <v>410.11</v>
    <v>0.2306</v>
    <v>-2.34</v>
    <v>-3.826E-3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615.59</v>
    <v>Aerospace &amp; Defense</v>
    <v>Stock</v>
    <v>46127.715296388284</v>
    <v>215</v>
    <v>607.34</v>
    <v>140406729804</v>
    <v>LOCKHEED MARTIN CORPORATION</v>
    <v>LOCKHEED MARTIN CORPORATION</v>
    <v>612</v>
    <v>28.3551</v>
    <v>611.58000000000004</v>
    <v>609.24</v>
    <v>230462100</v>
    <v>LMT</v>
    <v>LOCKHEED MARTIN CORPORATION (XNYS:LMT)</v>
    <v>361118</v>
    <v>1402150</v>
    <v>1994</v>
  </rv>
  <rv s="2">
    <v>216</v>
  </rv>
  <rv s="0">
    <v>https://www.bing.com/financeapi/forcetrigger?t=a1yngh&amp;q=XNYS%3aNOC&amp;form=skydnc</v>
    <v>Learn more on Bing</v>
  </rv>
  <rv s="1">
    <v>0</v>
    <v>NORTHROP GRUMMAN CORPORATION (XNYS:NOC)</v>
    <v>2</v>
    <v>3</v>
    <v>Finance</v>
    <v>4</v>
    <v>en-US</v>
    <v>a1yngh</v>
    <v>268435456</v>
    <v>1</v>
    <v>Powered by Refinitiv</v>
    <v>774</v>
    <v>450.13</v>
    <v>7.1000000000000004E-3</v>
    <v>-1.46</v>
    <v>-2.147E-3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682.88</v>
    <v>Aerospace &amp; Defense</v>
    <v>Stock</v>
    <v>46127.715285207814</v>
    <v>218</v>
    <v>676.21</v>
    <v>96393671844</v>
    <v>NORTHROP GRUMMAN CORPORATION</v>
    <v>NORTHROP GRUMMAN CORPORATION</v>
    <v>680.01</v>
    <v>23.336300000000001</v>
    <v>680.13</v>
    <v>678.67</v>
    <v>142033200</v>
    <v>NOC</v>
    <v>NORTHROP GRUMMAN CORPORATION (XNYS:NOC)</v>
    <v>168432</v>
    <v>732792</v>
    <v>2010</v>
  </rv>
  <rv s="2">
    <v>219</v>
  </rv>
  <rv s="0">
    <v>https://www.bing.com/financeapi/forcetrigger?t=a25552&amp;q=XNYS%3aRTX&amp;form=skydnc</v>
    <v>Learn more on Bing</v>
  </rv>
  <rv s="1">
    <v>0</v>
    <v>RTX CORPORATION (XNYS:RTX)</v>
    <v>2</v>
    <v>3</v>
    <v>Finance</v>
    <v>4</v>
    <v>en-US</v>
    <v>a25552</v>
    <v>268435456</v>
    <v>1</v>
    <v>Powered by Refinitiv</v>
    <v>214.5</v>
    <v>112.63</v>
    <v>0.41739999999999999</v>
    <v>-4.04</v>
    <v>-1.992E-2</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New York Stock Exchange</v>
    <v>XNYS</v>
    <v>XNYS</v>
    <v>1000 Wilson Blvd, ARLINGTON, VA, 22209 US</v>
    <v>203</v>
    <v>Aerospace &amp; Defense</v>
    <v>Stock</v>
    <v>46127.71528211797</v>
    <v>221</v>
    <v>197.69</v>
    <v>267539251980</v>
    <v>RTX CORPORATION</v>
    <v>RTX CORPORATION</v>
    <v>202.6</v>
    <v>40.049599999999998</v>
    <v>202.81</v>
    <v>198.77</v>
    <v>1345974000</v>
    <v>RTX</v>
    <v>RTX CORPORATION (XNYS:RTX)</v>
    <v>1526342</v>
    <v>4392052</v>
    <v>1934</v>
  </rv>
  <rv s="2">
    <v>222</v>
  </rv>
  <rv s="0">
    <v>https://www.bing.com/financeapi/forcetrigger?t=a24xww&amp;q=XNYS%3aUNP&amp;form=skydnc</v>
    <v>Learn more on Bing</v>
  </rv>
  <rv s="1">
    <v>0</v>
    <v>UNION PACIFIC CORPORATION (XNYS:UNP)</v>
    <v>2</v>
    <v>3</v>
    <v>Finance</v>
    <v>4</v>
    <v>en-US</v>
    <v>a24xww</v>
    <v>268435456</v>
    <v>1</v>
    <v>Powered by Refinitiv</v>
    <v>268.14</v>
    <v>206.63</v>
    <v>0.97230000000000005</v>
    <v>-2.8839000000000001</v>
    <v>-1.1442000000000001E-2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252.02</v>
    <v>Freight &amp; Logistics Services</v>
    <v>Stock</v>
    <v>46127.715298378906</v>
    <v>224</v>
    <v>247.05500000000001</v>
    <v>147918569882</v>
    <v>UNION PACIFIC CORPORATION</v>
    <v>UNION PACIFIC CORPORATION</v>
    <v>251.86500000000001</v>
    <v>20.791899999999998</v>
    <v>252.04</v>
    <v>249.15610000000001</v>
    <v>593678300</v>
    <v>UNP</v>
    <v>UNION PACIFIC CORPORATION (XNYS:UNP)</v>
    <v>925962</v>
    <v>2713407</v>
    <v>1969</v>
  </rv>
  <rv s="2">
    <v>225</v>
  </rv>
  <rv s="0">
    <v>https://www.bing.com/financeapi/forcetrigger?t=a1sqr7&amp;q=XNYS%3aFDX&amp;form=skydnc</v>
    <v>Learn more on Bing</v>
  </rv>
  <rv s="1">
    <v>0</v>
    <v>FEDEX CORPORATION (XNYS:FDX)</v>
    <v>2</v>
    <v>3</v>
    <v>Finance</v>
    <v>4</v>
    <v>en-US</v>
    <v>a1sqr7</v>
    <v>268435456</v>
    <v>1</v>
    <v>Powered by Refinitiv</v>
    <v>392.86</v>
    <v>201.03</v>
    <v>1.28</v>
    <v>-9.25</v>
    <v>-2.4990999999999999E-2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370</v>
    <v>Freight &amp; Logistics Services</v>
    <v>Stock</v>
    <v>46127.715327418751</v>
    <v>227</v>
    <v>360.62</v>
    <v>86110808052</v>
    <v>FEDEX CORPORATION</v>
    <v>FEDEX CORPORATION</v>
    <v>366.91</v>
    <v>19.9222</v>
    <v>370.14</v>
    <v>360.89</v>
    <v>238606800</v>
    <v>FDX</v>
    <v>FEDEX CORPORATION (XNYS:FDX)</v>
    <v>582299</v>
    <v>1944433</v>
    <v>1997</v>
  </rv>
  <rv s="2">
    <v>228</v>
  </rv>
  <rv s="0">
    <v>https://www.bing.com/financeapi/forcetrigger?t=a24ynm&amp;q=XNYS%3aUPS&amp;form=skydnc</v>
    <v>Learn more on Bing</v>
  </rv>
  <rv s="1">
    <v>0</v>
    <v>UNITED PARCEL SERVICE, INC. (XNYS:UPS)</v>
    <v>2</v>
    <v>3</v>
    <v>Finance</v>
    <v>4</v>
    <v>en-US</v>
    <v>a24ynm</v>
    <v>268435456</v>
    <v>1</v>
    <v>Powered by Refinitiv</v>
    <v>122.41</v>
    <v>82</v>
    <v>1.0354000000000001</v>
    <v>-0.39500000000000002</v>
    <v>-3.8269999999999997E-3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103.1</v>
    <v>Freight &amp; Logistics Services</v>
    <v>Stock</v>
    <v>46127.715318564064</v>
    <v>230</v>
    <v>102.04</v>
    <v>87367615942</v>
    <v>UNITED PARCEL SERVICE, INC.</v>
    <v>UNITED PARCEL SERVICE, INC.</v>
    <v>103</v>
    <v>15.6736</v>
    <v>103.22</v>
    <v>102.825</v>
    <v>849672900</v>
    <v>UPS</v>
    <v>UNITED PARCEL SERVICE, INC. (XNYS:UPS)</v>
    <v>1977445</v>
    <v>6158728</v>
    <v>1999</v>
  </rv>
  <rv s="2">
    <v>231</v>
  </rv>
  <rv s="0">
    <v>https://www.bing.com/financeapi/forcetrigger?t=a1q19c&amp;q=XNYS%3aCNI&amp;form=skydnc</v>
    <v>Learn more on Bing</v>
  </rv>
  <rv s="1">
    <v>0</v>
    <v>Canadian National Railway Company (XNYS:CNI)</v>
    <v>2</v>
    <v>12</v>
    <v>Finance</v>
    <v>4</v>
    <v>en-US</v>
    <v>a1q19c</v>
    <v>268435456</v>
    <v>1</v>
    <v>Powered by Refinitiv</v>
    <v>113.08499999999999</v>
    <v>90.74</v>
    <v>0.99260000000000004</v>
    <v>-1.7949999999999999</v>
    <v>-1.6032999999999999E-2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111.67</v>
    <v>Freight &amp; Logistics Services</v>
    <v>Stock</v>
    <v>46127.715228564062</v>
    <v>233</v>
    <v>109.895</v>
    <v>62014302000</v>
    <v>Canadian National Railway Company</v>
    <v>Canadian National Railway Company</v>
    <v>111.67</v>
    <v>19.978400000000001</v>
    <v>111.96</v>
    <v>110.16500000000001</v>
    <v>611400000</v>
    <v>CNI</v>
    <v>Canadian National Railway Company (XNYS:CNI)</v>
    <v>355491</v>
    <v>1537104</v>
    <v>1995</v>
  </rv>
  <rv s="2">
    <v>234</v>
  </rv>
  <rv s="0">
    <v>https://www.bing.com/financeapi/forcetrigger?t=a1p7zr&amp;q=XNYS%3aCAT&amp;form=skydnc</v>
    <v>Learn more on Bing</v>
  </rv>
  <rv s="1">
    <v>0</v>
    <v>CATERPILLAR INC. (XNYS:CAT)</v>
    <v>2</v>
    <v>3</v>
    <v>Finance</v>
    <v>4</v>
    <v>en-US</v>
    <v>a1p7zr</v>
    <v>268435456</v>
    <v>1</v>
    <v>Powered by Refinitiv</v>
    <v>798.54</v>
    <v>282.4563</v>
    <v>1.5628</v>
    <v>-33.619999999999997</v>
    <v>-4.2328999999999999E-2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789.96550000000002</v>
    <v>Machinery, Equipment &amp; Components</v>
    <v>Stock</v>
    <v>46127.715327082813</v>
    <v>236</v>
    <v>756.65009999999995</v>
    <v>353911478999</v>
    <v>CATERPILLAR INC.</v>
    <v>CATERPILLAR INC.</v>
    <v>788.92</v>
    <v>40.402099999999997</v>
    <v>794.25</v>
    <v>760.63</v>
    <v>465287300</v>
    <v>CAT</v>
    <v>CATERPILLAR INC. (XNYS:CAT)</v>
    <v>1595094</v>
    <v>2343843</v>
    <v>1986</v>
  </rv>
  <rv s="2">
    <v>237</v>
  </rv>
  <rv s="0">
    <v>https://www.bing.com/financeapi/forcetrigger?t=a1qvjc&amp;q=XNYS%3aDE&amp;form=skydnc</v>
    <v>Learn more on Bing</v>
  </rv>
  <rv s="1">
    <v>0</v>
    <v>DEERE &amp; COMPANY (XNYS:DE)</v>
    <v>2</v>
    <v>3</v>
    <v>Finance</v>
    <v>4</v>
    <v>en-US</v>
    <v>a1qvjc</v>
    <v>268435456</v>
    <v>1</v>
    <v>Powered by Refinitiv</v>
    <v>674.18989999999997</v>
    <v>433</v>
    <v>1.0098</v>
    <v>-21.215</v>
    <v>-3.5593E-2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592.875</v>
    <v>Machinery, Equipment &amp; Components</v>
    <v>Stock</v>
    <v>46127.715289664062</v>
    <v>239</v>
    <v>572.1</v>
    <v>155264428722</v>
    <v>DEERE &amp; COMPANY</v>
    <v>DEERE &amp; COMPANY</v>
    <v>591.07000000000005</v>
    <v>32.408799999999999</v>
    <v>596.04</v>
    <v>574.82500000000005</v>
    <v>270107300</v>
    <v>DE</v>
    <v>DEERE &amp; COMPANY (XNYS:DE)</v>
    <v>669759</v>
    <v>1313444</v>
    <v>1958</v>
  </rv>
  <rv s="2">
    <v>240</v>
  </rv>
  <rv s="0">
    <v>https://www.bing.com/financeapi/forcetrigger?t=a1mpqh&amp;q=XNYS%3aABBV&amp;form=skydnc</v>
    <v>Learn more on Bing</v>
  </rv>
  <rv s="1">
    <v>0</v>
    <v>ABBVIE INC. (XNYS:ABBV)</v>
    <v>2</v>
    <v>3</v>
    <v>Finance</v>
    <v>4</v>
    <v>en-US</v>
    <v>a1mpqh</v>
    <v>268435456</v>
    <v>1</v>
    <v>Powered by Refinitiv</v>
    <v>244.81</v>
    <v>168.54</v>
    <v>0.33040000000000003</v>
    <v>-1.2150000000000001</v>
    <v>-5.8260000000000004E-3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209.79</v>
    <v>Pharmaceuticals</v>
    <v>Stock</v>
    <v>46127.715296875002</v>
    <v>242</v>
    <v>205.54499999999999</v>
    <v>366690894030</v>
    <v>ABBVIE INC.</v>
    <v>ABBVIE INC.</v>
    <v>209.28</v>
    <v>87.834199999999996</v>
    <v>208.53</v>
    <v>207.315</v>
    <v>1768762000</v>
    <v>ABBV</v>
    <v>ABBVIE INC. (XNYS:ABBV)</v>
    <v>2147300</v>
    <v>7055385</v>
    <v>2012</v>
  </rv>
  <rv s="2">
    <v>243</v>
  </rv>
  <rv s="0">
    <v>https://www.bing.com/financeapi/forcetrigger?t=a1mrar&amp;q=XNYS%3aABT&amp;form=skydnc</v>
    <v>Learn more on Bing</v>
  </rv>
  <rv s="1">
    <v>0</v>
    <v>ABBOTT LABORATORIES (XNYS:ABT)</v>
    <v>2</v>
    <v>3</v>
    <v>Finance</v>
    <v>4</v>
    <v>en-US</v>
    <v>a1mrar</v>
    <v>268435456</v>
    <v>1</v>
    <v>Powered by Refinitiv</v>
    <v>139.06</v>
    <v>99.05</v>
    <v>0.76390000000000002</v>
    <v>1.77</v>
    <v>1.7625999999999999E-2</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115000</v>
    <v>New York Stock Exchange</v>
    <v>XNYS</v>
    <v>XNYS</v>
    <v>100 Abbott Park Road, Abbot Park, ABBOTT PARK, IL, 60064-3500 US</v>
    <v>102.48</v>
    <v>Healthcare Equipment &amp; Supplies</v>
    <v>Stock</v>
    <v>46127.715314200781</v>
    <v>245</v>
    <v>100.63</v>
    <v>177573008250</v>
    <v>ABBOTT LABORATORIES</v>
    <v>ABBOTT LABORATORIES</v>
    <v>100.94</v>
    <v>27.379899999999999</v>
    <v>100.42</v>
    <v>102.19</v>
    <v>1737675000</v>
    <v>ABT</v>
    <v>ABBOTT LABORATORIES (XNYS:ABT)</v>
    <v>4470869</v>
    <v>12139707</v>
    <v>1900</v>
  </rv>
  <rv s="2">
    <v>246</v>
  </rv>
  <rv s="0">
    <v>https://www.bing.com/financeapi/forcetrigger?t=a1ock2&amp;q=XNYS%3aBDX&amp;form=skydnc</v>
    <v>Learn more on Bing</v>
  </rv>
  <rv s="1">
    <v>0</v>
    <v>BECTON, DICKINSON AND COMPANY (XNYS:BDX)</v>
    <v>2</v>
    <v>3</v>
    <v>Finance</v>
    <v>4</v>
    <v>en-US</v>
    <v>a1ock2</v>
    <v>268435456</v>
    <v>1</v>
    <v>Powered by Refinitiv</v>
    <v>187.35</v>
    <v>127.5364</v>
    <v>0.27739999999999998</v>
    <v>-0.7</v>
    <v>-4.4949999999999999E-3</v>
    <v>USD</v>
    <v>Becton, Dickinson and Company is a global medical technology company. The Company is engaged in the development, manufacture and sale of a broad range of medical supplies, devices, laboratory equipment and diagnostic products used by healthcare institutions, physicians, life science researchers, clinical laboratories, and more. It operates through four segments: BD Medical Essentials, BD Connected Care, BD BioPharma Systems and BD Interventional. BD Medical Essentials segment includes medication delivery solutions and specimen management. BD Connected Care segment includes medication management solutions and advanced patient monitoring. BD Interventional segment includes urology and critical care, peripheral intervention and surgery.</v>
    <v>72000</v>
    <v>New York Stock Exchange</v>
    <v>XNYS</v>
    <v>XNYS</v>
    <v>One Becton Drive, FRANKLIN LAKES, NJ, 07417-1880 US</v>
    <v>156</v>
    <v>Healthcare Equipment &amp; Supplies</v>
    <v>Stock</v>
    <v>46127.715279178126</v>
    <v>248</v>
    <v>154.57</v>
    <v>44143521254</v>
    <v>BECTON, DICKINSON AND COMPANY</v>
    <v>BECTON, DICKINSON AND COMPANY</v>
    <v>155.65</v>
    <v>25.3429</v>
    <v>155.72999999999999</v>
    <v>155.03</v>
    <v>284741800</v>
    <v>BDX</v>
    <v>BECTON, DICKINSON AND COMPANY (XNYS:BDX)</v>
    <v>945076</v>
    <v>2451344</v>
    <v>1906</v>
  </rv>
  <rv s="2">
    <v>249</v>
  </rv>
  <rv s="0">
    <v>https://www.bing.com/financeapi/forcetrigger?t=a1ook2&amp;q=XNYS%3aBMY&amp;form=skydnc</v>
    <v>Learn more on Bing</v>
  </rv>
  <rv s="1">
    <v>0</v>
    <v>BRISTOL-MYERS SQUIBB COMPANY (XNYS:BMY)</v>
    <v>2</v>
    <v>3</v>
    <v>Finance</v>
    <v>4</v>
    <v>en-US</v>
    <v>a1ook2</v>
    <v>268435456</v>
    <v>1</v>
    <v>Powered by Refinitiv</v>
    <v>62.886400000000002</v>
    <v>42.52</v>
    <v>0.25219999999999998</v>
    <v>-0.55500000000000005</v>
    <v>-9.5560000000000003E-3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58.155000000000001</v>
    <v>Pharmaceuticals</v>
    <v>Stock</v>
    <v>46127.715332441403</v>
    <v>251</v>
    <v>57.225000000000001</v>
    <v>117450805875</v>
    <v>BRISTOL-MYERS SQUIBB COMPANY</v>
    <v>BRISTOL-MYERS SQUIBB COMPANY</v>
    <v>58</v>
    <v>16.658899999999999</v>
    <v>58.08</v>
    <v>57.524999999999999</v>
    <v>2041735000</v>
    <v>BMY</v>
    <v>BRISTOL-MYERS SQUIBB COMPANY (XNYS:BMY)</v>
    <v>3053384</v>
    <v>12572835</v>
    <v>1933</v>
  </rv>
  <rv s="2">
    <v>252</v>
  </rv>
  <rv s="0">
    <v>https://www.bing.com/financeapi/forcetrigger?t=a1qlnm&amp;q=XNYS%3aCVS&amp;form=skydnc</v>
    <v>Learn more on Bing</v>
  </rv>
  <rv s="1">
    <v>0</v>
    <v>CVS HEALTH CORPORATION (XNYS:CVS)</v>
    <v>2</v>
    <v>3</v>
    <v>Finance</v>
    <v>4</v>
    <v>en-US</v>
    <v>a1qlnm</v>
    <v>268435456</v>
    <v>1</v>
    <v>Powered by Refinitiv</v>
    <v>85.15</v>
    <v>58.35</v>
    <v>0.53249999999999997</v>
    <v>-2.2599999999999998</v>
    <v>-2.9116E-2</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77.444999999999993</v>
    <v>Healthcare Providers &amp; Services</v>
    <v>Stock</v>
    <v>46127.715282580466</v>
    <v>254</v>
    <v>74.87</v>
    <v>96581677440</v>
    <v>CVS HEALTH CORPORATION</v>
    <v>CVS HEALTH CORPORATION</v>
    <v>77.150000000000006</v>
    <v>55.107900000000001</v>
    <v>77.62</v>
    <v>75.36</v>
    <v>1281604000</v>
    <v>CVS</v>
    <v>CVS HEALTH CORPORATION (XNYS:CVS)</v>
    <v>3737107</v>
    <v>7378069</v>
    <v>1996</v>
  </rv>
  <rv s="2">
    <v>255</v>
  </rv>
  <rv s="0">
    <v>https://www.bing.com/financeapi/forcetrigger?t=a1w8ec&amp;q=XNYS%3aJNJ&amp;form=skydnc</v>
    <v>Learn more on Bing</v>
  </rv>
  <rv s="1">
    <v>0</v>
    <v>JOHNSON &amp; JOHNSON (XNYS:JNJ)</v>
    <v>2</v>
    <v>3</v>
    <v>Finance</v>
    <v>4</v>
    <v>en-US</v>
    <v>a1w8ec</v>
    <v>268435456</v>
    <v>1</v>
    <v>Powered by Refinitiv</v>
    <v>251.71</v>
    <v>146.11500000000001</v>
    <v>0.31830000000000003</v>
    <v>-2.5299999999999998</v>
    <v>-1.0537000000000001E-2</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240.42</v>
    <v>Pharmaceuticals</v>
    <v>Stock</v>
    <v>46127.715287568753</v>
    <v>257</v>
    <v>237.01</v>
    <v>572214190410</v>
    <v>JOHNSON &amp; JOHNSON</v>
    <v>JOHNSON &amp; JOHNSON</v>
    <v>239.8</v>
    <v>21.514700000000001</v>
    <v>240.1</v>
    <v>237.57</v>
    <v>2408613000</v>
    <v>JNJ</v>
    <v>JOHNSON &amp; JOHNSON (XNYS:JNJ)</v>
    <v>2391383</v>
    <v>7568416</v>
    <v>1887</v>
  </rv>
  <rv s="2">
    <v>258</v>
  </rv>
  <rv s="0">
    <v>https://www.bing.com/financeapi/forcetrigger?t=a1wyu2&amp;q=XNYS%3aLLY&amp;form=skydnc</v>
    <v>Learn more on Bing</v>
  </rv>
  <rv s="1">
    <v>0</v>
    <v>ELI LILLY AND COMPANY (XNYS:LLY)</v>
    <v>2</v>
    <v>3</v>
    <v>Finance</v>
    <v>4</v>
    <v>en-US</v>
    <v>a1wyu2</v>
    <v>268435456</v>
    <v>1</v>
    <v>Powered by Refinitiv</v>
    <v>1133.95</v>
    <v>623.78</v>
    <v>0.50290000000000001</v>
    <v>-22.45</v>
    <v>-2.4336000000000003E-2</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930</v>
    <v>Pharmaceuticals</v>
    <v>Stock</v>
    <v>46127.715290450782</v>
    <v>260</v>
    <v>888.03</v>
    <v>850384250945</v>
    <v>ELI LILLY AND COMPANY</v>
    <v>ELI LILLY AND COMPANY</v>
    <v>923.95</v>
    <v>39.206600000000002</v>
    <v>922.5</v>
    <v>900.05</v>
    <v>944818900</v>
    <v>LLY</v>
    <v>ELI LILLY AND COMPANY (XNYS:LLY)</v>
    <v>1716646</v>
    <v>2768150</v>
    <v>1901</v>
  </rv>
  <rv s="2">
    <v>261</v>
  </rv>
  <rv s="0">
    <v>https://www.bing.com/financeapi/forcetrigger?t=a1xg3m&amp;q=XNYS%3aMDT&amp;form=skydnc</v>
    <v>Learn more on Bing</v>
  </rv>
  <rv s="1">
    <v>0</v>
    <v>MEDTRONIC PUBLIC LIMITED COMPANY (XNYS:MDT)</v>
    <v>2</v>
    <v>3</v>
    <v>Finance</v>
    <v>4</v>
    <v>en-US</v>
    <v>a1xg3m</v>
    <v>268435456</v>
    <v>1</v>
    <v>Powered by Refinitiv</v>
    <v>106.33</v>
    <v>79.930000000000007</v>
    <v>0.72299999999999998</v>
    <v>-1.4738</v>
    <v>-1.6725E-2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20 LOWER HATCH STREET DUBLIN 2, DUBLIN, D02 XH02 IE</v>
    <v>87.905000000000001</v>
    <v>Healthcare Equipment &amp; Supplies</v>
    <v>Stock</v>
    <v>46127.715298645315</v>
    <v>263</v>
    <v>86.474199999999996</v>
    <v>111243756486</v>
    <v>MEDTRONIC PUBLIC LIMITED COMPANY</v>
    <v>MEDTRONIC PUBLIC LIMITED COMPANY</v>
    <v>87.905000000000001</v>
    <v>24.194700000000001</v>
    <v>88.12</v>
    <v>86.646199999999993</v>
    <v>1283885000</v>
    <v>MDT</v>
    <v>MEDTRONIC PUBLIC LIMITED COMPANY (XNYS:MDT)</v>
    <v>3243558</v>
    <v>8026807</v>
    <v>2014</v>
  </rv>
  <rv s="2">
    <v>264</v>
  </rv>
  <rv s="0">
    <v>https://www.bing.com/financeapi/forcetrigger?t=a1xxmw&amp;q=XNYS%3aMRK&amp;form=skydnc</v>
    <v>Learn more on Bing</v>
  </rv>
  <rv s="1">
    <v>0</v>
    <v>MERCK &amp; CO., INC. (XNYS:MRK)</v>
    <v>2</v>
    <v>3</v>
    <v>Finance</v>
    <v>4</v>
    <v>en-US</v>
    <v>a1xxmw</v>
    <v>268435456</v>
    <v>1</v>
    <v>Powered by Refinitiv</v>
    <v>125.14</v>
    <v>73.31</v>
    <v>0.28739999999999999</v>
    <v>-2.15</v>
    <v>-1.7923000000000001E-2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120.25</v>
    <v>Pharmaceuticals</v>
    <v>Stock</v>
    <v>46127.715296793751</v>
    <v>266</v>
    <v>116.65</v>
    <v>290976444990</v>
    <v>MERCK &amp; CO., INC.</v>
    <v>MERCK &amp; CO., INC.</v>
    <v>119.92</v>
    <v>16.191400000000002</v>
    <v>119.96</v>
    <v>117.81</v>
    <v>2469879000</v>
    <v>MRK</v>
    <v>MERCK &amp; CO., INC. (XNYS:MRK)</v>
    <v>3397492</v>
    <v>9559769</v>
    <v>1970</v>
  </rv>
  <rv s="2">
    <v>267</v>
  </rv>
  <rv s="0">
    <v>https://www.bing.com/financeapi/forcetrigger?t=a1zqnm&amp;q=XNYS%3aPFE&amp;form=skydnc</v>
    <v>Learn more on Bing</v>
  </rv>
  <rv s="1">
    <v>0</v>
    <v>PFIZER INC. (XNYS:PFE)</v>
    <v>2</v>
    <v>3</v>
    <v>Finance</v>
    <v>4</v>
    <v>en-US</v>
    <v>a1zqnm</v>
    <v>268435456</v>
    <v>1</v>
    <v>Powered by Refinitiv</v>
    <v>28.745000000000001</v>
    <v>21.87</v>
    <v>0.34200000000000003</v>
    <v>7.0199999999999999E-2</v>
    <v>2.5890000000000002E-3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27.344999999999999</v>
    <v>Pharmaceuticals</v>
    <v>Stock</v>
    <v>46127.715373402345</v>
    <v>269</v>
    <v>26.97</v>
    <v>154610653751</v>
    <v>PFIZER INC.</v>
    <v>PFIZER INC.</v>
    <v>27.16</v>
    <v>20.0459</v>
    <v>27.11</v>
    <v>27.180199999999999</v>
    <v>5688356000</v>
    <v>PFE</v>
    <v>PFIZER INC. (XNYS:PFE)</v>
    <v>13525009</v>
    <v>39082612</v>
    <v>1942</v>
  </rv>
  <rv s="2">
    <v>270</v>
  </rv>
  <rv s="0">
    <v>https://www.bing.com/financeapi/forcetrigger?t=a24xlh&amp;q=XNYS%3aUNH&amp;form=skydnc</v>
    <v>Learn more on Bing</v>
  </rv>
  <rv s="1">
    <v>0</v>
    <v>UNITEDHEALTH GROUP INCORPORATED (XNYS:UNH)</v>
    <v>2</v>
    <v>3</v>
    <v>Finance</v>
    <v>4</v>
    <v>en-US</v>
    <v>a24xlh</v>
    <v>268435456</v>
    <v>1</v>
    <v>Powered by Refinitiv</v>
    <v>594.80999999999995</v>
    <v>234.6</v>
    <v>0.4572</v>
    <v>-0.755</v>
    <v>-2.4030000000000002E-3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317.76</v>
    <v>Healthcare Providers &amp; Services</v>
    <v>Stock</v>
    <v>46127.715329964842</v>
    <v>272</v>
    <v>311.14499999999998</v>
    <v>284497364373</v>
    <v>UNITEDHEALTH GROUP INCORPORATED</v>
    <v>UNITEDHEALTH GROUP INCORPORATED</v>
    <v>315.5</v>
    <v>23.7562</v>
    <v>314.19</v>
    <v>313.435</v>
    <v>907675800</v>
    <v>UNH</v>
    <v>UNITEDHEALTH GROUP INCORPORATED (XNYS:UNH)</v>
    <v>2766319</v>
    <v>8866395</v>
    <v>2015</v>
  </rv>
  <rv s="2">
    <v>273</v>
  </rv>
  <rv s="0">
    <v>https://www.bing.com/financeapi/forcetrigger?t=a262jc&amp;q=XNYS%3aWST&amp;form=skydnc</v>
    <v>Learn more on Bing</v>
  </rv>
  <rv s="1">
    <v>0</v>
    <v>WEST PHARMACEUTICAL SERVICES, INC. (XNYS:WST)</v>
    <v>2</v>
    <v>3</v>
    <v>Finance</v>
    <v>4</v>
    <v>en-US</v>
    <v>a262jc</v>
    <v>268435456</v>
    <v>1</v>
    <v>Powered by Refinitiv</v>
    <v>322.33999999999997</v>
    <v>193.05</v>
    <v>1.1085</v>
    <v>-0.61</v>
    <v>-2.2769999999999999E-3</v>
    <v>USD</v>
    <v>West Pharmaceutical Services, Inc. is a global manufacturer that is engaged in the design and production of technologically advanced, integrated containment and delivery systems for injectable drugs and healthcare products. The Company operates in two segments: Proprietary Products and Contract-Manufactured Products. The Proprietary Products segment offers elastomers &amp; primary containment, drug delivery devices, integrated solutions, and analytical lab services, primarily to biologic, generic, and pharmaceutical drug customers. The Contract-Manufactured Products reportable segment serves as a fully integrated business, focused on the design, manufacture, and automated assembly of complex devices, primarily for pharmaceutical, diagnostic, and medical device customers. This segment manufactures customer-owned components and devices used in surgical, diagnostic, ophthalmic, injectable, and other drug delivery systems, as well as consumer products.</v>
    <v>10800</v>
    <v>New York Stock Exchange</v>
    <v>XNYS</v>
    <v>XNYS</v>
    <v>530 Herman O. West Drive, EXTON, PA, 19341 US</v>
    <v>271.29000000000002</v>
    <v>Healthcare Equipment &amp; Supplies</v>
    <v>Stock</v>
    <v>46127.715255428127</v>
    <v>275</v>
    <v>266.39</v>
    <v>19268855985</v>
    <v>WEST PHARMACEUTICAL SERVICES, INC.</v>
    <v>WEST PHARMACEUTICAL SERVICES, INC.</v>
    <v>268.5</v>
    <v>39.349400000000003</v>
    <v>267.93</v>
    <v>267.32</v>
    <v>72081610</v>
    <v>WST</v>
    <v>WEST PHARMACEUTICAL SERVICES, INC. (XNYS:WST)</v>
    <v>316256</v>
    <v>859063</v>
    <v>1923</v>
  </rv>
  <rv s="2">
    <v>276</v>
  </rv>
  <rv s="0">
    <v>https://www.bing.com/financeapi/forcetrigger?t=a26hyc&amp;q=XNYS%3aZTS&amp;form=skydnc</v>
    <v>Learn more on Bing</v>
  </rv>
  <rv s="1">
    <v>0</v>
    <v>ZOETIS INC. (XNYS:ZTS)</v>
    <v>2</v>
    <v>3</v>
    <v>Finance</v>
    <v>4</v>
    <v>en-US</v>
    <v>a26hyc</v>
    <v>268435456</v>
    <v>1</v>
    <v>Powered by Refinitiv</v>
    <v>172.23</v>
    <v>113.29</v>
    <v>0.9375</v>
    <v>0</v>
    <v>0</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122.47</v>
    <v>Pharmaceuticals</v>
    <v>Stock</v>
    <v>46127.715277546093</v>
    <v>278</v>
    <v>120.2</v>
    <v>50928838092</v>
    <v>ZOETIS INC.</v>
    <v>ZOETIS INC.</v>
    <v>121.47499999999999</v>
    <v>20.1113</v>
    <v>121.11</v>
    <v>121.11</v>
    <v>420517200</v>
    <v>ZTS</v>
    <v>ZOETIS INC. (XNYS:ZTS)</v>
    <v>887127</v>
    <v>3686503</v>
    <v>2012</v>
  </rv>
  <rv s="2">
    <v>279</v>
  </rv>
  <rv s="0">
    <v>https://www.bing.com/financeapi/forcetrigger?t=a1mw4c&amp;q=XNAS%3aADP&amp;form=skydnc</v>
    <v>Learn more on Bing</v>
  </rv>
  <rv s="1">
    <v>0</v>
    <v>AUTOMATIC DATA PROCESSING, INC. (XNAS:ADP)</v>
    <v>2</v>
    <v>3</v>
    <v>Finance</v>
    <v>4</v>
    <v>en-US</v>
    <v>a1mw4c</v>
    <v>268435456</v>
    <v>1</v>
    <v>Powered by Refinitiv</v>
    <v>329.92950000000002</v>
    <v>188.16</v>
    <v>0.82769999999999999</v>
    <v>2.4449999999999998</v>
    <v>1.2533000000000001E-2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198.88</v>
    <v>Software &amp; IT Services</v>
    <v>Stock</v>
    <v>46127.715385289062</v>
    <v>281</v>
    <v>194.53</v>
    <v>79532315357</v>
    <v>AUTOMATIC DATA PROCESSING, INC.</v>
    <v>AUTOMATIC DATA PROCESSING, INC.</v>
    <v>196.06</v>
    <v>18.974900000000002</v>
    <v>195.08</v>
    <v>197.52500000000001</v>
    <v>402644300</v>
    <v>ADP</v>
    <v>AUTOMATIC DATA PROCESSING, INC. (XNAS:ADP)</v>
    <v>1552338</v>
    <v>3714492</v>
    <v>1961</v>
  </rv>
  <rv s="2">
    <v>282</v>
  </rv>
  <rv s="0">
    <v>https://www.bing.com/financeapi/forcetrigger?t=a1xear&amp;q=XNYS%3aMCO&amp;form=skydnc</v>
    <v>Learn more on Bing</v>
  </rv>
  <rv s="1">
    <v>0</v>
    <v>MOODY'S CORPORATION (XNYS:MCO)</v>
    <v>2</v>
    <v>3</v>
    <v>Finance</v>
    <v>4</v>
    <v>en-US</v>
    <v>a1xear</v>
    <v>268435456</v>
    <v>1</v>
    <v>Powered by Refinitiv</v>
    <v>546.88</v>
    <v>402.28</v>
    <v>1.3935999999999999</v>
    <v>7.4950000000000001</v>
    <v>1.711E-2</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449.98</v>
    <v>Professional &amp; Commercial Services</v>
    <v>Stock</v>
    <v>46127.715333344531</v>
    <v>284</v>
    <v>439.03</v>
    <v>79310527664</v>
    <v>MOODY'S CORPORATION</v>
    <v>MOODY'S CORPORATION</v>
    <v>441.98</v>
    <v>32.596699999999998</v>
    <v>438.06</v>
    <v>445.55500000000001</v>
    <v>178003900</v>
    <v>MCO</v>
    <v>MOODY'S CORPORATION (XNYS:MCO)</v>
    <v>307513</v>
    <v>1156235</v>
    <v>2000</v>
  </rv>
  <rv s="2">
    <v>285</v>
  </rv>
  <rv s="0">
    <v>https://www.bing.com/financeapi/forcetrigger?t=a23d9c&amp;q=XNYS%3aSPGI&amp;form=skydnc</v>
    <v>Learn more on Bing</v>
  </rv>
  <rv s="1">
    <v>0</v>
    <v>S&amp;P GLOBAL INC. (XNYS:SPGI)</v>
    <v>2</v>
    <v>3</v>
    <v>Finance</v>
    <v>4</v>
    <v>en-US</v>
    <v>a23d9c</v>
    <v>268435456</v>
    <v>1</v>
    <v>Powered by Refinitiv</v>
    <v>579.04999999999995</v>
    <v>381.60500000000002</v>
    <v>1.1482000000000001</v>
    <v>6.46</v>
    <v>1.5191E-2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435</v>
    <v>Professional &amp; Commercial Services</v>
    <v>Stock</v>
    <v>46127.71529266172</v>
    <v>287</v>
    <v>427.94499999999999</v>
    <v>130864199730</v>
    <v>S&amp;P GLOBAL INC.</v>
    <v>S&amp;P GLOBAL INC.</v>
    <v>428.84</v>
    <v>29.446899999999999</v>
    <v>425.24</v>
    <v>431.7</v>
    <v>303136900</v>
    <v>SPGI</v>
    <v>S&amp;P GLOBAL INC. (XNYS:SPGI)</v>
    <v>965857</v>
    <v>1976742</v>
    <v>1925</v>
  </rv>
  <rv s="2">
    <v>288</v>
  </rv>
  <rv s="0">
    <v>https://www.bing.com/financeapi/forcetrigger?t=a1om4c&amp;q=XNYS%3aBLK&amp;form=skydnc</v>
    <v>Learn more on Bing</v>
  </rv>
  <rv s="1">
    <v>0</v>
    <v>BLACKROCK, INC. (XNYS:BLK)</v>
    <v>2</v>
    <v>3</v>
    <v>Finance</v>
    <v>4</v>
    <v>en-US</v>
    <v>a1om4c</v>
    <v>268435456</v>
    <v>1</v>
    <v>Powered by Refinitiv</v>
    <v>1219.9399000000001</v>
    <v>845.82</v>
    <v>1.4892000000000001</v>
    <v>-1.06</v>
    <v>-1.005E-3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1061.8</v>
    <v>Investment Banking &amp; Investment Services</v>
    <v>Stock</v>
    <v>46127.715280289063</v>
    <v>290</v>
    <v>1043.45</v>
    <v>163676711450</v>
    <v>BLACKROCK, INC.</v>
    <v>BLACKROCK, INC.</v>
    <v>1054.8</v>
    <v>30.398299999999999</v>
    <v>1054.56</v>
    <v>1053.5</v>
    <v>155364700</v>
    <v>BLK</v>
    <v>BLACKROCK, INC. (XNYS:BLK)</v>
    <v>468690</v>
    <v>907529</v>
    <v>2024</v>
  </rv>
  <rv s="2">
    <v>291</v>
  </rv>
  <rv s="0">
    <v>https://www.bing.com/financeapi/forcetrigger?t=a22n4c&amp;q=XNYS%3aSCHW&amp;form=skydnc</v>
    <v>Learn more on Bing</v>
  </rv>
  <rv s="1">
    <v>0</v>
    <v>THE CHARLES SCHWAB CORPORATION (XNYS:SCHW)</v>
    <v>2</v>
    <v>3</v>
    <v>Finance</v>
    <v>4</v>
    <v>en-US</v>
    <v>a22n4c</v>
    <v>268435456</v>
    <v>1</v>
    <v>Powered by Refinitiv</v>
    <v>107.5</v>
    <v>73.760000000000005</v>
    <v>0.88239999999999996</v>
    <v>1.345</v>
    <v>1.3670999999999999E-2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100.759</v>
    <v>Investment Banking &amp; Investment Services</v>
    <v>Stock</v>
    <v>46127.715350705468</v>
    <v>293</v>
    <v>99.09</v>
    <v>173331922775</v>
    <v>THE CHARLES SCHWAB CORPORATION</v>
    <v>THE CHARLES SCHWAB CORPORATION</v>
    <v>99.33</v>
    <v>21.3874</v>
    <v>98.38</v>
    <v>99.724999999999994</v>
    <v>1738099000</v>
    <v>SCHW</v>
    <v>THE CHARLES SCHWAB CORPORATION (XNYS:SCHW)</v>
    <v>3444018</v>
    <v>8901122</v>
    <v>1986</v>
  </rv>
  <rv s="2">
    <v>294</v>
  </rv>
  <rv s="0">
    <v>http://it.wikipedia.org/wiki/T._Rowe_Price</v>
    <v>Wikipedia</v>
  </rv>
  <rv s="3">
    <v>12</v>
    <v>296</v>
  </rv>
  <rv s="4">
    <v>9</v>
    <v>https://www.bing.com/th?id=AMMS_4c600be848f66590834841f27e6f786d&amp;qlt=95</v>
    <v>297</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82.861000000000004</v>
    <v>1.5216000000000001</v>
    <v>0.14599999999999999</v>
    <v>1.5229999999999998E-3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1307 Point St, MD, 21231 US</v>
    <v>96.915000000000006</v>
    <v>298</v>
    <v>Investment Banking &amp; Investment Services</v>
    <v>Stock</v>
    <v>46127.715284270314</v>
    <v>299</v>
    <v>95.5</v>
    <v>20887119917</v>
    <v>T. ROWE PRICE GROUP, INC.</v>
    <v>T. ROWE PRICE GROUP, INC.</v>
    <v>96.23</v>
    <v>10.3827</v>
    <v>95.84</v>
    <v>95.986000000000004</v>
    <v>217605900</v>
    <v>TROW</v>
    <v>T. ROWE PRICE GROUP, INC. (XNAS:TROW)</v>
    <v>534764</v>
    <v>2712797</v>
    <v>2000</v>
  </rv>
  <rv s="2">
    <v>300</v>
  </rv>
  <rv s="0">
    <v>https://www.bing.com/financeapi/forcetrigger?t=a1z11h&amp;q=XNYS%3aO&amp;form=skydnc</v>
    <v>Learn more on Bing</v>
  </rv>
  <rv s="1">
    <v>0</v>
    <v>REALTY INCOME CORPORATION (XNYS:O)</v>
    <v>2</v>
    <v>3</v>
    <v>Finance</v>
    <v>4</v>
    <v>en-US</v>
    <v>a1z11h</v>
    <v>268435456</v>
    <v>1</v>
    <v>Powered by Refinitiv</v>
    <v>67.935000000000002</v>
    <v>54.38</v>
    <v>0.76970000000000005</v>
    <v>-7.0000000000000007E-2</v>
    <v>-1.0970000000000001E-3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c/o CSC-LAWYERS INCORPORATING SERVICE COMPANY 7 ST. PAUL STREET, SUITE 820, MD, 21202 US</v>
    <v>63.837000000000003</v>
    <v>Residential &amp; Commercial REIT</v>
    <v>Stock</v>
    <v>46127.71537868047</v>
    <v>302</v>
    <v>63.25</v>
    <v>59434401244</v>
    <v>REALTY INCOME CORPORATION</v>
    <v>REALTY INCOME CORPORATION</v>
    <v>63.78</v>
    <v>54.7453</v>
    <v>63.81</v>
    <v>63.74</v>
    <v>932450600</v>
    <v>O</v>
    <v>REALTY INCOME CORPORATION (XNYS:O)</v>
    <v>2095329</v>
    <v>5839992</v>
    <v>1997</v>
  </rv>
  <rv s="2">
    <v>303</v>
  </rv>
  <rv s="0">
    <v>https://www.bing.com/financeapi/forcetrigger?t=a23d6h&amp;q=XNYS%3aSPG&amp;form=skydnc</v>
    <v>Learn more on Bing</v>
  </rv>
  <rv s="1">
    <v>0</v>
    <v>SIMON PROPERTY GROUP, INC. (XNYS:SPG)</v>
    <v>2</v>
    <v>3</v>
    <v>Finance</v>
    <v>4</v>
    <v>en-US</v>
    <v>a23d6h</v>
    <v>268435456</v>
    <v>1</v>
    <v>Powered by Refinitiv</v>
    <v>205.11500000000001</v>
    <v>145.84</v>
    <v>1.4012</v>
    <v>-2.09</v>
    <v>-1.0298E-2</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202.84</v>
    <v>Residential &amp; Commercial REIT</v>
    <v>Stock</v>
    <v>46127.715297060153</v>
    <v>305</v>
    <v>199.14</v>
    <v>65252257934</v>
    <v>SIMON PROPERTY GROUP, INC.</v>
    <v>SIMON PROPERTY GROUP, INC.</v>
    <v>202.84</v>
    <v>14.1724</v>
    <v>202.96</v>
    <v>200.87</v>
    <v>324848200</v>
    <v>SPG</v>
    <v>SIMON PROPERTY GROUP, INC. (XNYS:SPG)</v>
    <v>461766</v>
    <v>1762816</v>
    <v>2025</v>
  </rv>
  <rv s="2">
    <v>306</v>
  </rv>
  <rv s="0">
    <v>https://www.bing.com/financeapi/forcetrigger?t=a1ngur&amp;q=XNYS%3aAMT&amp;form=skydnc</v>
    <v>Learn more on Bing</v>
  </rv>
  <rv s="1">
    <v>0</v>
    <v>AMERICAN TOWER CORPORATION (XNYS:AMT)</v>
    <v>2</v>
    <v>3</v>
    <v>Finance</v>
    <v>4</v>
    <v>en-US</v>
    <v>a1ngur</v>
    <v>268435456</v>
    <v>1</v>
    <v>Powered by Refinitiv</v>
    <v>234.33</v>
    <v>165.08</v>
    <v>0.90529999999999999</v>
    <v>1.7350000000000001</v>
    <v>9.835E-3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178.7</v>
    <v>Residential &amp; Commercial REIT</v>
    <v>Stock</v>
    <v>46127.715263807811</v>
    <v>308</v>
    <v>176.2201</v>
    <v>83081501464</v>
    <v>AMERICAN TOWER CORPORATION</v>
    <v>AMERICAN TOWER CORPORATION</v>
    <v>177.37</v>
    <v>33.01</v>
    <v>176.41</v>
    <v>178.14500000000001</v>
    <v>466370100</v>
    <v>AMT</v>
    <v>AMERICAN TOWER CORPORATION (XNYS:AMT)</v>
    <v>874021</v>
    <v>3366822</v>
    <v>1996</v>
  </rv>
  <rv s="2">
    <v>309</v>
  </rv>
  <rv s="0">
    <v>https://www.bing.com/financeapi/forcetrigger?t=a1pcf2&amp;q=XNYS%3aCCI&amp;form=skydnc</v>
    <v>Learn more on Bing</v>
  </rv>
  <rv s="1">
    <v>0</v>
    <v>CROWN CASTLE INC. (XNYS:CCI)</v>
    <v>2</v>
    <v>3</v>
    <v>Finance</v>
    <v>4</v>
    <v>en-US</v>
    <v>a1pcf2</v>
    <v>268435456</v>
    <v>1</v>
    <v>Powered by Refinitiv</v>
    <v>115.76</v>
    <v>75.959999999999994</v>
    <v>0.94740000000000002</v>
    <v>0.61</v>
    <v>7.0709999999999992E-3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87.054299999999998</v>
    <v>Residential &amp; Commercial REIT</v>
    <v>Stock</v>
    <v>46127.715276423434</v>
    <v>311</v>
    <v>85.79</v>
    <v>37911591024</v>
    <v>CROWN CASTLE INC.</v>
    <v>CROWN CASTLE INC.</v>
    <v>86.2</v>
    <v>34.421599999999998</v>
    <v>86.27</v>
    <v>86.88</v>
    <v>436367300</v>
    <v>CCI</v>
    <v>CROWN CASTLE INC. (XNYS:CCI)</v>
    <v>1126420</v>
    <v>3025459</v>
    <v>2014</v>
  </rv>
  <rv s="2">
    <v>312</v>
  </rv>
  <rv s="0">
    <v>https://www.bing.com/financeapi/forcetrigger?t=a22i27&amp;q=XNAS%3aSBAC&amp;form=skydnc</v>
    <v>Learn more on Bing</v>
  </rv>
  <rv s="1">
    <v>0</v>
    <v>SBA COMMUNICATIONS CORPORATION (XNAS:SBAC)</v>
    <v>2</v>
    <v>3</v>
    <v>Finance</v>
    <v>4</v>
    <v>en-US</v>
    <v>a22i27</v>
    <v>268435456</v>
    <v>1</v>
    <v>Powered by Refinitiv</v>
    <v>245.16</v>
    <v>162.41</v>
    <v>0.97330000000000005</v>
    <v>-2.09</v>
    <v>-9.5840000000000005E-3</v>
    <v>USD</v>
    <v>SBA Communications Corporation is an independent owner and operator of wireless communications infrastructure including towers, buildings, rooftops, distributed antenna systems (DAS) and small cells. Its primary focus is the leasing of antenna space on its multi-tenant towers to a variety of wireless service providers under long-term lease contracts in the United States, South America, Central America, Canada, and Africa. Its segments include Domestic Site Leasing, International Site Leasing and Site Development. The Domestic Site Leasing segment leases to T-Mobile, AT&amp;T Wireless, and Verizon Wireless. It owns over 17,464 sites in the United States and its territories. The International Site Leasing segment owns and operates over 22,285 towers in 13 international markets throughout South America, Central America, Canada, and Africa. Site development services include network pre-design; site audits; tower and related site construction; support in leasing of the location, and others.</v>
    <v>1844</v>
    <v>Nasdaq Stock Market</v>
    <v>XNAS</v>
    <v>XNAS</v>
    <v>8051 Congress Avenue, BOCA RATON, FL, 33487 US</v>
    <v>218.51</v>
    <v>Residential &amp; Commercial REIT</v>
    <v>Stock</v>
    <v>46127.715314675785</v>
    <v>314</v>
    <v>213.09</v>
    <v>22908417776</v>
    <v>SBA COMMUNICATIONS CORPORATION</v>
    <v>SBA COMMUNICATIONS CORPORATION</v>
    <v>218.51</v>
    <v>22.0185</v>
    <v>218.08</v>
    <v>215.99</v>
    <v>106062400</v>
    <v>SBAC</v>
    <v>SBA COMMUNICATIONS CORPORATION (XNAS:SBAC)</v>
    <v>574291</v>
    <v>1474058</v>
    <v>2016</v>
  </rv>
  <rv s="2">
    <v>315</v>
  </rv>
  <rv s="0">
    <v>https://www.bing.com/financeapi/forcetrigger?t=ayg69c&amp;q=XNYS%3aCOLD&amp;form=skydnc</v>
    <v>Learn more on Bing</v>
  </rv>
  <rv s="1">
    <v>0</v>
    <v>AMERICOLD REALTY TRUST, INC. (XNYS:COLD)</v>
    <v>2</v>
    <v>3</v>
    <v>Finance</v>
    <v>4</v>
    <v>en-US</v>
    <v>ayg69c</v>
    <v>268435456</v>
    <v>1</v>
    <v>Powered by Refinitiv</v>
    <v>20.75</v>
    <v>10.1</v>
    <v>0.92469999999999997</v>
    <v>9.5000000000000001E-2</v>
    <v>7.6920000000000001E-3</v>
    <v>USD</v>
    <v>Americold Realty Trust, Inc. is a self-administered and self-managed real estate investment trust (REIT). The Company is engaged in temperature-controlled logistics real estate and value-added services. Focused on the ownership, operation, acquisition and development of temperature-controlled warehouses, it owns and/or operates about 239 temperature-controlled warehouses, with approximately 1.4 billion refrigerated cubic feet of storage, in North America, Europe, Asia-Pacific, and South America. Its facilities are an integral component of the supply chain, connecting food producers, processors, distributors and retailers to consumers. In addition, it holds minority interests in two joint ventures, one with SuperFrio, which owns or operates 34 temperature-controlled warehouses in Brazil, and one with RSA joint venture, which operates two temperature-controlled warehouses in Dubai. It manages its business through three segments: warehouse, transportation, and third-party managed.</v>
    <v>12690</v>
    <v>New York Stock Exchange</v>
    <v>XNYS</v>
    <v>XNYS</v>
    <v>10 Glenlake Parkway, South Tower, Suite 600, ATLANTA, GA, 30328 US</v>
    <v>12.484999999999999</v>
    <v>Residential &amp; Commercial REIT</v>
    <v>Stock</v>
    <v>46127.715271527341</v>
    <v>317</v>
    <v>12.18</v>
    <v>3550495030</v>
    <v>AMERICOLD REALTY TRUST, INC.</v>
    <v>AMERICOLD REALTY TRUST, INC.</v>
    <v>12.37</v>
    <v>0</v>
    <v>12.35</v>
    <v>12.445</v>
    <v>285294900</v>
    <v>COLD</v>
    <v>AMERICOLD REALTY TRUST, INC. (XNYS:COLD)</v>
    <v>915853</v>
    <v>4364490</v>
    <v>2022</v>
  </rv>
  <rv s="2">
    <v>318</v>
  </rv>
  <rv s="0">
    <v>https://www.bing.com/financeapi/forcetrigger?t=a1txyc&amp;q=XNAS%3aGLPI&amp;form=skydnc</v>
    <v>Learn more on Bing</v>
  </rv>
  <rv s="1">
    <v>0</v>
    <v>Gaming and Leisure Properties, Inc. (XNAS:GLPI)</v>
    <v>2</v>
    <v>3</v>
    <v>Finance</v>
    <v>4</v>
    <v>en-US</v>
    <v>a1txyc</v>
    <v>268435456</v>
    <v>1</v>
    <v>Powered by Refinitiv</v>
    <v>50.31</v>
    <v>41.17</v>
    <v>0.69430000000000003</v>
    <v>6.5000000000000002E-2</v>
    <v>1.3910000000000001E-3</v>
    <v>USD</v>
    <v>Gaming and Leisure Properties, Inc. is a self-administered and self-managed Pennsylvania real estate investment trust. The Company is engaged in the business of acquiring, financing, and owning real estate property to be leased to gaming operators in triple-net lease arrangements, pursuant to which the tenant is responsible for all facility maintenance, insurance required in connection with the leased properties and the business conducted on the leased properties, taxes levied on or with respect to the leased properties and all utilities and other services necessary or appropriate for the leased properties and the business conducted on the leased properties. The Company’s portfolio consists of approximately 69 gaming and related facilities and amenities geographically diversified across 20 states. The Company’s properties include Ameristar Black Hawk, Bally’s Dover Casino Resort, Argosy Casino Alton, Hard Rock Casino Rockford, Casino Queen Marquette and Sunland Park.</v>
    <v>20</v>
    <v>Nasdaq Stock Market</v>
    <v>XNAS</v>
    <v>XNAS</v>
    <v>845 Berkshire Blvd, Suite 200, WYOMISSING, PA, 19610 US</v>
    <v>46.814999999999998</v>
    <v>Residential &amp; Commercial REIT</v>
    <v>Stock</v>
    <v>46127.715236272656</v>
    <v>320</v>
    <v>46.41</v>
    <v>13253364131</v>
    <v>Gaming and Leisure Properties, Inc.</v>
    <v>Gaming and Leisure Properties, Inc.</v>
    <v>46.73</v>
    <v>15.9476</v>
    <v>46.73</v>
    <v>46.795000000000002</v>
    <v>283221800</v>
    <v>GLPI</v>
    <v>Gaming and Leisure Properties, Inc. (XNAS:GLPI)</v>
    <v>442424</v>
    <v>2217328</v>
    <v>2013</v>
  </rv>
  <rv s="2">
    <v>321</v>
  </rv>
  <rv s="0">
    <v>https://www.bing.com/financeapi/forcetrigger?t=a1zwur&amp;q=XNYS%3aPK&amp;form=skydnc</v>
    <v>Learn more on Bing</v>
  </rv>
  <rv s="8">
    <v>13</v>
    <v>PARK HOTELS &amp; RESORTS INC. (XNYS:PK)</v>
    <v>2</v>
    <v>14</v>
    <v>Finance</v>
    <v>4</v>
    <v>en-US</v>
    <v>a1zwur</v>
    <v>268435456</v>
    <v>1</v>
    <v>Powered by Refinitiv</v>
    <v>12.39</v>
    <v>9.4700000000000006</v>
    <v>1.4094</v>
    <v>-0.115</v>
    <v>-1.0008999999999999E-2</v>
    <v>USD</v>
    <v>Park Hotels &amp; Resorts Inc. is a lodging real estate investment trust (REIT) with a portfolio of hotels and resorts. Its portfolio consists of approximately 34 hotels and resorts with 23,000 rooms, located in the United States. It operates the business through three operating segments, which include Core hotels, consolidated Non-Core hotels and unconsolidated hotels. Its Core hotels are located in urban and convention areas, such as New York City, Washington, D.C., Chicago, Boston, New Orleans and Denver; and premier resorts in leisure destinations, including Hawaii, Orlando, Key West and Miami Beach; as well as hotels in select airport and suburban locations. Its Core Hotels include Hilton Hotels &amp; Resorts, Hyatt Regency, Signia by Hilton, DoubleTree by Hilton, DoubleTree by Hilton, Marriott Tribute Portfolio and JW Marriott. Its Non-Core Hotels include Marriott, Marriott Tribute Portfolio and Embassy Suites by Hilton.</v>
    <v>90</v>
    <v>New York Stock Exchange</v>
    <v>XNYS</v>
    <v>XNYS</v>
    <v>1775 Tysons Blvd, 7Th Floor, TYSONS CORNER, VA, 22102 US</v>
    <v>11.49</v>
    <v>Residential &amp; Commercial REIT</v>
    <v>Stock</v>
    <v>46127.71521655078</v>
    <v>323</v>
    <v>11.255000000000001</v>
    <v>2289293825</v>
    <v>PARK HOTELS &amp; RESORTS INC.</v>
    <v>PARK HOTELS &amp; RESORTS INC.</v>
    <v>11.455</v>
    <v>11.49</v>
    <v>11.375</v>
    <v>201256600</v>
    <v>PK</v>
    <v>PARK HOTELS &amp; RESORTS INC. (XNYS:PK)</v>
    <v>1116113</v>
    <v>3589845</v>
    <v>1946</v>
  </rv>
  <rv s="2">
    <v>324</v>
  </rv>
  <rv s="0">
    <v>https://www.bing.com/financeapi/forcetrigger?t=aythxm&amp;q=XNYS%3aVICI&amp;form=skydnc</v>
    <v>Learn more on Bing</v>
  </rv>
  <rv s="1">
    <v>0</v>
    <v>VICI PROPERTIES INC. (XNYS:VICI)</v>
    <v>2</v>
    <v>3</v>
    <v>Finance</v>
    <v>4</v>
    <v>en-US</v>
    <v>aythxm</v>
    <v>268435456</v>
    <v>1</v>
    <v>Powered by Refinitiv</v>
    <v>34.01</v>
    <v>26.55</v>
    <v>0.6925</v>
    <v>-0.08</v>
    <v>-2.8210000000000002E-3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28.32</v>
    <v>Residential &amp; Commercial REIT</v>
    <v>Stock</v>
    <v>46127.715338321097</v>
    <v>326</v>
    <v>27.954000000000001</v>
    <v>30231008920</v>
    <v>VICI PROPERTIES INC.</v>
    <v>VICI PROPERTIES INC.</v>
    <v>28.29</v>
    <v>10.827</v>
    <v>28.36</v>
    <v>28.28</v>
    <v>1068989000</v>
    <v>VICI</v>
    <v>VICI PROPERTIES INC. (XNYS:VICI)</v>
    <v>1942650</v>
    <v>8893069</v>
    <v>2017</v>
  </rv>
  <rv s="2">
    <v>327</v>
  </rv>
  <rv s="0">
    <v>https://www.bing.com/financeapi/forcetrigger?t=a1vrec&amp;q=XNYS%3aIRM&amp;form=skydnc</v>
    <v>Learn more on Bing</v>
  </rv>
  <rv s="1">
    <v>0</v>
    <v>IRON MOUNTAIN INCORPORATED (XNYS:IRM)</v>
    <v>2</v>
    <v>3</v>
    <v>Finance</v>
    <v>4</v>
    <v>en-US</v>
    <v>a1vrec</v>
    <v>268435456</v>
    <v>1</v>
    <v>Powered by Refinitiv</v>
    <v>115.24</v>
    <v>77.77</v>
    <v>1.1612</v>
    <v>-0.77</v>
    <v>-6.7530000000000003E-3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114.14</v>
    <v>Residential &amp; Commercial REIT</v>
    <v>Stock</v>
    <v>46127.715290474218</v>
    <v>329</v>
    <v>112.92</v>
    <v>33692448888</v>
    <v>IRON MOUNTAIN INCORPORATED</v>
    <v>IRON MOUNTAIN INCORPORATED</v>
    <v>113.71</v>
    <v>234.20179999999999</v>
    <v>114.03</v>
    <v>113.26</v>
    <v>297478800</v>
    <v>IRM</v>
    <v>IRON MOUNTAIN INCORPORATED (XNYS:IRM)</v>
    <v>324127</v>
    <v>1381391</v>
    <v>2014</v>
  </rv>
  <rv s="2">
    <v>330</v>
  </rv>
  <rv s="0">
    <v>https://www.bing.com/financeapi/forcetrigger?t=a1s4mw&amp;q=XNAS%3aEQIX&amp;form=skydnc</v>
    <v>Learn more on Bing</v>
  </rv>
  <rv s="1">
    <v>0</v>
    <v>EQUINIX, INC. (XNAS:EQIX)</v>
    <v>2</v>
    <v>3</v>
    <v>Finance</v>
    <v>4</v>
    <v>en-US</v>
    <v>a1s4mw</v>
    <v>268435456</v>
    <v>1</v>
    <v>Powered by Refinitiv</v>
    <v>1060.07</v>
    <v>710.52</v>
    <v>1.0015000000000001</v>
    <v>-9.94</v>
    <v>-9.4009999999999996E-3</v>
    <v>USD</v>
    <v>Equinix, Inc. is a digital infrastructure company. The Company's platform, Equinix, combines a global footprint of International Business Exchange and xScale data centers in the Americas, Asia-Pacific, and Europe, the Middle East and Africa (EMEA) regions, interconnection offerings, and digital ecosystems required to serve a large and diverse set of customers. It offers a variety of enabling solutions that support a customer's need to implement, operate and maintain its colocated deployments. Its solutions include Equinix SmartView, Equinix Smart Hands, Equinix Smart Build, and Equinix Managed Solutions and Enablement Services. Equinix SmartView is fully integrated monitoring software that provides customers with visibility into the operating data relevant to their specific Equinix footprint. Its interconnection solutions connect businesses directly within and between its data centers across its platform. Its interconnection solutions are Equinix Fabric, Fiber Connect, among others.</v>
    <v>13716</v>
    <v>Nasdaq Stock Market</v>
    <v>XNAS</v>
    <v>XNAS</v>
    <v>One Lagoon Drive, REDWOOD CITY, CA, 94065 US</v>
    <v>1059.77</v>
    <v>Residential &amp; Commercial REIT</v>
    <v>Stock</v>
    <v>46127.715245878906</v>
    <v>332</v>
    <v>1043.75</v>
    <v>103301202130</v>
    <v>EQUINIX, INC.</v>
    <v>EQUINIX, INC.</v>
    <v>1059.77</v>
    <v>76.119200000000006</v>
    <v>1057.3699999999999</v>
    <v>1047.43</v>
    <v>98623490</v>
    <v>EQIX</v>
    <v>EQUINIX, INC. (XNAS:EQIX)</v>
    <v>211803</v>
    <v>565212</v>
    <v>1998</v>
  </rv>
  <rv s="2">
    <v>333</v>
  </rv>
  <rv s="0">
    <v>https://www.bing.com/financeapi/forcetrigger?t=a1r5fr&amp;q=XNYS%3aDLR&amp;form=skydnc</v>
    <v>Learn more on Bing</v>
  </rv>
  <rv s="1">
    <v>0</v>
    <v>DIGITAL REALTY TRUST, INC. (XNYS:DLR)</v>
    <v>2</v>
    <v>3</v>
    <v>Finance</v>
    <v>4</v>
    <v>en-US</v>
    <v>a1r5fr</v>
    <v>268435456</v>
    <v>1</v>
    <v>Powered by Refinitiv</v>
    <v>196.41</v>
    <v>143.83000000000001</v>
    <v>1.0835999999999999</v>
    <v>-1.29</v>
    <v>-6.5890000000000002E-3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2405 YORK ROAD SUITE 201, LUTHERVILLE-TIMONIUM, MD, 21093 US</v>
    <v>195.38499999999999</v>
    <v>Residential &amp; Commercial REIT</v>
    <v>Stock</v>
    <v>46127.715254803123</v>
    <v>335</v>
    <v>193.02500000000001</v>
    <v>66833195300</v>
    <v>DIGITAL REALTY TRUST, INC.</v>
    <v>DIGITAL REALTY TRUST, INC.</v>
    <v>195.375</v>
    <v>54.329599999999999</v>
    <v>195.79</v>
    <v>194.5</v>
    <v>343615400</v>
    <v>DLR</v>
    <v>DIGITAL REALTY TRUST, INC. (XNYS:DLR)</v>
    <v>602653</v>
    <v>1914876</v>
    <v>2004</v>
  </rv>
  <rv s="2">
    <v>336</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1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0">
      <v>2</v>
      <v>Name</v>
      <v>LearnMoreOnLink</v>
    </spb>
    <spb s="9">
      <v>1</v>
      <v>2</v>
      <v>1</v>
      <v>3</v>
      <v>1</v>
      <v>10</v>
      <v>1</v>
      <v>1</v>
      <v>4</v>
      <v>4</v>
      <v>5</v>
      <v>6</v>
      <v>1</v>
      <v>1</v>
      <v>1</v>
      <v>4</v>
      <v>7</v>
      <v>8</v>
      <v>9</v>
      <v>4</v>
    </spb>
    <spb s="3">
      <v>1</v>
      <v>2</v>
      <v>2</v>
      <v>1</v>
      <v>3</v>
      <v>1</v>
      <v>1</v>
      <v>1</v>
      <v>4</v>
      <v>4</v>
      <v>5</v>
      <v>11</v>
      <v>1</v>
      <v>1</v>
      <v>1</v>
      <v>4</v>
      <v>7</v>
      <v>8</v>
      <v>9</v>
      <v>4</v>
    </spb>
    <spb s="0">
      <v>3</v>
      <v>Name</v>
      <v>LearnMoreOnLink</v>
    </spb>
    <spb s="10">
      <v>1</v>
      <v>2</v>
      <v>1</v>
      <v>3</v>
      <v>1</v>
      <v>1</v>
      <v>1</v>
      <v>4</v>
      <v>4</v>
      <v>5</v>
      <v>6</v>
      <v>1</v>
      <v>1</v>
      <v>1</v>
      <v>4</v>
      <v>7</v>
      <v>8</v>
      <v>9</v>
      <v>4</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8" totalsRowShown="0" headerRowDxfId="12">
  <autoFilter ref="A1:L108" xr:uid="{E0CA35FE-2F53-A347-8AD6-B5C0C701EF5E}"/>
  <sortState xmlns:xlrd2="http://schemas.microsoft.com/office/spreadsheetml/2017/richdata2" ref="A2:L108">
    <sortCondition ref="E1:E108"/>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11">
      <calculatedColumnFormula array="1">_FV(table1[[#This Row],[DataField]],"Price")</calculatedColumnFormula>
    </tableColumn>
    <tableColumn id="17" xr3:uid="{87A4EE6D-E7C3-CE41-BBA3-78EC20CDEBEE}" name="52Low" dataDxfId="10">
      <calculatedColumnFormula array="1">_FV(table1[[#This Row],[DataField]],"52 week low",TRUE)</calculatedColumnFormula>
    </tableColumn>
    <tableColumn id="18" xr3:uid="{D9B78892-8229-7243-8D05-F357BF8638BD}" name="52High" dataDxfId="9">
      <calculatedColumnFormula array="1">_FV(table1[[#This Row],[DataField]],"52 week high",TRUE)</calculatedColumnFormula>
    </tableColumn>
    <tableColumn id="20" xr3:uid="{78C713E7-4AD7-B542-970C-49F40A7186F4}" name="P/E" dataDxfId="8" dataCellStyle="Comma">
      <calculatedColumnFormula array="1">_FV(table1[[#This Row],[DataField]],"P/E",TRUE)</calculatedColumnFormula>
    </tableColumn>
    <tableColumn id="23" xr3:uid="{7CC54F3F-E5AD-804B-9D12-23FD72A661FB}" name="Watch" dataDxfId="7">
      <calculatedColumnFormula>IF(table1[[#This Row],[Price]] &lt; (table1[[#This Row],[52Low]] * 0.25) + table1[[#This Row],[52Low]],  "TRUE", "FALSE")</calculatedColumnFormula>
    </tableColumn>
    <tableColumn id="24" xr3:uid="{8E6233F4-6662-6E46-AF2F-77ADB7B9257D}" name="Alert" dataDxfId="6">
      <calculatedColumnFormula>IF(table1[[#This Row],[Price]] &lt; (table1[[#This Row],[52Low]] * 0.1) + table1[[#This Row],[52Low]],  "TRUE", "FALSE")</calculatedColumnFormula>
    </tableColumn>
    <tableColumn id="28" xr3:uid="{0C4A33EE-ED89-2F4F-BCD3-9651E2BEED77}" name="MarketCap" dataDxfId="5">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8"/>
  <sheetViews>
    <sheetView tabSelected="1" workbookViewId="0">
      <pane ySplit="1" topLeftCell="A2" activePane="bottomLeft" state="frozen"/>
      <selection pane="bottomLeft" activeCell="F93" sqref="F93"/>
    </sheetView>
  </sheetViews>
  <sheetFormatPr baseColWidth="10" defaultRowHeight="16" x14ac:dyDescent="0.2"/>
  <cols>
    <col min="1" max="1" width="59.16406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265.53500000000003</v>
      </c>
      <c r="G2" s="2" cm="1">
        <f t="array" aca="1" ref="G2" ca="1">_FV(table1[[#This Row],[DataField]],"52 week low",TRUE)</f>
        <v>189.81120000000001</v>
      </c>
      <c r="H2" s="2" cm="1">
        <f t="array" aca="1" ref="H2" ca="1">_FV(table1[[#This Row],[DataField]],"52 week high",TRUE)</f>
        <v>288.62</v>
      </c>
      <c r="I2" s="4" cm="1">
        <f t="array" aca="1" ref="I2" ca="1">_FV(table1[[#This Row],[DataField]],"P/E",TRUE)</f>
        <v>33.735399999999998</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3898356509900</v>
      </c>
    </row>
    <row r="3" spans="1:12" x14ac:dyDescent="0.2">
      <c r="A3" t="e" vm="2">
        <v>#VALUE!</v>
      </c>
      <c r="B3" t="str" cm="1">
        <f t="array" aca="1" ref="B3" ca="1">_FV(table1[[#This Row],[DataField]],"Ticker symbol",TRUE)</f>
        <v>AMZN</v>
      </c>
      <c r="C3">
        <v>0</v>
      </c>
      <c r="D3">
        <v>500</v>
      </c>
      <c r="E3">
        <v>1</v>
      </c>
      <c r="F3" s="2" cm="1">
        <f t="array" aca="1" ref="F3" ca="1">_FV(table1[[#This Row],[DataField]],"Price")</f>
        <v>248.19</v>
      </c>
      <c r="G3" s="2" cm="1">
        <f t="array" aca="1" ref="G3" ca="1">_FV(table1[[#This Row],[DataField]],"52 week low",TRUE)</f>
        <v>165.285</v>
      </c>
      <c r="H3" s="2" cm="1">
        <f t="array" aca="1" ref="H3" ca="1">_FV(table1[[#This Row],[DataField]],"52 week high",TRUE)</f>
        <v>258.60000000000002</v>
      </c>
      <c r="I3" s="4" cm="1">
        <f t="array" aca="1" ref="I3" ca="1">_FV(table1[[#This Row],[DataField]],"P/E",TRUE)</f>
        <v>34.604399999999998</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2669097307500</v>
      </c>
    </row>
    <row r="4" spans="1:12" x14ac:dyDescent="0.2">
      <c r="A4" t="e" vm="3">
        <v>#VALUE!</v>
      </c>
      <c r="B4" t="str" cm="1">
        <f t="array" aca="1" ref="B4" ca="1">_FV(table1[[#This Row],[DataField]],"Ticker symbol",TRUE)</f>
        <v>GOOGL</v>
      </c>
      <c r="C4">
        <v>0</v>
      </c>
      <c r="D4">
        <v>500</v>
      </c>
      <c r="E4">
        <v>1</v>
      </c>
      <c r="F4" s="2" cm="1">
        <f t="array" aca="1" ref="F4" ca="1">_FV(table1[[#This Row],[DataField]],"Price")</f>
        <v>334.43</v>
      </c>
      <c r="G4" s="2" cm="1">
        <f t="array" aca="1" ref="G4" ca="1">_FV(table1[[#This Row],[DataField]],"52 week low",TRUE)</f>
        <v>146.1</v>
      </c>
      <c r="H4" s="2" cm="1">
        <f t="array" aca="1" ref="H4" ca="1">_FV(table1[[#This Row],[DataField]],"52 week high",TRUE)</f>
        <v>349</v>
      </c>
      <c r="I4" s="4" cm="1">
        <f t="array" aca="1" ref="I4" ca="1">_FV(table1[[#This Row],[DataField]],"P/E",TRUE)</f>
        <v>30.937100000000001</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4045599710000</v>
      </c>
    </row>
    <row r="5" spans="1:12" x14ac:dyDescent="0.2">
      <c r="A5" t="e" vm="4">
        <v>#VALUE!</v>
      </c>
      <c r="B5" t="str" cm="1">
        <f t="array" aca="1" ref="B5" ca="1">_FV(table1[[#This Row],[DataField]],"Ticker symbol",TRUE)</f>
        <v>META</v>
      </c>
      <c r="C5">
        <v>1</v>
      </c>
      <c r="D5">
        <v>500</v>
      </c>
      <c r="E5">
        <v>1</v>
      </c>
      <c r="F5" s="2" cm="1">
        <f t="array" aca="1" ref="F5" ca="1">_FV(table1[[#This Row],[DataField]],"Price")</f>
        <v>674.18</v>
      </c>
      <c r="G5" s="2" cm="1">
        <f t="array" aca="1" ref="G5" ca="1">_FV(table1[[#This Row],[DataField]],"52 week low",TRUE)</f>
        <v>479.8</v>
      </c>
      <c r="H5" s="2" cm="1">
        <f t="array" aca="1" ref="H5" ca="1">_FV(table1[[#This Row],[DataField]],"52 week high",TRUE)</f>
        <v>796.25</v>
      </c>
      <c r="I5" s="4" cm="1">
        <f t="array" aca="1" ref="I5" ca="1">_FV(table1[[#This Row],[DataField]],"P/E",TRUE)</f>
        <v>23.0642</v>
      </c>
      <c r="J5" s="2" t="str">
        <f ca="1">IF(table1[[#This Row],[Price]] &lt; (table1[[#This Row],[52Low]] * 0.25) + table1[[#This Row],[52Low]],  "TRUE", "FALSE")</f>
        <v>FALSE</v>
      </c>
      <c r="K5" s="2" t="str">
        <f ca="1">IF(table1[[#This Row],[Price]] &lt; (table1[[#This Row],[52Low]] * 0.1) + table1[[#This Row],[52Low]],  "TRUE", "FALSE")</f>
        <v>FALSE</v>
      </c>
      <c r="L5" s="6" cm="1">
        <f t="array" aca="1" ref="L5" ca="1">_FV(table1[[#This Row],[DataField]],"Market cap",TRUE)</f>
        <v>1705375389899</v>
      </c>
    </row>
    <row r="6" spans="1:12" x14ac:dyDescent="0.2">
      <c r="A6" t="e" vm="5">
        <v>#VALUE!</v>
      </c>
      <c r="B6" t="str" cm="1">
        <f t="array" aca="1" ref="B6" ca="1">_FV(table1[[#This Row],[DataField]],"Ticker symbol",TRUE)</f>
        <v>MSFT</v>
      </c>
      <c r="C6">
        <v>0</v>
      </c>
      <c r="D6">
        <v>500</v>
      </c>
      <c r="E6">
        <v>1</v>
      </c>
      <c r="F6" s="2" cm="1">
        <f t="array" aca="1" ref="F6" ca="1">_FV(table1[[#This Row],[DataField]],"Price")</f>
        <v>408.6</v>
      </c>
      <c r="G6" s="2" cm="1">
        <f t="array" aca="1" ref="G6" ca="1">_FV(table1[[#This Row],[DataField]],"52 week low",TRUE)</f>
        <v>355.67</v>
      </c>
      <c r="H6" s="2" cm="1">
        <f t="array" aca="1" ref="H6" ca="1">_FV(table1[[#This Row],[DataField]],"52 week high",TRUE)</f>
        <v>555.45000000000005</v>
      </c>
      <c r="I6" s="4" cm="1">
        <f t="array" aca="1" ref="I6" ca="1">_FV(table1[[#This Row],[DataField]],"P/E",TRUE)</f>
        <v>25.5656</v>
      </c>
      <c r="J6" s="2" t="str">
        <f ca="1">IF(table1[[#This Row],[Price]] &lt; (table1[[#This Row],[52Low]] * 0.25) + table1[[#This Row],[52Low]],  "TRUE", "FALSE")</f>
        <v>TRUE</v>
      </c>
      <c r="K6" s="2" t="str">
        <f ca="1">IF(table1[[#This Row],[Price]] &lt; (table1[[#This Row],[52Low]] * 0.1) + table1[[#This Row],[52Low]],  "TRUE", "FALSE")</f>
        <v>FALSE</v>
      </c>
      <c r="L6" s="6" cm="1">
        <f t="array" aca="1" ref="L6" ca="1">_FV(table1[[#This Row],[DataField]],"Market cap",TRUE)</f>
        <v>3034112009400</v>
      </c>
    </row>
    <row r="7" spans="1:12" x14ac:dyDescent="0.2">
      <c r="A7" t="e" vm="6">
        <v>#VALUE!</v>
      </c>
      <c r="B7" t="str" cm="1">
        <f t="array" aca="1" ref="B7" ca="1">_FV(table1[[#This Row],[DataField]],"Ticker symbol",TRUE)</f>
        <v>AMD</v>
      </c>
      <c r="C7">
        <v>1</v>
      </c>
      <c r="D7">
        <v>500</v>
      </c>
      <c r="E7">
        <v>2</v>
      </c>
      <c r="F7" s="2" cm="1">
        <f t="array" aca="1" ref="F7" ca="1">_FV(table1[[#This Row],[DataField]],"Price")</f>
        <v>253.91499999999999</v>
      </c>
      <c r="G7" s="2" cm="1">
        <f t="array" aca="1" ref="G7" ca="1">_FV(table1[[#This Row],[DataField]],"52 week low",TRUE)</f>
        <v>83.75</v>
      </c>
      <c r="H7" s="2" cm="1">
        <f t="array" aca="1" ref="H7" ca="1">_FV(table1[[#This Row],[DataField]],"52 week high",TRUE)</f>
        <v>267.07990000000001</v>
      </c>
      <c r="I7" s="4" cm="1">
        <f t="array" aca="1" ref="I7" ca="1">_FV(table1[[#This Row],[DataField]],"P/E",TRUE)</f>
        <v>97.494600000000005</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413967527185</v>
      </c>
    </row>
    <row r="8" spans="1:12" x14ac:dyDescent="0.2">
      <c r="A8" t="e" vm="7">
        <v>#VALUE!</v>
      </c>
      <c r="B8" t="str" cm="1">
        <f t="array" aca="1" ref="B8" ca="1">_FV(table1[[#This Row],[DataField]],"Ticker symbol",TRUE)</f>
        <v>ASML</v>
      </c>
      <c r="C8">
        <v>1</v>
      </c>
      <c r="D8">
        <v>500</v>
      </c>
      <c r="E8">
        <v>2</v>
      </c>
      <c r="F8" s="2" cm="1">
        <f t="array" aca="1" ref="F8" ca="1">_FV(table1[[#This Row],[DataField]],"Price")</f>
        <v>1427.65</v>
      </c>
      <c r="G8" s="2" cm="1">
        <f t="array" aca="1" ref="G8" ca="1">_FV(table1[[#This Row],[DataField]],"52 week low",TRUE)</f>
        <v>614.06200000000001</v>
      </c>
      <c r="H8" s="2" cm="1">
        <f t="array" aca="1" ref="H8" ca="1">_FV(table1[[#This Row],[DataField]],"52 week high",TRUE)</f>
        <v>1547.22</v>
      </c>
      <c r="I8" s="4" cm="1">
        <f t="array" aca="1" ref="I8" ca="1">_FV(table1[[#This Row],[DataField]],"P/E",TRUE)</f>
        <v>49.185200000000002</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554139063905</v>
      </c>
    </row>
    <row r="9" spans="1:12" x14ac:dyDescent="0.2">
      <c r="A9" t="e" vm="8">
        <v>#VALUE!</v>
      </c>
      <c r="B9" t="str" cm="1">
        <f t="array" aca="1" ref="B9" ca="1">_FV(table1[[#This Row],[DataField]],"Ticker symbol",TRUE)</f>
        <v>AVGO</v>
      </c>
      <c r="C9">
        <v>1</v>
      </c>
      <c r="D9">
        <v>500</v>
      </c>
      <c r="E9">
        <v>2</v>
      </c>
      <c r="F9" s="2" cm="1">
        <f t="array" aca="1" ref="F9" ca="1">_FV(table1[[#This Row],[DataField]],"Price")</f>
        <v>391.25</v>
      </c>
      <c r="G9" s="2" cm="1">
        <f t="array" aca="1" ref="G9" ca="1">_FV(table1[[#This Row],[DataField]],"52 week low",TRUE)</f>
        <v>161.61000000000001</v>
      </c>
      <c r="H9" s="2" cm="1">
        <f t="array" aca="1" ref="H9" ca="1">_FV(table1[[#This Row],[DataField]],"52 week high",TRUE)</f>
        <v>414.61</v>
      </c>
      <c r="I9" s="4" cm="1">
        <f t="array" aca="1" ref="I9" ca="1">_FV(table1[[#This Row],[DataField]],"P/E",TRUE)</f>
        <v>82.023099999999999</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1852438855000</v>
      </c>
    </row>
    <row r="10" spans="1:12" x14ac:dyDescent="0.2">
      <c r="A10" t="e" vm="9">
        <v>#VALUE!</v>
      </c>
      <c r="B10" t="str" cm="1">
        <f t="array" aca="1" ref="B10" ca="1">_FV(table1[[#This Row],[DataField]],"Ticker symbol",TRUE)</f>
        <v>INTC</v>
      </c>
      <c r="C10">
        <v>1</v>
      </c>
      <c r="D10">
        <v>500</v>
      </c>
      <c r="E10">
        <v>2</v>
      </c>
      <c r="F10" s="2" cm="1">
        <f t="array" aca="1" ref="F10" ca="1">_FV(table1[[#This Row],[DataField]],"Price")</f>
        <v>64.290000000000006</v>
      </c>
      <c r="G10" s="2" cm="1">
        <f t="array" aca="1" ref="G10" ca="1">_FV(table1[[#This Row],[DataField]],"52 week low",TRUE)</f>
        <v>18.25</v>
      </c>
      <c r="H10" s="2" cm="1">
        <f t="array" aca="1" ref="H10" ca="1">_FV(table1[[#This Row],[DataField]],"52 week high",TRUE)</f>
        <v>65.84</v>
      </c>
      <c r="I10" s="4" cm="1">
        <f t="array" aca="1" ref="I10" ca="1">_FV(table1[[#This Row],[DataField]],"P/E",TRUE)</f>
        <v>0</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322800732900</v>
      </c>
    </row>
    <row r="11" spans="1:12" x14ac:dyDescent="0.2">
      <c r="A11" t="e" vm="10">
        <v>#VALUE!</v>
      </c>
      <c r="B11" t="str" cm="1">
        <f t="array" aca="1" ref="B11" ca="1">_FV(table1[[#This Row],[DataField]],"Ticker symbol",TRUE)</f>
        <v>LRCX</v>
      </c>
      <c r="C11">
        <v>1</v>
      </c>
      <c r="D11">
        <v>500</v>
      </c>
      <c r="E11">
        <v>2</v>
      </c>
      <c r="F11" s="2" cm="1">
        <f t="array" aca="1" ref="F11" ca="1">_FV(table1[[#This Row],[DataField]],"Price")</f>
        <v>258.24</v>
      </c>
      <c r="G11" s="2" cm="1">
        <f t="array" aca="1" ref="G11" ca="1">_FV(table1[[#This Row],[DataField]],"52 week low",TRUE)</f>
        <v>61.14</v>
      </c>
      <c r="H11" s="2" cm="1">
        <f t="array" aca="1" ref="H11" ca="1">_FV(table1[[#This Row],[DataField]],"52 week high",TRUE)</f>
        <v>273.5</v>
      </c>
      <c r="I11" s="4" cm="1">
        <f t="array" aca="1" ref="I11" ca="1">_FV(table1[[#This Row],[DataField]],"P/E",TRUE)</f>
        <v>52.925600000000003</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322482623040</v>
      </c>
    </row>
    <row r="12" spans="1:12" x14ac:dyDescent="0.2">
      <c r="A12" t="e" vm="11">
        <v>#VALUE!</v>
      </c>
      <c r="B12" t="str" cm="1">
        <f t="array" aca="1" ref="B12" ca="1">_FV(table1[[#This Row],[DataField]],"Ticker symbol",TRUE)</f>
        <v>MU</v>
      </c>
      <c r="C12">
        <v>1</v>
      </c>
      <c r="D12">
        <v>500</v>
      </c>
      <c r="E12">
        <v>2</v>
      </c>
      <c r="F12" s="2" cm="1">
        <f t="array" aca="1" ref="F12" ca="1">_FV(table1[[#This Row],[DataField]],"Price")</f>
        <v>444.2133</v>
      </c>
      <c r="G12" s="2" cm="1">
        <f t="array" aca="1" ref="G12" ca="1">_FV(table1[[#This Row],[DataField]],"52 week low",TRUE)</f>
        <v>65.644999999999996</v>
      </c>
      <c r="H12" s="2" cm="1">
        <f t="array" aca="1" ref="H12" ca="1">_FV(table1[[#This Row],[DataField]],"52 week high",TRUE)</f>
        <v>471.34</v>
      </c>
      <c r="I12" s="4" cm="1">
        <f t="array" aca="1" ref="I12" ca="1">_FV(table1[[#This Row],[DataField]],"P/E",TRUE)</f>
        <v>20.972000000000001</v>
      </c>
      <c r="J12" s="2" t="str">
        <f ca="1">IF(table1[[#This Row],[Price]] &lt; (table1[[#This Row],[52Low]] * 0.25) + table1[[#This Row],[52Low]],  "TRUE", "FALSE")</f>
        <v>FALSE</v>
      </c>
      <c r="K12" s="7" t="str">
        <f ca="1">IF(table1[[#This Row],[Price]] &lt; (table1[[#This Row],[52Low]] * 0.1) + table1[[#This Row],[52Low]],  "TRUE", "FALSE")</f>
        <v>FALSE</v>
      </c>
      <c r="L12" s="6" cm="1">
        <f t="array" aca="1" ref="L12" ca="1">_FV(table1[[#This Row],[DataField]],"Market cap",TRUE)</f>
        <v>500954441662</v>
      </c>
    </row>
    <row r="13" spans="1:12" ht="17" customHeight="1" x14ac:dyDescent="0.2">
      <c r="A13" t="e" vm="12">
        <v>#VALUE!</v>
      </c>
      <c r="B13" t="str" cm="1">
        <f t="array" aca="1" ref="B13" ca="1">_FV(table1[[#This Row],[DataField]],"Ticker symbol",TRUE)</f>
        <v>NVDA</v>
      </c>
      <c r="C13">
        <v>1</v>
      </c>
      <c r="D13">
        <v>500</v>
      </c>
      <c r="E13">
        <v>2</v>
      </c>
      <c r="F13" s="2" cm="1">
        <f t="array" aca="1" ref="F13" ca="1">_FV(table1[[#This Row],[DataField]],"Price")</f>
        <v>197.31</v>
      </c>
      <c r="G13" s="2" cm="1">
        <f t="array" aca="1" ref="G13" ca="1">_FV(table1[[#This Row],[DataField]],"52 week low",TRUE)</f>
        <v>95.04</v>
      </c>
      <c r="H13" s="2" cm="1">
        <f t="array" aca="1" ref="H13" ca="1">_FV(table1[[#This Row],[DataField]],"52 week high",TRUE)</f>
        <v>212.18989999999999</v>
      </c>
      <c r="I13" s="4" cm="1">
        <f t="array" aca="1" ref="I13" ca="1">_FV(table1[[#This Row],[DataField]],"P/E",TRUE)</f>
        <v>40.252600000000001</v>
      </c>
      <c r="J13" s="2" t="str">
        <f ca="1">IF(table1[[#This Row],[Price]] &lt; (table1[[#This Row],[52Low]] * 0.25) + table1[[#This Row],[52Low]],  "TRUE", "FALSE")</f>
        <v>FALSE</v>
      </c>
      <c r="K13" s="2" t="str">
        <f ca="1">IF(table1[[#This Row],[Price]] &lt; (table1[[#This Row],[52Low]] * 0.1) + table1[[#This Row],[52Low]],  "TRUE", "FALSE")</f>
        <v>FALSE</v>
      </c>
      <c r="L13" s="6" cm="1">
        <f t="array" aca="1" ref="L13" ca="1">_FV(table1[[#This Row],[DataField]],"Market cap",TRUE)</f>
        <v>4794633000000</v>
      </c>
    </row>
    <row r="14" spans="1:12" x14ac:dyDescent="0.2">
      <c r="A14" t="e" vm="13">
        <v>#VALUE!</v>
      </c>
      <c r="B14" t="str" cm="1">
        <f t="array" aca="1" ref="B14" ca="1">_FV(table1[[#This Row],[DataField]],"Ticker symbol",TRUE)</f>
        <v>QCOM</v>
      </c>
      <c r="C14">
        <v>1</v>
      </c>
      <c r="D14">
        <v>500</v>
      </c>
      <c r="E14">
        <v>2</v>
      </c>
      <c r="F14" s="2" cm="1">
        <f t="array" aca="1" ref="F14" ca="1">_FV(table1[[#This Row],[DataField]],"Price")</f>
        <v>133.4</v>
      </c>
      <c r="G14" s="2" cm="1">
        <f t="array" aca="1" ref="G14" ca="1">_FV(table1[[#This Row],[DataField]],"52 week low",TRUE)</f>
        <v>121.99</v>
      </c>
      <c r="H14" s="2" cm="1">
        <f t="array" aca="1" ref="H14" ca="1">_FV(table1[[#This Row],[DataField]],"52 week high",TRUE)</f>
        <v>205.95</v>
      </c>
      <c r="I14" s="4" cm="1">
        <f t="array" aca="1" ref="I14" ca="1">_FV(table1[[#This Row],[DataField]],"P/E",TRUE)</f>
        <v>27.559699999999999</v>
      </c>
      <c r="J14" s="2" t="str">
        <f ca="1">IF(table1[[#This Row],[Price]] &lt; (table1[[#This Row],[52Low]] * 0.25) + table1[[#This Row],[52Low]],  "TRUE", "FALSE")</f>
        <v>TRUE</v>
      </c>
      <c r="K14" s="2" t="str">
        <f ca="1">IF(table1[[#This Row],[Price]] &lt; (table1[[#This Row],[52Low]] * 0.1) + table1[[#This Row],[52Low]],  "TRUE", "FALSE")</f>
        <v>TRUE</v>
      </c>
      <c r="L14" s="6" cm="1">
        <f t="array" aca="1" ref="L14" ca="1">_FV(table1[[#This Row],[DataField]],"Market cap",TRUE)</f>
        <v>142337800000</v>
      </c>
    </row>
    <row r="15" spans="1:12" x14ac:dyDescent="0.2">
      <c r="A15" t="e" vm="14">
        <v>#VALUE!</v>
      </c>
      <c r="B15" t="str" cm="1">
        <f t="array" aca="1" ref="B15" ca="1">_FV(table1[[#This Row],[DataField]],"Ticker symbol",TRUE)</f>
        <v>TSM</v>
      </c>
      <c r="C15">
        <v>1</v>
      </c>
      <c r="D15">
        <v>500</v>
      </c>
      <c r="E15">
        <v>2</v>
      </c>
      <c r="F15" s="2" cm="1">
        <f t="array" aca="1" ref="F15" ca="1">_FV(table1[[#This Row],[DataField]],"Price")</f>
        <v>374.85500000000002</v>
      </c>
      <c r="G15" s="2" cm="1">
        <f t="array" aca="1" ref="G15" ca="1">_FV(table1[[#This Row],[DataField]],"52 week low",TRUE)</f>
        <v>145.84</v>
      </c>
      <c r="H15" s="2" cm="1">
        <f t="array" aca="1" ref="H15" ca="1">_FV(table1[[#This Row],[DataField]],"52 week high",TRUE)</f>
        <v>390.20499999999998</v>
      </c>
      <c r="I15" s="4" cm="1">
        <f t="array" aca="1" ref="I15" ca="1">_FV(table1[[#This Row],[DataField]],"P/E",TRUE)</f>
        <v>35.457700000000003</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1944187331775</v>
      </c>
    </row>
    <row r="16" spans="1:12" x14ac:dyDescent="0.2">
      <c r="A16" t="e" vm="15">
        <v>#VALUE!</v>
      </c>
      <c r="B16" t="str" cm="1">
        <f t="array" aca="1" ref="B16" ca="1">_FV(table1[[#This Row],[DataField]],"Ticker symbol",TRUE)</f>
        <v>TXN</v>
      </c>
      <c r="C16">
        <v>0</v>
      </c>
      <c r="D16">
        <v>500</v>
      </c>
      <c r="E16">
        <v>2</v>
      </c>
      <c r="F16" s="2" cm="1">
        <f t="array" aca="1" ref="F16" ca="1">_FV(table1[[#This Row],[DataField]],"Price")</f>
        <v>213.15</v>
      </c>
      <c r="G16" s="2" cm="1">
        <f t="array" aca="1" ref="G16" ca="1">_FV(table1[[#This Row],[DataField]],"52 week low",TRUE)</f>
        <v>142.56</v>
      </c>
      <c r="H16" s="2" cm="1">
        <f t="array" aca="1" ref="H16" ca="1">_FV(table1[[#This Row],[DataField]],"52 week high",TRUE)</f>
        <v>231.32</v>
      </c>
      <c r="I16" s="4" cm="1">
        <f t="array" aca="1" ref="I16" ca="1">_FV(table1[[#This Row],[DataField]],"P/E",TRUE)</f>
        <v>38.895299999999999</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194065273710</v>
      </c>
    </row>
    <row r="17" spans="1:12" x14ac:dyDescent="0.2">
      <c r="A17" t="e" vm="16">
        <v>#VALUE!</v>
      </c>
      <c r="B17" t="str" cm="1">
        <f t="array" aca="1" ref="B17" ca="1">_FV(table1[[#This Row],[DataField]],"Ticker symbol",TRUE)</f>
        <v>INTU</v>
      </c>
      <c r="C17">
        <v>1</v>
      </c>
      <c r="D17">
        <v>500</v>
      </c>
      <c r="E17">
        <v>5</v>
      </c>
      <c r="F17" s="2" cm="1">
        <f t="array" aca="1" ref="F17" ca="1">_FV(table1[[#This Row],[DataField]],"Price")</f>
        <v>388.51</v>
      </c>
      <c r="G17" s="2" cm="1">
        <f t="array" aca="1" ref="G17" ca="1">_FV(table1[[#This Row],[DataField]],"52 week low",TRUE)</f>
        <v>342.10500000000002</v>
      </c>
      <c r="H17" s="2" cm="1">
        <f t="array" aca="1" ref="H17" ca="1">_FV(table1[[#This Row],[DataField]],"52 week high",TRUE)</f>
        <v>813.7</v>
      </c>
      <c r="I17" s="4" cm="1">
        <f t="array" aca="1" ref="I17" ca="1">_FV(table1[[#This Row],[DataField]],"P/E",TRUE)</f>
        <v>25.271899999999999</v>
      </c>
      <c r="J17" s="2" t="str">
        <f ca="1">IF(table1[[#This Row],[Price]] &lt; (table1[[#This Row],[52Low]] * 0.25) + table1[[#This Row],[52Low]],  "TRUE", "FALSE")</f>
        <v>TRUE</v>
      </c>
      <c r="K17" s="2" t="str">
        <f ca="1">IF(table1[[#This Row],[Price]] &lt; (table1[[#This Row],[52Low]] * 0.1) + table1[[#This Row],[52Low]],  "TRUE", "FALSE")</f>
        <v>FALSE</v>
      </c>
      <c r="L17" s="6" cm="1">
        <f t="array" aca="1" ref="L17" ca="1">_FV(table1[[#This Row],[DataField]],"Market cap",TRUE)</f>
        <v>107442440500</v>
      </c>
    </row>
    <row r="18" spans="1:12" x14ac:dyDescent="0.2">
      <c r="A18" t="e" vm="17">
        <v>#VALUE!</v>
      </c>
      <c r="B18" t="str" cm="1">
        <f t="array" aca="1" ref="B18" ca="1">_FV(table1[[#This Row],[DataField]],"Ticker symbol",TRUE)</f>
        <v>CMCSA</v>
      </c>
      <c r="C18">
        <v>0</v>
      </c>
      <c r="D18">
        <v>500</v>
      </c>
      <c r="E18">
        <v>11</v>
      </c>
      <c r="F18" s="2" cm="1">
        <f t="array" aca="1" ref="F18" ca="1">_FV(table1[[#This Row],[DataField]],"Price")</f>
        <v>28.454999999999998</v>
      </c>
      <c r="G18" s="2" cm="1">
        <f t="array" aca="1" ref="G18" ca="1">_FV(table1[[#This Row],[DataField]],"52 week low",TRUE)</f>
        <v>24.1234</v>
      </c>
      <c r="H18" s="2" cm="1">
        <f t="array" aca="1" ref="H18" ca="1">_FV(table1[[#This Row],[DataField]],"52 week high",TRUE)</f>
        <v>34.344200000000001</v>
      </c>
      <c r="I18" s="4" cm="1">
        <f t="array" aca="1" ref="I18" ca="1">_FV(table1[[#This Row],[DataField]],"P/E",TRUE)</f>
        <v>5.2933000000000003</v>
      </c>
      <c r="J18" s="2" t="str">
        <f ca="1">IF(table1[[#This Row],[Price]] &lt; (table1[[#This Row],[52Low]] * 0.25) + table1[[#This Row],[52Low]],  "TRUE", "FALSE")</f>
        <v>TRUE</v>
      </c>
      <c r="K18" s="2" t="str">
        <f ca="1">IF(table1[[#This Row],[Price]] &lt; (table1[[#This Row],[52Low]] * 0.1) + table1[[#This Row],[52Low]],  "TRUE", "FALSE")</f>
        <v>FALSE</v>
      </c>
      <c r="L18" s="6" cm="1">
        <f t="array" aca="1" ref="L18" ca="1">_FV(table1[[#This Row],[DataField]],"Market cap",TRUE)</f>
        <v>102376707930</v>
      </c>
    </row>
    <row r="19" spans="1:12" x14ac:dyDescent="0.2">
      <c r="A19" t="e" vm="18">
        <v>#VALUE!</v>
      </c>
      <c r="B19" t="str" cm="1">
        <f t="array" aca="1" ref="B19" ca="1">_FV(table1[[#This Row],[DataField]],"Ticker symbol",TRUE)</f>
        <v>T</v>
      </c>
      <c r="C19">
        <v>0</v>
      </c>
      <c r="D19">
        <v>500</v>
      </c>
      <c r="E19">
        <v>11</v>
      </c>
      <c r="F19" s="2" cm="1">
        <f t="array" aca="1" ref="F19" ca="1">_FV(table1[[#This Row],[DataField]],"Price")</f>
        <v>25.7</v>
      </c>
      <c r="G19" s="2" cm="1">
        <f t="array" aca="1" ref="G19" ca="1">_FV(table1[[#This Row],[DataField]],"52 week low",TRUE)</f>
        <v>22.95</v>
      </c>
      <c r="H19" s="2" cm="1">
        <f t="array" aca="1" ref="H19" ca="1">_FV(table1[[#This Row],[DataField]],"52 week high",TRUE)</f>
        <v>29.79</v>
      </c>
      <c r="I19" s="4" cm="1">
        <f t="array" aca="1" ref="I19" ca="1">_FV(table1[[#This Row],[DataField]],"P/E",TRUE)</f>
        <v>8.4217999999999993</v>
      </c>
      <c r="J19" s="2" t="str">
        <f ca="1">IF(table1[[#This Row],[Price]] &lt; (table1[[#This Row],[52Low]] * 0.25) + table1[[#This Row],[52Low]],  "TRUE", "FALSE")</f>
        <v>TRUE</v>
      </c>
      <c r="K19" s="2" t="str">
        <f ca="1">IF(table1[[#This Row],[Price]] &lt; (table1[[#This Row],[52Low]] * 0.1) + table1[[#This Row],[52Low]],  "TRUE", "FALSE")</f>
        <v>FALSE</v>
      </c>
      <c r="L19" s="6" cm="1">
        <f t="array" aca="1" ref="L19" ca="1">_FV(table1[[#This Row],[DataField]],"Market cap",TRUE)</f>
        <v>179441152200</v>
      </c>
    </row>
    <row r="20" spans="1:12" x14ac:dyDescent="0.2">
      <c r="A20" t="e" vm="19">
        <v>#VALUE!</v>
      </c>
      <c r="B20" t="str" cm="1">
        <f t="array" aca="1" ref="B20" ca="1">_FV(table1[[#This Row],[DataField]],"Ticker symbol",TRUE)</f>
        <v>VZ</v>
      </c>
      <c r="C20">
        <v>0</v>
      </c>
      <c r="D20">
        <v>500</v>
      </c>
      <c r="E20">
        <v>11</v>
      </c>
      <c r="F20" s="2" cm="1">
        <f t="array" aca="1" ref="F20" ca="1">_FV(table1[[#This Row],[DataField]],"Price")</f>
        <v>45.325000000000003</v>
      </c>
      <c r="G20" s="2" cm="1">
        <f t="array" aca="1" ref="G20" ca="1">_FV(table1[[#This Row],[DataField]],"52 week low",TRUE)</f>
        <v>38.39</v>
      </c>
      <c r="H20" s="2" cm="1">
        <f t="array" aca="1" ref="H20" ca="1">_FV(table1[[#This Row],[DataField]],"52 week high",TRUE)</f>
        <v>51.68</v>
      </c>
      <c r="I20" s="4" cm="1">
        <f t="array" aca="1" ref="I20" ca="1">_FV(table1[[#This Row],[DataField]],"P/E",TRUE)</f>
        <v>11.1638</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189458500000</v>
      </c>
    </row>
    <row r="21" spans="1:12" x14ac:dyDescent="0.2">
      <c r="A21" t="e" vm="20">
        <v>#VALUE!</v>
      </c>
      <c r="B21" t="str" cm="1">
        <f t="array" aca="1" ref="B21" ca="1">_FV(table1[[#This Row],[DataField]],"Ticker symbol",TRUE)</f>
        <v>CVX</v>
      </c>
      <c r="C21">
        <v>0</v>
      </c>
      <c r="D21">
        <v>500</v>
      </c>
      <c r="E21">
        <v>12</v>
      </c>
      <c r="F21" s="2" cm="1">
        <f t="array" aca="1" ref="F21" ca="1">_FV(table1[[#This Row],[DataField]],"Price")</f>
        <v>186.4</v>
      </c>
      <c r="G21" s="2" cm="1">
        <f t="array" aca="1" ref="G21" ca="1">_FV(table1[[#This Row],[DataField]],"52 week low",TRUE)</f>
        <v>132.33000000000001</v>
      </c>
      <c r="H21" s="2" cm="1">
        <f t="array" aca="1" ref="H21" ca="1">_FV(table1[[#This Row],[DataField]],"52 week high",TRUE)</f>
        <v>214.71</v>
      </c>
      <c r="I21" s="4" cm="1">
        <f t="array" aca="1" ref="I21" ca="1">_FV(table1[[#This Row],[DataField]],"P/E",TRUE)</f>
        <v>28.0474</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371289973600</v>
      </c>
    </row>
    <row r="22" spans="1:12" x14ac:dyDescent="0.2">
      <c r="A22" t="e" vm="21">
        <v>#VALUE!</v>
      </c>
      <c r="B22" t="str" cm="1">
        <f t="array" aca="1" ref="B22" ca="1">_FV(table1[[#This Row],[DataField]],"Ticker symbol",TRUE)</f>
        <v>XOM</v>
      </c>
      <c r="C22">
        <v>0</v>
      </c>
      <c r="D22">
        <v>500</v>
      </c>
      <c r="E22">
        <v>12</v>
      </c>
      <c r="F22" s="2" cm="1">
        <f t="array" aca="1" ref="F22" ca="1">_FV(table1[[#This Row],[DataField]],"Price")</f>
        <v>149.76499999999999</v>
      </c>
      <c r="G22" s="2" cm="1">
        <f t="array" aca="1" ref="G22" ca="1">_FV(table1[[#This Row],[DataField]],"52 week low",TRUE)</f>
        <v>101.185</v>
      </c>
      <c r="H22" s="2" cm="1">
        <f t="array" aca="1" ref="H22" ca="1">_FV(table1[[#This Row],[DataField]],"52 week high",TRUE)</f>
        <v>176.41</v>
      </c>
      <c r="I22" s="4" cm="1">
        <f t="array" aca="1" ref="I22" ca="1">_FV(table1[[#This Row],[DataField]],"P/E",TRUE)</f>
        <v>22.418199999999999</v>
      </c>
      <c r="J22" s="2" t="str">
        <f ca="1">IF(table1[[#This Row],[Price]] &lt; (table1[[#This Row],[52Low]] * 0.25) + table1[[#This Row],[52Low]],  "TRUE", "FALSE")</f>
        <v>FALSE</v>
      </c>
      <c r="K22" s="2" t="str">
        <f ca="1">IF(table1[[#This Row],[Price]] &lt; (table1[[#This Row],[52Low]] * 0.1) + table1[[#This Row],[52Low]],  "TRUE", "FALSE")</f>
        <v>FALSE</v>
      </c>
      <c r="L22" s="6" cm="1">
        <f t="array" aca="1" ref="L22" ca="1">_FV(table1[[#This Row],[DataField]],"Market cap",TRUE)</f>
        <v>622507208400</v>
      </c>
    </row>
    <row r="23" spans="1:12" x14ac:dyDescent="0.2">
      <c r="A23" t="e" vm="22">
        <v>#VALUE!</v>
      </c>
      <c r="B23" t="str" cm="1">
        <f t="array" aca="1" ref="B23" ca="1">_FV(table1[[#This Row],[DataField]],"Ticker symbol",TRUE)</f>
        <v>D</v>
      </c>
      <c r="C23">
        <v>1</v>
      </c>
      <c r="D23">
        <v>500</v>
      </c>
      <c r="E23">
        <v>13</v>
      </c>
      <c r="F23" s="2" cm="1">
        <f t="array" aca="1" ref="F23" ca="1">_FV(table1[[#This Row],[DataField]],"Price")</f>
        <v>62.7</v>
      </c>
      <c r="G23" s="2" cm="1">
        <f t="array" aca="1" ref="G23" ca="1">_FV(table1[[#This Row],[DataField]],"52 week low",TRUE)</f>
        <v>51.414999999999999</v>
      </c>
      <c r="H23" s="2" cm="1">
        <f t="array" aca="1" ref="H23" ca="1">_FV(table1[[#This Row],[DataField]],"52 week high",TRUE)</f>
        <v>67.569900000000004</v>
      </c>
      <c r="I23" s="4" cm="1">
        <f t="array" aca="1" ref="I23" ca="1">_FV(table1[[#This Row],[DataField]],"P/E",TRUE)</f>
        <v>18.161300000000001</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55111086690</v>
      </c>
    </row>
    <row r="24" spans="1:12" x14ac:dyDescent="0.2">
      <c r="A24" t="e" vm="23">
        <v>#VALUE!</v>
      </c>
      <c r="B24" t="str" cm="1">
        <f t="array" aca="1" ref="B24" ca="1">_FV(table1[[#This Row],[DataField]],"Ticker symbol",TRUE)</f>
        <v>DUK</v>
      </c>
      <c r="C24">
        <v>1</v>
      </c>
      <c r="D24">
        <v>500</v>
      </c>
      <c r="E24">
        <v>13</v>
      </c>
      <c r="F24" s="2" cm="1">
        <f t="array" aca="1" ref="F24" ca="1">_FV(table1[[#This Row],[DataField]],"Price")</f>
        <v>129.12</v>
      </c>
      <c r="G24" s="2" cm="1">
        <f t="array" aca="1" ref="G24" ca="1">_FV(table1[[#This Row],[DataField]],"52 week low",TRUE)</f>
        <v>111.22</v>
      </c>
      <c r="H24" s="2" cm="1">
        <f t="array" aca="1" ref="H24" ca="1">_FV(table1[[#This Row],[DataField]],"52 week high",TRUE)</f>
        <v>134.49</v>
      </c>
      <c r="I24" s="4" cm="1">
        <f t="array" aca="1" ref="I24" ca="1">_FV(table1[[#This Row],[DataField]],"P/E",TRUE)</f>
        <v>20.425899999999999</v>
      </c>
      <c r="J24" s="2" t="str">
        <f ca="1">IF(table1[[#This Row],[Price]] &lt; (table1[[#This Row],[52Low]] * 0.25) + table1[[#This Row],[52Low]],  "TRUE", "FALSE")</f>
        <v>TRUE</v>
      </c>
      <c r="K24" s="2" t="str">
        <f ca="1">IF(table1[[#This Row],[Price]] &lt; (table1[[#This Row],[52Low]] * 0.1) + table1[[#This Row],[52Low]],  "TRUE", "FALSE")</f>
        <v>FALSE</v>
      </c>
      <c r="L24" s="6" cm="1">
        <f t="array" aca="1" ref="L24" ca="1">_FV(table1[[#This Row],[DataField]],"Market cap",TRUE)</f>
        <v>100470544512</v>
      </c>
    </row>
    <row r="25" spans="1:12" x14ac:dyDescent="0.2">
      <c r="A25" t="e" vm="24">
        <v>#VALUE!</v>
      </c>
      <c r="B25" t="str" cm="1">
        <f t="array" aca="1" ref="B25" ca="1">_FV(table1[[#This Row],[DataField]],"Ticker symbol",TRUE)</f>
        <v>ED</v>
      </c>
      <c r="C25">
        <v>1</v>
      </c>
      <c r="D25">
        <v>500</v>
      </c>
      <c r="E25">
        <v>13</v>
      </c>
      <c r="F25" s="2" cm="1">
        <f t="array" aca="1" ref="F25" ca="1">_FV(table1[[#This Row],[DataField]],"Price")</f>
        <v>111.105</v>
      </c>
      <c r="G25" s="2" cm="1">
        <f t="array" aca="1" ref="G25" ca="1">_FV(table1[[#This Row],[DataField]],"52 week low",TRUE)</f>
        <v>94.96</v>
      </c>
      <c r="H25" s="2" cm="1">
        <f t="array" aca="1" ref="H25" ca="1">_FV(table1[[#This Row],[DataField]],"52 week high",TRUE)</f>
        <v>116.23</v>
      </c>
      <c r="I25" s="4" cm="1">
        <f t="array" aca="1" ref="I25" ca="1">_FV(table1[[#This Row],[DataField]],"P/E",TRUE)</f>
        <v>19.653099999999998</v>
      </c>
      <c r="J25" s="2" t="str">
        <f ca="1">IF(table1[[#This Row],[Price]] &lt; (table1[[#This Row],[52Low]] * 0.25) + table1[[#This Row],[52Low]],  "TRUE", "FALSE")</f>
        <v>TRUE</v>
      </c>
      <c r="K25" s="2" t="str">
        <f ca="1">IF(table1[[#This Row],[Price]] &lt; (table1[[#This Row],[52Low]] * 0.1) + table1[[#This Row],[52Low]],  "TRUE", "FALSE")</f>
        <v>FALSE</v>
      </c>
      <c r="L25" s="6" cm="1">
        <f t="array" aca="1" ref="L25" ca="1">_FV(table1[[#This Row],[DataField]],"Market cap",TRUE)</f>
        <v>40933448536</v>
      </c>
    </row>
    <row r="26" spans="1:12" x14ac:dyDescent="0.2">
      <c r="A26" t="e" vm="25">
        <v>#VALUE!</v>
      </c>
      <c r="B26" t="str" cm="1">
        <f t="array" aca="1" ref="B26" ca="1">_FV(table1[[#This Row],[DataField]],"Ticker symbol",TRUE)</f>
        <v>SO</v>
      </c>
      <c r="C26">
        <v>1</v>
      </c>
      <c r="D26">
        <v>500</v>
      </c>
      <c r="E26">
        <v>13</v>
      </c>
      <c r="F26" s="2" cm="1">
        <f t="array" aca="1" ref="F26" ca="1">_FV(table1[[#This Row],[DataField]],"Price")</f>
        <v>95.17</v>
      </c>
      <c r="G26" s="2" cm="1">
        <f t="array" aca="1" ref="G26" ca="1">_FV(table1[[#This Row],[DataField]],"52 week low",TRUE)</f>
        <v>83.09</v>
      </c>
      <c r="H26" s="2" cm="1">
        <f t="array" aca="1" ref="H26" ca="1">_FV(table1[[#This Row],[DataField]],"52 week high",TRUE)</f>
        <v>100.83499999999999</v>
      </c>
      <c r="I26" s="4" cm="1">
        <f t="array" aca="1" ref="I26" ca="1">_FV(table1[[#This Row],[DataField]],"P/E",TRUE)</f>
        <v>24.296700000000001</v>
      </c>
      <c r="J26" s="2" t="str">
        <f ca="1">IF(table1[[#This Row],[Price]] &lt; (table1[[#This Row],[52Low]] * 0.25) + table1[[#This Row],[52Low]],  "TRUE", "FALSE")</f>
        <v>TRUE</v>
      </c>
      <c r="K26" s="2" t="str">
        <f ca="1">IF(table1[[#This Row],[Price]] &lt; (table1[[#This Row],[52Low]] * 0.1) + table1[[#This Row],[52Low]],  "TRUE", "FALSE")</f>
        <v>FALSE</v>
      </c>
      <c r="L26" s="6" cm="1">
        <f t="array" aca="1" ref="L26" ca="1">_FV(table1[[#This Row],[DataField]],"Market cap",TRUE)</f>
        <v>107285521680</v>
      </c>
    </row>
    <row r="27" spans="1:12" x14ac:dyDescent="0.2">
      <c r="A27" t="e" vm="26">
        <v>#VALUE!</v>
      </c>
      <c r="B27" t="str" cm="1">
        <f t="array" aca="1" ref="B27" ca="1">_FV(table1[[#This Row],[DataField]],"Ticker symbol",TRUE)</f>
        <v>AWK</v>
      </c>
      <c r="C27">
        <v>1</v>
      </c>
      <c r="D27">
        <v>500</v>
      </c>
      <c r="E27">
        <v>14</v>
      </c>
      <c r="F27" s="2" cm="1">
        <f t="array" aca="1" ref="F27" ca="1">_FV(table1[[#This Row],[DataField]],"Price")</f>
        <v>130.035</v>
      </c>
      <c r="G27" s="2" cm="1">
        <f t="array" aca="1" ref="G27" ca="1">_FV(table1[[#This Row],[DataField]],"52 week low",TRUE)</f>
        <v>121.27500000000001</v>
      </c>
      <c r="H27" s="2" cm="1">
        <f t="array" aca="1" ref="H27" ca="1">_FV(table1[[#This Row],[DataField]],"52 week high",TRUE)</f>
        <v>150.51</v>
      </c>
      <c r="I27" s="4" cm="1">
        <f t="array" aca="1" ref="I27" ca="1">_FV(table1[[#This Row],[DataField]],"P/E",TRUE)</f>
        <v>22.823599999999999</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25393247803</v>
      </c>
    </row>
    <row r="28" spans="1:12" x14ac:dyDescent="0.2">
      <c r="A28" t="e" vm="27">
        <v>#VALUE!</v>
      </c>
      <c r="B28" t="str" cm="1">
        <f t="array" aca="1" ref="B28" ca="1">_FV(table1[[#This Row],[DataField]],"Ticker symbol",TRUE)</f>
        <v>WM</v>
      </c>
      <c r="C28">
        <v>1</v>
      </c>
      <c r="D28">
        <v>500</v>
      </c>
      <c r="E28">
        <v>15</v>
      </c>
      <c r="F28" s="2" cm="1">
        <f t="array" aca="1" ref="F28" ca="1">_FV(table1[[#This Row],[DataField]],"Price")</f>
        <v>226.36</v>
      </c>
      <c r="G28" s="2" cm="1">
        <f t="array" aca="1" ref="G28" ca="1">_FV(table1[[#This Row],[DataField]],"52 week low",TRUE)</f>
        <v>194.11</v>
      </c>
      <c r="H28" s="2" cm="1">
        <f t="array" aca="1" ref="H28" ca="1">_FV(table1[[#This Row],[DataField]],"52 week high",TRUE)</f>
        <v>248.13</v>
      </c>
      <c r="I28" s="4" cm="1">
        <f t="array" aca="1" ref="I28" ca="1">_FV(table1[[#This Row],[DataField]],"P/E",TRUE)</f>
        <v>33.798699999999997</v>
      </c>
      <c r="J28" s="2" t="str">
        <f ca="1">IF(table1[[#This Row],[Price]] &lt; (table1[[#This Row],[52Low]] * 0.25) + table1[[#This Row],[52Low]],  "TRUE", "FALSE")</f>
        <v>TRUE</v>
      </c>
      <c r="K28" s="7" t="str">
        <f ca="1">IF(table1[[#This Row],[Price]] &lt; (table1[[#This Row],[52Low]] * 0.1) + table1[[#This Row],[52Low]],  "TRUE", "FALSE")</f>
        <v>FALSE</v>
      </c>
      <c r="L28" s="6" cm="1">
        <f t="array" aca="1" ref="L28" ca="1">_FV(table1[[#This Row],[DataField]],"Market cap",TRUE)</f>
        <v>91203499860</v>
      </c>
    </row>
    <row r="29" spans="1:12" x14ac:dyDescent="0.2">
      <c r="A29" t="e" vm="28">
        <v>#VALUE!</v>
      </c>
      <c r="B29" t="str" cm="1">
        <f t="array" aca="1" ref="B29" ca="1">_FV(table1[[#This Row],[DataField]],"Ticker symbol",TRUE)</f>
        <v>MA</v>
      </c>
      <c r="C29">
        <v>1</v>
      </c>
      <c r="D29">
        <v>500</v>
      </c>
      <c r="E29">
        <v>21</v>
      </c>
      <c r="F29" s="2" cm="1">
        <f t="array" aca="1" ref="F29" ca="1">_FV(table1[[#This Row],[DataField]],"Price")</f>
        <v>520.24</v>
      </c>
      <c r="G29" s="2" cm="1">
        <f t="array" aca="1" ref="G29" ca="1">_FV(table1[[#This Row],[DataField]],"52 week low",TRUE)</f>
        <v>480.5</v>
      </c>
      <c r="H29" s="2" cm="1">
        <f t="array" aca="1" ref="H29" ca="1">_FV(table1[[#This Row],[DataField]],"52 week high",TRUE)</f>
        <v>601.77</v>
      </c>
      <c r="I29" s="4" cm="1">
        <f t="array" aca="1" ref="I29" ca="1">_FV(table1[[#This Row],[DataField]],"P/E",TRUE)</f>
        <v>31.480899999999998</v>
      </c>
      <c r="J29" s="2" t="str">
        <f ca="1">IF(table1[[#This Row],[Price]] &lt; (table1[[#This Row],[52Low]] * 0.25) + table1[[#This Row],[52Low]],  "TRUE", "FALSE")</f>
        <v>TRUE</v>
      </c>
      <c r="K29" s="7" t="str">
        <f ca="1">IF(table1[[#This Row],[Price]] &lt; (table1[[#This Row],[52Low]] * 0.1) + table1[[#This Row],[52Low]],  "TRUE", "FALSE")</f>
        <v>TRUE</v>
      </c>
      <c r="L29" s="6" cm="1">
        <f t="array" aca="1" ref="L29" ca="1">_FV(table1[[#This Row],[DataField]],"Market cap",TRUE)</f>
        <v>463956430952</v>
      </c>
    </row>
    <row r="30" spans="1:12" x14ac:dyDescent="0.2">
      <c r="A30" t="e" vm="29">
        <v>#VALUE!</v>
      </c>
      <c r="B30" t="str" cm="1">
        <f t="array" aca="1" ref="B30" ca="1">_FV(table1[[#This Row],[DataField]],"Ticker symbol",TRUE)</f>
        <v>PYPL</v>
      </c>
      <c r="C30">
        <v>1</v>
      </c>
      <c r="D30">
        <v>500</v>
      </c>
      <c r="E30">
        <v>21</v>
      </c>
      <c r="F30" s="2" cm="1">
        <f t="array" aca="1" ref="F30" ca="1">_FV(table1[[#This Row],[DataField]],"Price")</f>
        <v>49.354999999999997</v>
      </c>
      <c r="G30" s="2" cm="1">
        <f t="array" aca="1" ref="G30" ca="1">_FV(table1[[#This Row],[DataField]],"52 week low",TRUE)</f>
        <v>38.46</v>
      </c>
      <c r="H30" s="2" cm="1">
        <f t="array" aca="1" ref="H30" ca="1">_FV(table1[[#This Row],[DataField]],"52 week high",TRUE)</f>
        <v>79.5</v>
      </c>
      <c r="I30" s="4" cm="1">
        <f t="array" aca="1" ref="I30" ca="1">_FV(table1[[#This Row],[DataField]],"P/E",TRUE)</f>
        <v>9.1046999999999993</v>
      </c>
      <c r="J30" s="2" t="str">
        <f ca="1">IF(table1[[#This Row],[Price]] &lt; (table1[[#This Row],[52Low]] * 0.25) + table1[[#This Row],[52Low]],  "TRUE", "FALSE")</f>
        <v>FALSE</v>
      </c>
      <c r="K30" s="7" t="str">
        <f ca="1">IF(table1[[#This Row],[Price]] &lt; (table1[[#This Row],[52Low]] * 0.1) + table1[[#This Row],[52Low]],  "TRUE", "FALSE")</f>
        <v>FALSE</v>
      </c>
      <c r="L30" s="6" cm="1">
        <f t="array" aca="1" ref="L30" ca="1">_FV(table1[[#This Row],[DataField]],"Market cap",TRUE)</f>
        <v>44403410270</v>
      </c>
    </row>
    <row r="31" spans="1:12" x14ac:dyDescent="0.2">
      <c r="A31" t="e" vm="30">
        <v>#VALUE!</v>
      </c>
      <c r="B31" t="str" cm="1">
        <f t="array" aca="1" ref="B31" ca="1">_FV(table1[[#This Row],[DataField]],"Ticker symbol",TRUE)</f>
        <v>V</v>
      </c>
      <c r="C31">
        <v>0</v>
      </c>
      <c r="D31">
        <v>500</v>
      </c>
      <c r="E31">
        <v>21</v>
      </c>
      <c r="F31" s="2" cm="1">
        <f t="array" aca="1" ref="F31" ca="1">_FV(table1[[#This Row],[DataField]],"Price")</f>
        <v>315.46499999999997</v>
      </c>
      <c r="G31" s="2" cm="1">
        <f t="array" aca="1" ref="G31" ca="1">_FV(table1[[#This Row],[DataField]],"52 week low",TRUE)</f>
        <v>293.89</v>
      </c>
      <c r="H31" s="2" cm="1">
        <f t="array" aca="1" ref="H31" ca="1">_FV(table1[[#This Row],[DataField]],"52 week high",TRUE)</f>
        <v>375.51</v>
      </c>
      <c r="I31" s="4" cm="1">
        <f t="array" aca="1" ref="I31" ca="1">_FV(table1[[#This Row],[DataField]],"P/E",TRUE)</f>
        <v>29.601700000000001</v>
      </c>
      <c r="J31" s="2" t="str">
        <f ca="1">IF(table1[[#This Row],[Price]] &lt; (table1[[#This Row],[52Low]] * 0.25) + table1[[#This Row],[52Low]],  "TRUE", "FALSE")</f>
        <v>TRUE</v>
      </c>
      <c r="K31" s="2" t="str">
        <f ca="1">IF(table1[[#This Row],[Price]] &lt; (table1[[#This Row],[52Low]] * 0.1) + table1[[#This Row],[52Low]],  "TRUE", "FALSE")</f>
        <v>TRUE</v>
      </c>
      <c r="L31" s="6" cm="1">
        <f t="array" aca="1" ref="L31" ca="1">_FV(table1[[#This Row],[DataField]],"Market cap",TRUE)</f>
        <v>601279129185</v>
      </c>
    </row>
    <row r="32" spans="1:12" x14ac:dyDescent="0.2">
      <c r="A32" t="e" vm="31">
        <v>#VALUE!</v>
      </c>
      <c r="B32" t="str" cm="1">
        <f t="array" aca="1" ref="B32" ca="1">_FV(table1[[#This Row],[DataField]],"Ticker symbol",TRUE)</f>
        <v>HD</v>
      </c>
      <c r="C32">
        <v>0</v>
      </c>
      <c r="D32">
        <v>500</v>
      </c>
      <c r="E32">
        <v>22</v>
      </c>
      <c r="F32" s="2" cm="1">
        <f t="array" aca="1" ref="F32" ca="1">_FV(table1[[#This Row],[DataField]],"Price")</f>
        <v>337.42500000000001</v>
      </c>
      <c r="G32" s="2" cm="1">
        <f t="array" aca="1" ref="G32" ca="1">_FV(table1[[#This Row],[DataField]],"52 week low",TRUE)</f>
        <v>315.31</v>
      </c>
      <c r="H32" s="2" cm="1">
        <f t="array" aca="1" ref="H32" ca="1">_FV(table1[[#This Row],[DataField]],"52 week high",TRUE)</f>
        <v>426.75</v>
      </c>
      <c r="I32" s="4" cm="1">
        <f t="array" aca="1" ref="I32" ca="1">_FV(table1[[#This Row],[DataField]],"P/E",TRUE)</f>
        <v>23.703600000000002</v>
      </c>
      <c r="J32" s="2" t="str">
        <f ca="1">IF(table1[[#This Row],[Price]] &lt; (table1[[#This Row],[52Low]] * 0.25) + table1[[#This Row],[52Low]],  "TRUE", "FALSE")</f>
        <v>TRUE</v>
      </c>
      <c r="K32" s="2" t="str">
        <f ca="1">IF(table1[[#This Row],[Price]] &lt; (table1[[#This Row],[52Low]] * 0.1) + table1[[#This Row],[52Low]],  "TRUE", "FALSE")</f>
        <v>TRUE</v>
      </c>
      <c r="L32" s="6" cm="1">
        <f t="array" aca="1" ref="L32" ca="1">_FV(table1[[#This Row],[DataField]],"Market cap",TRUE)</f>
        <v>336084612930</v>
      </c>
    </row>
    <row r="33" spans="1:12" x14ac:dyDescent="0.2">
      <c r="A33" t="e" vm="32">
        <v>#VALUE!</v>
      </c>
      <c r="B33" t="str" cm="1">
        <f t="array" aca="1" ref="B33" ca="1">_FV(table1[[#This Row],[DataField]],"Ticker symbol",TRUE)</f>
        <v>LOW</v>
      </c>
      <c r="C33">
        <v>0</v>
      </c>
      <c r="D33">
        <v>500</v>
      </c>
      <c r="E33">
        <v>22</v>
      </c>
      <c r="F33" s="2" cm="1">
        <f t="array" aca="1" ref="F33" ca="1">_FV(table1[[#This Row],[DataField]],"Price")</f>
        <v>244.13</v>
      </c>
      <c r="G33" s="2" cm="1">
        <f t="array" aca="1" ref="G33" ca="1">_FV(table1[[#This Row],[DataField]],"52 week low",TRUE)</f>
        <v>210.33</v>
      </c>
      <c r="H33" s="2" cm="1">
        <f t="array" aca="1" ref="H33" ca="1">_FV(table1[[#This Row],[DataField]],"52 week high",TRUE)</f>
        <v>293.06</v>
      </c>
      <c r="I33" s="4" cm="1">
        <f t="array" aca="1" ref="I33" ca="1">_FV(table1[[#This Row],[DataField]],"P/E",TRUE)</f>
        <v>20.607299999999999</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136728277842</v>
      </c>
    </row>
    <row r="34" spans="1:12" x14ac:dyDescent="0.2">
      <c r="A34" t="e" vm="33">
        <v>#VALUE!</v>
      </c>
      <c r="B34" t="str" cm="1">
        <f t="array" aca="1" ref="B34" ca="1">_FV(table1[[#This Row],[DataField]],"Ticker symbol",TRUE)</f>
        <v>COST</v>
      </c>
      <c r="C34">
        <v>1</v>
      </c>
      <c r="D34">
        <v>500</v>
      </c>
      <c r="E34">
        <v>23</v>
      </c>
      <c r="F34" s="2" cm="1">
        <f t="array" aca="1" ref="F34" ca="1">_FV(table1[[#This Row],[DataField]],"Price")</f>
        <v>983.03499999999997</v>
      </c>
      <c r="G34" s="2" cm="1">
        <f t="array" aca="1" ref="G34" ca="1">_FV(table1[[#This Row],[DataField]],"52 week low",TRUE)</f>
        <v>844.06</v>
      </c>
      <c r="H34" s="2" cm="1">
        <f t="array" aca="1" ref="H34" ca="1">_FV(table1[[#This Row],[DataField]],"52 week high",TRUE)</f>
        <v>1067.08</v>
      </c>
      <c r="I34" s="4" cm="1">
        <f t="array" aca="1" ref="I34" ca="1">_FV(table1[[#This Row],[DataField]],"P/E",TRUE)</f>
        <v>52.658299999999997</v>
      </c>
      <c r="J34" s="2" t="str">
        <f ca="1">IF(table1[[#This Row],[Price]] &lt; (table1[[#This Row],[52Low]] * 0.25) + table1[[#This Row],[52Low]],  "TRUE", "FALSE")</f>
        <v>TRUE</v>
      </c>
      <c r="K34" s="2" t="str">
        <f ca="1">IF(table1[[#This Row],[Price]] &lt; (table1[[#This Row],[52Low]] * 0.1) + table1[[#This Row],[52Low]],  "TRUE", "FALSE")</f>
        <v>FALSE</v>
      </c>
      <c r="L34" s="6" cm="1">
        <f t="array" aca="1" ref="L34" ca="1">_FV(table1[[#This Row],[DataField]],"Market cap",TRUE)</f>
        <v>436125935337</v>
      </c>
    </row>
    <row r="35" spans="1:12" x14ac:dyDescent="0.2">
      <c r="A35" t="e" vm="34">
        <v>#VALUE!</v>
      </c>
      <c r="B35" t="str" cm="1">
        <f t="array" aca="1" ref="B35" ca="1">_FV(table1[[#This Row],[DataField]],"Ticker symbol",TRUE)</f>
        <v>TGT</v>
      </c>
      <c r="C35">
        <v>1</v>
      </c>
      <c r="D35">
        <v>500</v>
      </c>
      <c r="E35">
        <v>23</v>
      </c>
      <c r="F35" s="2" cm="1">
        <f t="array" aca="1" ref="F35" ca="1">_FV(table1[[#This Row],[DataField]],"Price")</f>
        <v>122.86</v>
      </c>
      <c r="G35" s="2" cm="1">
        <f t="array" aca="1" ref="G35" ca="1">_FV(table1[[#This Row],[DataField]],"52 week low",TRUE)</f>
        <v>83.44</v>
      </c>
      <c r="H35" s="2" cm="1">
        <f t="array" aca="1" ref="H35" ca="1">_FV(table1[[#This Row],[DataField]],"52 week high",TRUE)</f>
        <v>126</v>
      </c>
      <c r="I35" s="4" cm="1">
        <f t="array" aca="1" ref="I35" ca="1">_FV(table1[[#This Row],[DataField]],"P/E",TRUE)</f>
        <v>14.9078</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55637839016</v>
      </c>
    </row>
    <row r="36" spans="1:12" x14ac:dyDescent="0.2">
      <c r="A36" t="e" vm="35">
        <v>#VALUE!</v>
      </c>
      <c r="B36" t="str" cm="1">
        <f t="array" aca="1" ref="B36" ca="1">_FV(table1[[#This Row],[DataField]],"Ticker symbol",TRUE)</f>
        <v>WMT</v>
      </c>
      <c r="C36">
        <v>1</v>
      </c>
      <c r="D36">
        <v>500</v>
      </c>
      <c r="E36">
        <v>23</v>
      </c>
      <c r="F36" s="2" cm="1">
        <f t="array" aca="1" ref="F36" ca="1">_FV(table1[[#This Row],[DataField]],"Price")</f>
        <v>124.63</v>
      </c>
      <c r="G36" s="2" cm="1">
        <f t="array" aca="1" ref="G36" ca="1">_FV(table1[[#This Row],[DataField]],"52 week low",TRUE)</f>
        <v>90.61</v>
      </c>
      <c r="H36" s="2" cm="1">
        <f t="array" aca="1" ref="H36" ca="1">_FV(table1[[#This Row],[DataField]],"52 week high",TRUE)</f>
        <v>134.69</v>
      </c>
      <c r="I36" s="4" cm="1">
        <f t="array" aca="1" ref="I36" ca="1">_FV(table1[[#This Row],[DataField]],"P/E",TRUE)</f>
        <v>45.656999999999996</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993600461260</v>
      </c>
    </row>
    <row r="37" spans="1:12" x14ac:dyDescent="0.2">
      <c r="A37" t="e" vm="36">
        <v>#VALUE!</v>
      </c>
      <c r="B37" t="str" cm="1">
        <f t="array" aca="1" ref="B37" ca="1">_FV(table1[[#This Row],[DataField]],"Ticker symbol",TRUE)</f>
        <v>BBY</v>
      </c>
      <c r="C37">
        <v>1</v>
      </c>
      <c r="D37">
        <v>500</v>
      </c>
      <c r="E37">
        <v>24</v>
      </c>
      <c r="F37" s="2" cm="1">
        <f t="array" aca="1" ref="F37" ca="1">_FV(table1[[#This Row],[DataField]],"Price")</f>
        <v>62.89</v>
      </c>
      <c r="G37" s="2" cm="1">
        <f t="array" aca="1" ref="G37" ca="1">_FV(table1[[#This Row],[DataField]],"52 week low",TRUE)</f>
        <v>59.16</v>
      </c>
      <c r="H37" s="2" cm="1">
        <f t="array" aca="1" ref="H37" ca="1">_FV(table1[[#This Row],[DataField]],"52 week high",TRUE)</f>
        <v>84.99</v>
      </c>
      <c r="I37" s="4" cm="1">
        <f t="array" aca="1" ref="I37" ca="1">_FV(table1[[#This Row],[DataField]],"P/E",TRUE)</f>
        <v>12.460100000000001</v>
      </c>
      <c r="J37" s="2" t="str">
        <f ca="1">IF(table1[[#This Row],[Price]] &lt; (table1[[#This Row],[52Low]] * 0.25) + table1[[#This Row],[52Low]],  "TRUE", "FALSE")</f>
        <v>TRUE</v>
      </c>
      <c r="K37" s="2" t="str">
        <f ca="1">IF(table1[[#This Row],[Price]] &lt; (table1[[#This Row],[52Low]] * 0.1) + table1[[#This Row],[52Low]],  "TRUE", "FALSE")</f>
        <v>TRUE</v>
      </c>
      <c r="L37" s="6" cm="1">
        <f t="array" aca="1" ref="L37" ca="1">_FV(table1[[#This Row],[DataField]],"Market cap",TRUE)</f>
        <v>13151091414</v>
      </c>
    </row>
    <row r="38" spans="1:12" x14ac:dyDescent="0.2">
      <c r="A38" t="e" vm="37">
        <v>#VALUE!</v>
      </c>
      <c r="B38" t="str" cm="1">
        <f t="array" aca="1" ref="B38" ca="1">_FV(table1[[#This Row],[DataField]],"Ticker symbol",TRUE)</f>
        <v>TSCO</v>
      </c>
      <c r="C38">
        <v>1</v>
      </c>
      <c r="D38">
        <v>500</v>
      </c>
      <c r="E38">
        <v>24</v>
      </c>
      <c r="F38" s="2" cm="1">
        <f t="array" aca="1" ref="F38" ca="1">_FV(table1[[#This Row],[DataField]],"Price")</f>
        <v>45.05</v>
      </c>
      <c r="G38" s="2" cm="1">
        <f t="array" aca="1" ref="G38" ca="1">_FV(table1[[#This Row],[DataField]],"52 week low",TRUE)</f>
        <v>43.23</v>
      </c>
      <c r="H38" s="2" cm="1">
        <f t="array" aca="1" ref="H38" ca="1">_FV(table1[[#This Row],[DataField]],"52 week high",TRUE)</f>
        <v>63.989899999999999</v>
      </c>
      <c r="I38" s="4" cm="1">
        <f t="array" aca="1" ref="I38" ca="1">_FV(table1[[#This Row],[DataField]],"P/E",TRUE)</f>
        <v>21.87</v>
      </c>
      <c r="J38" s="2" t="str">
        <f ca="1">IF(table1[[#This Row],[Price]] &lt; (table1[[#This Row],[52Low]] * 0.25) + table1[[#This Row],[52Low]],  "TRUE", "FALSE")</f>
        <v>TRUE</v>
      </c>
      <c r="K38" s="7" t="str">
        <f ca="1">IF(table1[[#This Row],[Price]] &lt; (table1[[#This Row],[52Low]] * 0.1) + table1[[#This Row],[52Low]],  "TRUE", "FALSE")</f>
        <v>TRUE</v>
      </c>
      <c r="L38" s="6" cm="1">
        <f t="array" aca="1" ref="L38" ca="1">_FV(table1[[#This Row],[DataField]],"Market cap",TRUE)</f>
        <v>23696583815</v>
      </c>
    </row>
    <row r="39" spans="1:12" x14ac:dyDescent="0.2">
      <c r="A39" t="e" vm="38">
        <v>#VALUE!</v>
      </c>
      <c r="B39" t="str" cm="1">
        <f t="array" aca="1" ref="B39" ca="1">_FV(table1[[#This Row],[DataField]],"Ticker symbol",TRUE)</f>
        <v>ADM</v>
      </c>
      <c r="C39">
        <v>0</v>
      </c>
      <c r="D39">
        <v>500</v>
      </c>
      <c r="E39">
        <v>30</v>
      </c>
      <c r="F39" s="2" cm="1">
        <f t="array" aca="1" ref="F39" ca="1">_FV(table1[[#This Row],[DataField]],"Price")</f>
        <v>67.260000000000005</v>
      </c>
      <c r="G39" s="2" cm="1">
        <f t="array" aca="1" ref="G39" ca="1">_FV(table1[[#This Row],[DataField]],"52 week low",TRUE)</f>
        <v>45.42</v>
      </c>
      <c r="H39" s="2" cm="1">
        <f t="array" aca="1" ref="H39" ca="1">_FV(table1[[#This Row],[DataField]],"52 week high",TRUE)</f>
        <v>74.19</v>
      </c>
      <c r="I39" s="4" cm="1">
        <f t="array" aca="1" ref="I39" ca="1">_FV(table1[[#This Row],[DataField]],"P/E",TRUE)</f>
        <v>30.181699999999999</v>
      </c>
      <c r="J39" s="2" t="str">
        <f ca="1">IF(table1[[#This Row],[Price]] &lt; (table1[[#This Row],[52Low]] * 0.25) + table1[[#This Row],[52Low]],  "TRUE", "FALSE")</f>
        <v>FALSE</v>
      </c>
      <c r="K39" s="2" t="str">
        <f ca="1">IF(table1[[#This Row],[Price]] &lt; (table1[[#This Row],[52Low]] * 0.1) + table1[[#This Row],[52Low]],  "TRUE", "FALSE")</f>
        <v>FALSE</v>
      </c>
      <c r="L39" s="6" cm="1">
        <f t="array" aca="1" ref="L39" ca="1">_FV(table1[[#This Row],[DataField]],"Market cap",TRUE)</f>
        <v>32412264426</v>
      </c>
    </row>
    <row r="40" spans="1:12" x14ac:dyDescent="0.2">
      <c r="A40" t="e" vm="39">
        <v>#VALUE!</v>
      </c>
      <c r="B40" t="str" cm="1">
        <f t="array" aca="1" ref="B40" ca="1">_FV(table1[[#This Row],[DataField]],"Ticker symbol",TRUE)</f>
        <v>SYY</v>
      </c>
      <c r="C40">
        <v>1</v>
      </c>
      <c r="D40">
        <v>500</v>
      </c>
      <c r="E40">
        <v>30</v>
      </c>
      <c r="F40" s="2" cm="1">
        <f t="array" aca="1" ref="F40" ca="1">_FV(table1[[#This Row],[DataField]],"Price")</f>
        <v>74.83</v>
      </c>
      <c r="G40" s="2" cm="1">
        <f t="array" aca="1" ref="G40" ca="1">_FV(table1[[#This Row],[DataField]],"52 week low",TRUE)</f>
        <v>68</v>
      </c>
      <c r="H40" s="2" cm="1">
        <f t="array" aca="1" ref="H40" ca="1">_FV(table1[[#This Row],[DataField]],"52 week high",TRUE)</f>
        <v>91.844999999999999</v>
      </c>
      <c r="I40" s="4" cm="1">
        <f t="array" aca="1" ref="I40" ca="1">_FV(table1[[#This Row],[DataField]],"P/E",TRUE)</f>
        <v>20.125299999999999</v>
      </c>
      <c r="J40" s="2" t="str">
        <f ca="1">IF(table1[[#This Row],[Price]] &lt; (table1[[#This Row],[52Low]] * 0.25) + table1[[#This Row],[52Low]],  "TRUE", "FALSE")</f>
        <v>TRUE</v>
      </c>
      <c r="K40" s="7" t="str">
        <f ca="1">IF(table1[[#This Row],[Price]] &lt; (table1[[#This Row],[52Low]] * 0.1) + table1[[#This Row],[52Low]],  "TRUE", "FALSE")</f>
        <v>FALSE</v>
      </c>
      <c r="L40" s="6" cm="1">
        <f t="array" aca="1" ref="L40" ca="1">_FV(table1[[#This Row],[DataField]],"Market cap",TRUE)</f>
        <v>35782082189</v>
      </c>
    </row>
    <row r="41" spans="1:12" x14ac:dyDescent="0.2">
      <c r="A41" t="e" vm="40">
        <v>#VALUE!</v>
      </c>
      <c r="B41" t="str" cm="1">
        <f t="array" aca="1" ref="B41" ca="1">_FV(table1[[#This Row],[DataField]],"Ticker symbol",TRUE)</f>
        <v>CPB</v>
      </c>
      <c r="C41">
        <v>1</v>
      </c>
      <c r="D41">
        <v>500</v>
      </c>
      <c r="E41">
        <v>31</v>
      </c>
      <c r="F41" s="2" cm="1">
        <f t="array" aca="1" ref="F41" ca="1">_FV(table1[[#This Row],[DataField]],"Price")</f>
        <v>20.335000000000001</v>
      </c>
      <c r="G41" s="2" cm="1">
        <f t="array" aca="1" ref="G41" ca="1">_FV(table1[[#This Row],[DataField]],"52 week low",TRUE)</f>
        <v>19.760000000000002</v>
      </c>
      <c r="H41" s="2" cm="1">
        <f t="array" aca="1" ref="H41" ca="1">_FV(table1[[#This Row],[DataField]],"52 week high",TRUE)</f>
        <v>38.99</v>
      </c>
      <c r="I41" s="4" cm="1">
        <f t="array" aca="1" ref="I41" ca="1">_FV(table1[[#This Row],[DataField]],"P/E",TRUE)</f>
        <v>10.529199999999999</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6062809077</v>
      </c>
    </row>
    <row r="42" spans="1:12" x14ac:dyDescent="0.2">
      <c r="A42" t="e" vm="41">
        <v>#VALUE!</v>
      </c>
      <c r="B42" t="str" cm="1">
        <f t="array" aca="1" ref="B42" ca="1">_FV(table1[[#This Row],[DataField]],"Ticker symbol",TRUE)</f>
        <v>HRL</v>
      </c>
      <c r="C42">
        <v>1</v>
      </c>
      <c r="D42">
        <v>500</v>
      </c>
      <c r="E42">
        <v>31</v>
      </c>
      <c r="F42" s="2" cm="1">
        <f t="array" aca="1" ref="F42" ca="1">_FV(table1[[#This Row],[DataField]],"Price")</f>
        <v>20.74</v>
      </c>
      <c r="G42" s="2" cm="1">
        <f t="array" aca="1" ref="G42" ca="1">_FV(table1[[#This Row],[DataField]],"52 week low",TRUE)</f>
        <v>20.315000000000001</v>
      </c>
      <c r="H42" s="2" cm="1">
        <f t="array" aca="1" ref="H42" ca="1">_FV(table1[[#This Row],[DataField]],"52 week high",TRUE)</f>
        <v>31.86</v>
      </c>
      <c r="I42" s="4" cm="1">
        <f t="array" aca="1" ref="I42" ca="1">_FV(table1[[#This Row],[DataField]],"P/E",TRUE)</f>
        <v>23.337499999999999</v>
      </c>
      <c r="J42" s="2" t="str">
        <f ca="1">IF(table1[[#This Row],[Price]] &lt; (table1[[#This Row],[52Low]] * 0.25) + table1[[#This Row],[52Low]],  "TRUE", "FALSE")</f>
        <v>TRUE</v>
      </c>
      <c r="K42" s="2" t="str">
        <f ca="1">IF(table1[[#This Row],[Price]] &lt; (table1[[#This Row],[52Low]] * 0.1) + table1[[#This Row],[52Low]],  "TRUE", "FALSE")</f>
        <v>TRUE</v>
      </c>
      <c r="L42" s="6" cm="1">
        <f t="array" aca="1" ref="L42" ca="1">_FV(table1[[#This Row],[DataField]],"Market cap",TRUE)</f>
        <v>11412894308</v>
      </c>
    </row>
    <row r="43" spans="1:12" x14ac:dyDescent="0.2">
      <c r="A43" t="e" vm="42">
        <v>#VALUE!</v>
      </c>
      <c r="B43" t="str" cm="1">
        <f t="array" aca="1" ref="B43" ca="1">_FV(table1[[#This Row],[DataField]],"Ticker symbol",TRUE)</f>
        <v>HSY</v>
      </c>
      <c r="C43">
        <v>0</v>
      </c>
      <c r="D43">
        <v>500</v>
      </c>
      <c r="E43">
        <v>31</v>
      </c>
      <c r="F43" s="2" cm="1">
        <f t="array" aca="1" ref="F43" ca="1">_FV(table1[[#This Row],[DataField]],"Price")</f>
        <v>193.37</v>
      </c>
      <c r="G43" s="2" cm="1">
        <f t="array" aca="1" ref="G43" ca="1">_FV(table1[[#This Row],[DataField]],"52 week low",TRUE)</f>
        <v>150.04</v>
      </c>
      <c r="H43" s="2" cm="1">
        <f t="array" aca="1" ref="H43" ca="1">_FV(table1[[#This Row],[DataField]],"52 week high",TRUE)</f>
        <v>239.48</v>
      </c>
      <c r="I43" s="4" cm="1">
        <f t="array" aca="1" ref="I43" ca="1">_FV(table1[[#This Row],[DataField]],"P/E",TRUE)</f>
        <v>44.5379</v>
      </c>
      <c r="J43" s="2" t="str">
        <f ca="1">IF(table1[[#This Row],[Price]] &lt; (table1[[#This Row],[52Low]] * 0.25) + table1[[#This Row],[52Low]],  "TRUE", "FALSE")</f>
        <v>FALSE</v>
      </c>
      <c r="K43" s="2" t="str">
        <f ca="1">IF(table1[[#This Row],[Price]] &lt; (table1[[#This Row],[52Low]] * 0.1) + table1[[#This Row],[52Low]],  "TRUE", "FALSE")</f>
        <v>FALSE</v>
      </c>
      <c r="L43" s="6" cm="1">
        <f t="array" aca="1" ref="L43" ca="1">_FV(table1[[#This Row],[DataField]],"Market cap",TRUE)</f>
        <v>39194339333</v>
      </c>
    </row>
    <row r="44" spans="1:12" x14ac:dyDescent="0.2">
      <c r="A44" t="e" vm="43">
        <v>#VALUE!</v>
      </c>
      <c r="B44" t="str" cm="1">
        <f t="array" aca="1" ref="B44" ca="1">_FV(table1[[#This Row],[DataField]],"Ticker symbol",TRUE)</f>
        <v>KO</v>
      </c>
      <c r="C44">
        <v>1</v>
      </c>
      <c r="D44">
        <v>500</v>
      </c>
      <c r="E44">
        <v>31</v>
      </c>
      <c r="F44" s="2" cm="1">
        <f t="array" aca="1" ref="F44" ca="1">_FV(table1[[#This Row],[DataField]],"Price")</f>
        <v>75.525000000000006</v>
      </c>
      <c r="G44" s="2" cm="1">
        <f t="array" aca="1" ref="G44" ca="1">_FV(table1[[#This Row],[DataField]],"52 week low",TRUE)</f>
        <v>65.353800000000007</v>
      </c>
      <c r="H44" s="2" cm="1">
        <f t="array" aca="1" ref="H44" ca="1">_FV(table1[[#This Row],[DataField]],"52 week high",TRUE)</f>
        <v>82</v>
      </c>
      <c r="I44" s="4" cm="1">
        <f t="array" aca="1" ref="I44" ca="1">_FV(table1[[#This Row],[DataField]],"P/E",TRUE)</f>
        <v>24.851900000000001</v>
      </c>
      <c r="J44" s="2" t="str">
        <f ca="1">IF(table1[[#This Row],[Price]] &lt; (table1[[#This Row],[52Low]] * 0.25) + table1[[#This Row],[52Low]],  "TRUE", "FALSE")</f>
        <v>TRUE</v>
      </c>
      <c r="K44" s="2" t="str">
        <f ca="1">IF(table1[[#This Row],[Price]] &lt; (table1[[#This Row],[52Low]] * 0.1) + table1[[#This Row],[52Low]],  "TRUE", "FALSE")</f>
        <v>FALSE</v>
      </c>
      <c r="L44" s="6" cm="1">
        <f t="array" aca="1" ref="L44" ca="1">_FV(table1[[#This Row],[DataField]],"Market cap",TRUE)</f>
        <v>325071155325</v>
      </c>
    </row>
    <row r="45" spans="1:12" x14ac:dyDescent="0.2">
      <c r="A45" t="e" vm="44">
        <v>#VALUE!</v>
      </c>
      <c r="B45" t="str" cm="1">
        <f t="array" aca="1" ref="B45" ca="1">_FV(table1[[#This Row],[DataField]],"Ticker symbol",TRUE)</f>
        <v>MKC.V</v>
      </c>
      <c r="C45">
        <v>0</v>
      </c>
      <c r="D45">
        <v>500</v>
      </c>
      <c r="E45">
        <v>31</v>
      </c>
      <c r="F45" s="2" cm="1">
        <f t="array" aca="1" ref="F45" ca="1">_FV(table1[[#This Row],[DataField]],"Price")</f>
        <v>52.68</v>
      </c>
      <c r="G45" s="2" cm="1">
        <f t="array" aca="1" ref="G45" ca="1">_FV(table1[[#This Row],[DataField]],"52 week low",TRUE)</f>
        <v>48.11</v>
      </c>
      <c r="H45" s="2" cm="1">
        <f t="array" aca="1" ref="H45" ca="1">_FV(table1[[#This Row],[DataField]],"52 week high",TRUE)</f>
        <v>80</v>
      </c>
      <c r="I45" s="4" t="e" cm="1" vm="45">
        <f t="array" ref="I45">_FV(table1[[#This Row],[DataField]],"P/E",TRUE)</f>
        <v>#VALUE!</v>
      </c>
      <c r="J45" s="2" t="str">
        <f ca="1">IF(table1[[#This Row],[Price]] &lt; (table1[[#This Row],[52Low]] * 0.25) + table1[[#This Row],[52Low]],  "TRUE", "FALSE")</f>
        <v>TRUE</v>
      </c>
      <c r="K45" s="2" t="str">
        <f ca="1">IF(table1[[#This Row],[Price]] &lt; (table1[[#This Row],[52Low]] * 0.1) + table1[[#This Row],[52Low]],  "TRUE", "FALSE")</f>
        <v>TRUE</v>
      </c>
      <c r="L45" s="6" cm="1">
        <f t="array" aca="1" ref="L45" ca="1">_FV(table1[[#This Row],[DataField]],"Market cap",TRUE)</f>
        <v>14162659776</v>
      </c>
    </row>
    <row r="46" spans="1:12" x14ac:dyDescent="0.2">
      <c r="A46" t="e" vm="46">
        <v>#VALUE!</v>
      </c>
      <c r="B46" t="str" cm="1">
        <f t="array" aca="1" ref="B46" ca="1">_FV(table1[[#This Row],[DataField]],"Ticker symbol",TRUE)</f>
        <v>PEP</v>
      </c>
      <c r="C46">
        <v>0</v>
      </c>
      <c r="D46">
        <v>500</v>
      </c>
      <c r="E46">
        <v>31</v>
      </c>
      <c r="F46" s="2" cm="1">
        <f t="array" aca="1" ref="F46" ca="1">_FV(table1[[#This Row],[DataField]],"Price")</f>
        <v>155.1</v>
      </c>
      <c r="G46" s="2" cm="1">
        <f t="array" aca="1" ref="G46" ca="1">_FV(table1[[#This Row],[DataField]],"52 week low",TRUE)</f>
        <v>127.6</v>
      </c>
      <c r="H46" s="2" cm="1">
        <f t="array" aca="1" ref="H46" ca="1">_FV(table1[[#This Row],[DataField]],"52 week high",TRUE)</f>
        <v>171.48</v>
      </c>
      <c r="I46" s="4" cm="1">
        <f t="array" aca="1" ref="I46" ca="1">_FV(table1[[#This Row],[DataField]],"P/E",TRUE)</f>
        <v>25.843499999999999</v>
      </c>
      <c r="J46" s="2" t="str">
        <f ca="1">IF(table1[[#This Row],[Price]] &lt; (table1[[#This Row],[52Low]] * 0.25) + table1[[#This Row],[52Low]],  "TRUE", "FALSE")</f>
        <v>TRUE</v>
      </c>
      <c r="K46" s="2" t="str">
        <f ca="1">IF(table1[[#This Row],[Price]] &lt; (table1[[#This Row],[52Low]] * 0.1) + table1[[#This Row],[52Low]],  "TRUE", "FALSE")</f>
        <v>FALSE</v>
      </c>
      <c r="L46" s="6" cm="1">
        <f t="array" aca="1" ref="L46" ca="1">_FV(table1[[#This Row],[DataField]],"Market cap",TRUE)</f>
        <v>212012549100</v>
      </c>
    </row>
    <row r="47" spans="1:12" x14ac:dyDescent="0.2">
      <c r="A47" t="e" vm="47">
        <v>#VALUE!</v>
      </c>
      <c r="B47" t="str" cm="1">
        <f t="array" aca="1" ref="B47" ca="1">_FV(table1[[#This Row],[DataField]],"Ticker symbol",TRUE)</f>
        <v>SJM</v>
      </c>
      <c r="C47">
        <v>0</v>
      </c>
      <c r="D47">
        <v>500</v>
      </c>
      <c r="E47">
        <v>31</v>
      </c>
      <c r="F47" s="2" cm="1">
        <f t="array" aca="1" ref="F47" ca="1">_FV(table1[[#This Row],[DataField]],"Price")</f>
        <v>92.86</v>
      </c>
      <c r="G47" s="2" cm="1">
        <f t="array" aca="1" ref="G47" ca="1">_FV(table1[[#This Row],[DataField]],"52 week low",TRUE)</f>
        <v>88.25</v>
      </c>
      <c r="H47" s="2" cm="1">
        <f t="array" aca="1" ref="H47" ca="1">_FV(table1[[#This Row],[DataField]],"52 week high",TRUE)</f>
        <v>119.39</v>
      </c>
      <c r="I47" s="4" cm="1">
        <f t="array" aca="1" ref="I47" ca="1">_FV(table1[[#This Row],[DataField]],"P/E",TRUE)</f>
        <v>0</v>
      </c>
      <c r="J47" s="2" t="str">
        <f ca="1">IF(table1[[#This Row],[Price]] &lt; (table1[[#This Row],[52Low]] * 0.25) + table1[[#This Row],[52Low]],  "TRUE", "FALSE")</f>
        <v>TRUE</v>
      </c>
      <c r="K47" s="2" t="str">
        <f ca="1">IF(table1[[#This Row],[Price]] &lt; (table1[[#This Row],[52Low]] * 0.1) + table1[[#This Row],[52Low]],  "TRUE", "FALSE")</f>
        <v>TRUE</v>
      </c>
      <c r="L47" s="6" cm="1">
        <f t="array" aca="1" ref="L47" ca="1">_FV(table1[[#This Row],[DataField]],"Market cap",TRUE)</f>
        <v>9903361138</v>
      </c>
    </row>
    <row r="48" spans="1:12" x14ac:dyDescent="0.2">
      <c r="A48" t="e" vm="48">
        <v>#VALUE!</v>
      </c>
      <c r="B48" t="str" cm="1">
        <f t="array" aca="1" ref="B48" ca="1">_FV(table1[[#This Row],[DataField]],"Ticker symbol",TRUE)</f>
        <v>TSN</v>
      </c>
      <c r="C48">
        <v>0</v>
      </c>
      <c r="D48">
        <v>500</v>
      </c>
      <c r="E48">
        <v>31</v>
      </c>
      <c r="F48" s="2" cm="1">
        <f t="array" aca="1" ref="F48" ca="1">_FV(table1[[#This Row],[DataField]],"Price")</f>
        <v>64.39</v>
      </c>
      <c r="G48" s="2" cm="1">
        <f t="array" aca="1" ref="G48" ca="1">_FV(table1[[#This Row],[DataField]],"52 week low",TRUE)</f>
        <v>50.56</v>
      </c>
      <c r="H48" s="2" cm="1">
        <f t="array" aca="1" ref="H48" ca="1">_FV(table1[[#This Row],[DataField]],"52 week high",TRUE)</f>
        <v>66.41</v>
      </c>
      <c r="I48" s="4" cm="1">
        <f t="array" aca="1" ref="I48" ca="1">_FV(table1[[#This Row],[DataField]],"P/E",TRUE)</f>
        <v>112.9055</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22670366810</v>
      </c>
    </row>
    <row r="49" spans="1:12" x14ac:dyDescent="0.2">
      <c r="A49" t="e" vm="49">
        <v>#VALUE!</v>
      </c>
      <c r="B49" t="str" cm="1">
        <f t="array" aca="1" ref="B49" ca="1">_FV(table1[[#This Row],[DataField]],"Ticker symbol",TRUE)</f>
        <v>PG</v>
      </c>
      <c r="D49">
        <v>500</v>
      </c>
      <c r="E49">
        <v>32</v>
      </c>
      <c r="F49" s="2" cm="1">
        <f t="array" aca="1" ref="F49" ca="1">_FV(table1[[#This Row],[DataField]],"Price")</f>
        <v>143.65</v>
      </c>
      <c r="G49" s="2" cm="1">
        <f t="array" aca="1" ref="G49" ca="1">_FV(table1[[#This Row],[DataField]],"52 week low",TRUE)</f>
        <v>137.62</v>
      </c>
      <c r="H49" s="2" cm="1">
        <f t="array" aca="1" ref="H49" ca="1">_FV(table1[[#This Row],[DataField]],"52 week high",TRUE)</f>
        <v>171.65</v>
      </c>
      <c r="I49" s="4" cm="1">
        <f t="array" aca="1" ref="I49" ca="1">_FV(table1[[#This Row],[DataField]],"P/E",TRUE)</f>
        <v>21.285</v>
      </c>
      <c r="J49" s="2" t="str">
        <f ca="1">IF(table1[[#This Row],[Price]] &lt; (table1[[#This Row],[52Low]] * 0.25) + table1[[#This Row],[52Low]],  "TRUE", "FALSE")</f>
        <v>TRUE</v>
      </c>
      <c r="K49" s="7" t="str">
        <f ca="1">IF(table1[[#This Row],[Price]] &lt; (table1[[#This Row],[52Low]] * 0.1) + table1[[#This Row],[52Low]],  "TRUE", "FALSE")</f>
        <v>TRUE</v>
      </c>
      <c r="L49" s="6" cm="1">
        <f t="array" aca="1" ref="L49" ca="1">_FV(table1[[#This Row],[DataField]],"Market cap",TRUE)</f>
        <v>333842743650</v>
      </c>
    </row>
    <row r="50" spans="1:12" x14ac:dyDescent="0.2">
      <c r="A50" t="e" vm="50">
        <v>#VALUE!</v>
      </c>
      <c r="B50" t="str" cm="1">
        <f t="array" aca="1" ref="B50" ca="1">_FV(table1[[#This Row],[DataField]],"Ticker symbol",TRUE)</f>
        <v>CLX</v>
      </c>
      <c r="C50">
        <v>0</v>
      </c>
      <c r="D50">
        <v>500</v>
      </c>
      <c r="E50">
        <v>32</v>
      </c>
      <c r="F50" s="2" cm="1">
        <f t="array" aca="1" ref="F50" ca="1">_FV(table1[[#This Row],[DataField]],"Price")</f>
        <v>103.065</v>
      </c>
      <c r="G50" s="2" cm="1">
        <f t="array" aca="1" ref="G50" ca="1">_FV(table1[[#This Row],[DataField]],"52 week low",TRUE)</f>
        <v>96.6601</v>
      </c>
      <c r="H50" s="2" cm="1">
        <f t="array" aca="1" ref="H50" ca="1">_FV(table1[[#This Row],[DataField]],"52 week high",TRUE)</f>
        <v>143.96</v>
      </c>
      <c r="I50" s="4" cm="1">
        <f t="array" aca="1" ref="I50" ca="1">_FV(table1[[#This Row],[DataField]],"P/E",TRUE)</f>
        <v>16.8399</v>
      </c>
      <c r="J50" s="2" t="str">
        <f ca="1">IF(table1[[#This Row],[Price]] &lt; (table1[[#This Row],[52Low]] * 0.25) + table1[[#This Row],[52Low]],  "TRUE", "FALSE")</f>
        <v>TRUE</v>
      </c>
      <c r="K50" s="2" t="str">
        <f ca="1">IF(table1[[#This Row],[Price]] &lt; (table1[[#This Row],[52Low]] * 0.1) + table1[[#This Row],[52Low]],  "TRUE", "FALSE")</f>
        <v>TRUE</v>
      </c>
      <c r="L50" s="6" cm="1">
        <f t="array" aca="1" ref="L50" ca="1">_FV(table1[[#This Row],[DataField]],"Market cap",TRUE)</f>
        <v>12461784973</v>
      </c>
    </row>
    <row r="51" spans="1:12" x14ac:dyDescent="0.2">
      <c r="A51" t="e" vm="51">
        <v>#VALUE!</v>
      </c>
      <c r="B51" t="str" cm="1">
        <f t="array" aca="1" ref="B51" ca="1">_FV(table1[[#This Row],[DataField]],"Ticker symbol",TRUE)</f>
        <v>KMB</v>
      </c>
      <c r="C51">
        <v>1</v>
      </c>
      <c r="D51">
        <v>500</v>
      </c>
      <c r="E51">
        <v>32</v>
      </c>
      <c r="F51" s="2" cm="1">
        <f t="array" aca="1" ref="F51" ca="1">_FV(table1[[#This Row],[DataField]],"Price")</f>
        <v>96.644999999999996</v>
      </c>
      <c r="G51" s="2" cm="1">
        <f t="array" aca="1" ref="G51" ca="1">_FV(table1[[#This Row],[DataField]],"52 week low",TRUE)</f>
        <v>92.42</v>
      </c>
      <c r="H51" s="2" cm="1">
        <f t="array" aca="1" ref="H51" ca="1">_FV(table1[[#This Row],[DataField]],"52 week high",TRUE)</f>
        <v>144.30500000000001</v>
      </c>
      <c r="I51" s="4" cm="1">
        <f t="array" aca="1" ref="I51" ca="1">_FV(table1[[#This Row],[DataField]],"P/E",TRUE)</f>
        <v>19.782800000000002</v>
      </c>
      <c r="J51" s="2" t="str">
        <f ca="1">IF(table1[[#This Row],[Price]] &lt; (table1[[#This Row],[52Low]] * 0.25) + table1[[#This Row],[52Low]],  "TRUE", "FALSE")</f>
        <v>TRUE</v>
      </c>
      <c r="K51" s="2" t="str">
        <f ca="1">IF(table1[[#This Row],[Price]] &lt; (table1[[#This Row],[52Low]] * 0.1) + table1[[#This Row],[52Low]],  "TRUE", "FALSE")</f>
        <v>TRUE</v>
      </c>
      <c r="L51" s="6" cm="1">
        <f t="array" aca="1" ref="L51" ca="1">_FV(table1[[#This Row],[DataField]],"Market cap",TRUE)</f>
        <v>32078968941</v>
      </c>
    </row>
    <row r="52" spans="1:12" x14ac:dyDescent="0.2">
      <c r="A52" t="e" vm="52">
        <v>#VALUE!</v>
      </c>
      <c r="B52" t="str" cm="1">
        <f t="array" aca="1" ref="B52" ca="1">_FV(table1[[#This Row],[DataField]],"Ticker symbol",TRUE)</f>
        <v>CL</v>
      </c>
      <c r="C52">
        <v>1</v>
      </c>
      <c r="D52">
        <v>500</v>
      </c>
      <c r="E52">
        <v>33</v>
      </c>
      <c r="F52" s="2" cm="1">
        <f t="array" aca="1" ref="F52" ca="1">_FV(table1[[#This Row],[DataField]],"Price")</f>
        <v>83.74</v>
      </c>
      <c r="G52" s="2" cm="1">
        <f t="array" aca="1" ref="G52" ca="1">_FV(table1[[#This Row],[DataField]],"52 week low",TRUE)</f>
        <v>74.545000000000002</v>
      </c>
      <c r="H52" s="2" cm="1">
        <f t="array" aca="1" ref="H52" ca="1">_FV(table1[[#This Row],[DataField]],"52 week high",TRUE)</f>
        <v>99.33</v>
      </c>
      <c r="I52" s="4" cm="1">
        <f t="array" aca="1" ref="I52" ca="1">_FV(table1[[#This Row],[DataField]],"P/E",TRUE)</f>
        <v>31.944800000000001</v>
      </c>
      <c r="J52" s="2" t="str">
        <f ca="1">IF(table1[[#This Row],[Price]] &lt; (table1[[#This Row],[52Low]] * 0.25) + table1[[#This Row],[52Low]],  "TRUE", "FALSE")</f>
        <v>TRUE</v>
      </c>
      <c r="K52" s="2" t="str">
        <f ca="1">IF(table1[[#This Row],[Price]] &lt; (table1[[#This Row],[52Low]] * 0.1) + table1[[#This Row],[52Low]],  "TRUE", "FALSE")</f>
        <v>FALSE</v>
      </c>
      <c r="L52" s="6" cm="1">
        <f t="array" aca="1" ref="L52" ca="1">_FV(table1[[#This Row],[DataField]],"Market cap",TRUE)</f>
        <v>67184761105</v>
      </c>
    </row>
    <row r="53" spans="1:12" x14ac:dyDescent="0.2">
      <c r="A53" t="e" vm="53">
        <v>#VALUE!</v>
      </c>
      <c r="B53" t="str" cm="1">
        <f t="array" aca="1" ref="B53" ca="1">_FV(table1[[#This Row],[DataField]],"Ticker symbol",TRUE)</f>
        <v>NKE</v>
      </c>
      <c r="C53">
        <v>0</v>
      </c>
      <c r="D53">
        <v>500</v>
      </c>
      <c r="E53">
        <v>33</v>
      </c>
      <c r="F53" s="2" cm="1">
        <f t="array" aca="1" ref="F53" ca="1">_FV(table1[[#This Row],[DataField]],"Price")</f>
        <v>45.5</v>
      </c>
      <c r="G53" cm="1">
        <f t="array" aca="1" ref="G53" ca="1">_FV(table1[[#This Row],[DataField]],"52 week low",TRUE)</f>
        <v>42.09</v>
      </c>
      <c r="H53" cm="1">
        <f t="array" aca="1" ref="H53" ca="1">_FV(table1[[#This Row],[DataField]],"52 week high",TRUE)</f>
        <v>80.165000000000006</v>
      </c>
      <c r="I53" s="4" cm="1">
        <f t="array" aca="1" ref="I53" ca="1">_FV(table1[[#This Row],[DataField]],"P/E",TRUE)</f>
        <v>26.68</v>
      </c>
      <c r="J53" s="2" t="str">
        <f ca="1">IF(table1[[#This Row],[Price]] &lt; (table1[[#This Row],[52Low]] * 0.25) + table1[[#This Row],[52Low]],  "TRUE", "FALSE")</f>
        <v>TRUE</v>
      </c>
      <c r="K53" s="2" t="str">
        <f ca="1">IF(table1[[#This Row],[Price]] &lt; (table1[[#This Row],[52Low]] * 0.1) + table1[[#This Row],[52Low]],  "TRUE", "FALSE")</f>
        <v>TRUE</v>
      </c>
      <c r="L53" s="6" cm="1">
        <f t="array" aca="1" ref="L53" ca="1">_FV(table1[[#This Row],[DataField]],"Market cap",TRUE)</f>
        <v>67380358500</v>
      </c>
    </row>
    <row r="54" spans="1:12" x14ac:dyDescent="0.2">
      <c r="A54" t="e" vm="54">
        <v>#VALUE!</v>
      </c>
      <c r="B54" t="str" cm="1">
        <f t="array" aca="1" ref="B54" ca="1">_FV(table1[[#This Row],[DataField]],"Ticker symbol",TRUE)</f>
        <v>SBUX</v>
      </c>
      <c r="C54">
        <v>1</v>
      </c>
      <c r="D54">
        <v>500</v>
      </c>
      <c r="E54">
        <v>34</v>
      </c>
      <c r="F54" s="2" cm="1">
        <f t="array" aca="1" ref="F54" ca="1">_FV(table1[[#This Row],[DataField]],"Price")</f>
        <v>98.96</v>
      </c>
      <c r="G54" s="2" cm="1">
        <f t="array" aca="1" ref="G54" ca="1">_FV(table1[[#This Row],[DataField]],"52 week low",TRUE)</f>
        <v>75.5</v>
      </c>
      <c r="H54" s="2" cm="1">
        <f t="array" aca="1" ref="H54" ca="1">_FV(table1[[#This Row],[DataField]],"52 week high",TRUE)</f>
        <v>104.82</v>
      </c>
      <c r="I54" s="4" cm="1">
        <f t="array" aca="1" ref="I54" ca="1">_FV(table1[[#This Row],[DataField]],"P/E",TRUE)</f>
        <v>82.4392</v>
      </c>
      <c r="J54" s="2" t="str">
        <f ca="1">IF(table1[[#This Row],[Price]] &lt; (table1[[#This Row],[52Low]] * 0.25) + table1[[#This Row],[52Low]],  "TRUE", "FALSE")</f>
        <v>FALSE</v>
      </c>
      <c r="K54" s="7" t="str">
        <f ca="1">IF(table1[[#This Row],[Price]] &lt; (table1[[#This Row],[52Low]] * 0.1) + table1[[#This Row],[52Low]],  "TRUE", "FALSE")</f>
        <v>FALSE</v>
      </c>
      <c r="L54" s="6" cm="1">
        <f t="array" aca="1" ref="L54" ca="1">_FV(table1[[#This Row],[DataField]],"Market cap",TRUE)</f>
        <v>112745128000</v>
      </c>
    </row>
    <row r="55" spans="1:12" x14ac:dyDescent="0.2">
      <c r="A55" t="e" vm="55">
        <v>#VALUE!</v>
      </c>
      <c r="B55" t="str" cm="1">
        <f t="array" aca="1" ref="B55" ca="1">_FV(table1[[#This Row],[DataField]],"Ticker symbol",TRUE)</f>
        <v>MCD</v>
      </c>
      <c r="C55">
        <v>1</v>
      </c>
      <c r="D55">
        <v>500</v>
      </c>
      <c r="E55">
        <v>34</v>
      </c>
      <c r="F55" s="2" cm="1">
        <f t="array" aca="1" ref="F55" ca="1">_FV(table1[[#This Row],[DataField]],"Price")</f>
        <v>306.38</v>
      </c>
      <c r="G55" s="2" cm="1">
        <f t="array" aca="1" ref="G55" ca="1">_FV(table1[[#This Row],[DataField]],"52 week low",TRUE)</f>
        <v>283.47000000000003</v>
      </c>
      <c r="H55" s="2" cm="1">
        <f t="array" aca="1" ref="H55" ca="1">_FV(table1[[#This Row],[DataField]],"52 week high",TRUE)</f>
        <v>341.75</v>
      </c>
      <c r="I55" s="4" cm="1">
        <f t="array" aca="1" ref="I55" ca="1">_FV(table1[[#This Row],[DataField]],"P/E",TRUE)</f>
        <v>25.6312</v>
      </c>
      <c r="J55" s="2" t="str">
        <f ca="1">IF(table1[[#This Row],[Price]] &lt; (table1[[#This Row],[52Low]] * 0.25) + table1[[#This Row],[52Low]],  "TRUE", "FALSE")</f>
        <v>TRUE</v>
      </c>
      <c r="K55" s="2" t="str">
        <f ca="1">IF(table1[[#This Row],[Price]] &lt; (table1[[#This Row],[52Low]] * 0.1) + table1[[#This Row],[52Low]],  "TRUE", "FALSE")</f>
        <v>TRUE</v>
      </c>
      <c r="L55" s="6" cm="1">
        <f t="array" aca="1" ref="L55" ca="1">_FV(table1[[#This Row],[DataField]],"Market cap",TRUE)</f>
        <v>217783360088</v>
      </c>
    </row>
    <row r="56" spans="1:12" x14ac:dyDescent="0.2">
      <c r="A56" t="e" vm="56">
        <v>#VALUE!</v>
      </c>
      <c r="B56" t="str" cm="1">
        <f t="array" aca="1" ref="B56" ca="1">_FV(table1[[#This Row],[DataField]],"Ticker symbol",TRUE)</f>
        <v>DPZ</v>
      </c>
      <c r="C56">
        <v>1</v>
      </c>
      <c r="D56">
        <v>500</v>
      </c>
      <c r="E56">
        <v>34</v>
      </c>
      <c r="F56" s="2" cm="1">
        <f t="array" aca="1" ref="F56" ca="1">_FV(table1[[#This Row],[DataField]],"Price")</f>
        <v>369.56</v>
      </c>
      <c r="G56" s="2" cm="1">
        <f t="array" aca="1" ref="G56" ca="1">_FV(table1[[#This Row],[DataField]],"52 week low",TRUE)</f>
        <v>346.31</v>
      </c>
      <c r="H56" s="2" cm="1">
        <f t="array" aca="1" ref="H56" ca="1">_FV(table1[[#This Row],[DataField]],"52 week high",TRUE)</f>
        <v>499.08</v>
      </c>
      <c r="I56" s="4" cm="1">
        <f t="array" aca="1" ref="I56" ca="1">_FV(table1[[#This Row],[DataField]],"P/E",TRUE)</f>
        <v>21.028400000000001</v>
      </c>
      <c r="J56" s="2" t="str">
        <f ca="1">IF(table1[[#This Row],[Price]] &lt; (table1[[#This Row],[52Low]] * 0.25) + table1[[#This Row],[52Low]],  "TRUE", "FALSE")</f>
        <v>TRUE</v>
      </c>
      <c r="K56" s="7" t="str">
        <f ca="1">IF(table1[[#This Row],[Price]] &lt; (table1[[#This Row],[52Low]] * 0.1) + table1[[#This Row],[52Low]],  "TRUE", "FALSE")</f>
        <v>TRUE</v>
      </c>
      <c r="L56" s="6" cm="1">
        <f t="array" aca="1" ref="L56" ca="1">_FV(table1[[#This Row],[DataField]],"Market cap",TRUE)</f>
        <v>12426713692</v>
      </c>
    </row>
    <row r="57" spans="1:12" x14ac:dyDescent="0.2">
      <c r="A57" t="e" vm="57">
        <v>#VALUE!</v>
      </c>
      <c r="B57" t="str" cm="1">
        <f t="array" aca="1" ref="B57" ca="1">_FV(table1[[#This Row],[DataField]],"Ticker symbol",TRUE)</f>
        <v>MO</v>
      </c>
      <c r="C57">
        <v>1</v>
      </c>
      <c r="D57">
        <v>500</v>
      </c>
      <c r="E57">
        <v>35</v>
      </c>
      <c r="F57" s="2" cm="1">
        <f t="array" aca="1" ref="F57" ca="1">_FV(table1[[#This Row],[DataField]],"Price")</f>
        <v>65.004999999999995</v>
      </c>
      <c r="G57" s="2" cm="1">
        <f t="array" aca="1" ref="G57" ca="1">_FV(table1[[#This Row],[DataField]],"52 week low",TRUE)</f>
        <v>54.7</v>
      </c>
      <c r="H57" s="2" cm="1">
        <f t="array" aca="1" ref="H57" ca="1">_FV(table1[[#This Row],[DataField]],"52 week high",TRUE)</f>
        <v>70.510000000000005</v>
      </c>
      <c r="I57" s="4" cm="1">
        <f t="array" aca="1" ref="I57" ca="1">_FV(table1[[#This Row],[DataField]],"P/E",TRUE)</f>
        <v>15.7906</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108643766570</v>
      </c>
    </row>
    <row r="58" spans="1:12" x14ac:dyDescent="0.2">
      <c r="A58" t="e" vm="58">
        <v>#VALUE!</v>
      </c>
      <c r="B58" t="str" cm="1">
        <f t="array" aca="1" ref="B58" ca="1">_FV(table1[[#This Row],[DataField]],"Ticker symbol",TRUE)</f>
        <v>PM</v>
      </c>
      <c r="C58">
        <v>1</v>
      </c>
      <c r="D58">
        <v>500</v>
      </c>
      <c r="E58">
        <v>35</v>
      </c>
      <c r="F58" s="2" cm="1">
        <f t="array" aca="1" ref="F58" ca="1">_FV(table1[[#This Row],[DataField]],"Price")</f>
        <v>158.6</v>
      </c>
      <c r="G58" s="2" cm="1">
        <f t="array" aca="1" ref="G58" ca="1">_FV(table1[[#This Row],[DataField]],"52 week low",TRUE)</f>
        <v>142.11000000000001</v>
      </c>
      <c r="H58" s="2" cm="1">
        <f t="array" aca="1" ref="H58" ca="1">_FV(table1[[#This Row],[DataField]],"52 week high",TRUE)</f>
        <v>191.3</v>
      </c>
      <c r="I58" s="4" cm="1">
        <f t="array" aca="1" ref="I58" ca="1">_FV(table1[[#This Row],[DataField]],"P/E",TRUE)</f>
        <v>21.836099999999998</v>
      </c>
      <c r="J58" s="2" t="str">
        <f ca="1">IF(table1[[#This Row],[Price]] &lt; (table1[[#This Row],[52Low]] * 0.25) + table1[[#This Row],[52Low]],  "TRUE", "FALSE")</f>
        <v>TRUE</v>
      </c>
      <c r="K58" s="7" t="str">
        <f ca="1">IF(table1[[#This Row],[Price]] &lt; (table1[[#This Row],[52Low]] * 0.1) + table1[[#This Row],[52Low]],  "TRUE", "FALSE")</f>
        <v>FALSE</v>
      </c>
      <c r="L58" s="6" cm="1">
        <f t="array" aca="1" ref="L58" ca="1">_FV(table1[[#This Row],[DataField]],"Market cap",TRUE)</f>
        <v>247182858000</v>
      </c>
    </row>
    <row r="59" spans="1:12" x14ac:dyDescent="0.2">
      <c r="A59" t="e" vm="59">
        <v>#VALUE!</v>
      </c>
      <c r="B59" t="str" cm="1">
        <f t="array" aca="1" ref="B59" ca="1">_FV(table1[[#This Row],[DataField]],"Ticker symbol",TRUE)</f>
        <v>BF.A</v>
      </c>
      <c r="C59">
        <v>1</v>
      </c>
      <c r="D59">
        <v>500</v>
      </c>
      <c r="E59">
        <v>36</v>
      </c>
      <c r="F59" s="2" cm="1">
        <f t="array" aca="1" ref="F59" ca="1">_FV(table1[[#This Row],[DataField]],"Price")</f>
        <v>28.898</v>
      </c>
      <c r="G59" s="2" cm="1">
        <f t="array" aca="1" ref="G59" ca="1">_FV(table1[[#This Row],[DataField]],"52 week low",TRUE)</f>
        <v>23.01</v>
      </c>
      <c r="H59" s="2" cm="1">
        <f t="array" aca="1" ref="H59" ca="1">_FV(table1[[#This Row],[DataField]],"52 week high",TRUE)</f>
        <v>35.954999999999998</v>
      </c>
      <c r="I59" s="4" cm="1">
        <f t="array" aca="1" ref="I59" ca="1">_FV(table1[[#This Row],[DataField]],"P/E",TRUE)</f>
        <v>0</v>
      </c>
      <c r="J59" s="2" t="str">
        <f ca="1">IF(table1[[#This Row],[Price]] &lt; (table1[[#This Row],[52Low]] * 0.25) + table1[[#This Row],[52Low]],  "TRUE", "FALSE")</f>
        <v>FALSE</v>
      </c>
      <c r="K59" s="2" t="str">
        <f ca="1">IF(table1[[#This Row],[Price]] &lt; (table1[[#This Row],[52Low]] * 0.1) + table1[[#This Row],[52Low]],  "TRUE", "FALSE")</f>
        <v>FALSE</v>
      </c>
      <c r="L59" s="6" cm="1">
        <f t="array" aca="1" ref="L59" ca="1">_FV(table1[[#This Row],[DataField]],"Market cap",TRUE)</f>
        <v>13255616632</v>
      </c>
    </row>
    <row r="60" spans="1:12" x14ac:dyDescent="0.2">
      <c r="A60" t="e" vm="60">
        <v>#VALUE!</v>
      </c>
      <c r="B60" t="str" cm="1">
        <f t="array" aca="1" ref="B60" ca="1">_FV(table1[[#This Row],[DataField]],"Ticker symbol",TRUE)</f>
        <v>DEO</v>
      </c>
      <c r="C60">
        <v>1</v>
      </c>
      <c r="E60">
        <v>36</v>
      </c>
      <c r="F60" s="2" cm="1">
        <f t="array" aca="1" ref="F60" ca="1">_FV(table1[[#This Row],[DataField]],"Price")</f>
        <v>79.5</v>
      </c>
      <c r="G60" s="2" cm="1">
        <f t="array" aca="1" ref="G60" ca="1">_FV(table1[[#This Row],[DataField]],"52 week low",TRUE)</f>
        <v>72.45</v>
      </c>
      <c r="H60" s="2" cm="1">
        <f t="array" aca="1" ref="H60" ca="1">_FV(table1[[#This Row],[DataField]],"52 week high",TRUE)</f>
        <v>116.69</v>
      </c>
      <c r="I60" s="4" cm="1">
        <f t="array" aca="1" ref="I60" ca="1">_FV(table1[[#This Row],[DataField]],"P/E",TRUE)</f>
        <v>18.364100000000001</v>
      </c>
      <c r="J60" s="2" t="str">
        <f ca="1">IF(table1[[#This Row],[Price]] &lt; (table1[[#This Row],[52Low]] * 0.25) + table1[[#This Row],[52Low]],  "TRUE", "FALSE")</f>
        <v>TRUE</v>
      </c>
      <c r="K60" s="2" t="str">
        <f ca="1">IF(table1[[#This Row],[Price]] &lt; (table1[[#This Row],[52Low]] * 0.1) + table1[[#This Row],[52Low]],  "TRUE", "FALSE")</f>
        <v>TRUE</v>
      </c>
      <c r="L60" s="6" cm="1">
        <f t="array" aca="1" ref="L60" ca="1">_FV(table1[[#This Row],[DataField]],"Market cap",TRUE)</f>
        <v>44252832300</v>
      </c>
    </row>
    <row r="61" spans="1:12" x14ac:dyDescent="0.2">
      <c r="A61" t="e" vm="61">
        <v>#VALUE!</v>
      </c>
      <c r="B61" t="str" cm="1">
        <f t="array" aca="1" ref="B61" ca="1">_FV(table1[[#This Row],[DataField]],"Ticker symbol",TRUE)</f>
        <v>FAST</v>
      </c>
      <c r="C61">
        <v>1</v>
      </c>
      <c r="D61">
        <v>500</v>
      </c>
      <c r="E61">
        <v>40</v>
      </c>
      <c r="F61" s="2" cm="1">
        <f t="array" aca="1" ref="F61" ca="1">_FV(table1[[#This Row],[DataField]],"Price")</f>
        <v>44.14</v>
      </c>
      <c r="G61" s="2" cm="1">
        <f t="array" aca="1" ref="G61" ca="1">_FV(table1[[#This Row],[DataField]],"52 week low",TRUE)</f>
        <v>38.970300000000002</v>
      </c>
      <c r="H61" s="2" cm="1">
        <f t="array" aca="1" ref="H61" ca="1">_FV(table1[[#This Row],[DataField]],"52 week high",TRUE)</f>
        <v>50.63</v>
      </c>
      <c r="I61" s="4" cm="1">
        <f t="array" aca="1" ref="I61" ca="1">_FV(table1[[#This Row],[DataField]],"P/E",TRUE)</f>
        <v>40.343699999999998</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50672764140</v>
      </c>
    </row>
    <row r="62" spans="1:12" x14ac:dyDescent="0.2">
      <c r="A62" t="e" vm="62">
        <v>#VALUE!</v>
      </c>
      <c r="B62" t="str" cm="1">
        <f t="array" aca="1" ref="B62" ca="1">_FV(table1[[#This Row],[DataField]],"Ticker symbol",TRUE)</f>
        <v>ITW</v>
      </c>
      <c r="C62">
        <v>1</v>
      </c>
      <c r="D62">
        <v>500</v>
      </c>
      <c r="E62">
        <v>40</v>
      </c>
      <c r="F62" s="2" cm="1">
        <f t="array" aca="1" ref="F62" ca="1">_FV(table1[[#This Row],[DataField]],"Price")</f>
        <v>263.83</v>
      </c>
      <c r="G62" s="2" cm="1">
        <f t="array" aca="1" ref="G62" ca="1">_FV(table1[[#This Row],[DataField]],"52 week low",TRUE)</f>
        <v>224.9</v>
      </c>
      <c r="H62" s="2" cm="1">
        <f t="array" aca="1" ref="H62" ca="1">_FV(table1[[#This Row],[DataField]],"52 week high",TRUE)</f>
        <v>303.15499999999997</v>
      </c>
      <c r="I62" s="4" cm="1">
        <f t="array" aca="1" ref="I62" ca="1">_FV(table1[[#This Row],[DataField]],"P/E",TRUE)</f>
        <v>25.147300000000001</v>
      </c>
      <c r="J62" s="2" t="str">
        <f ca="1">IF(table1[[#This Row],[Price]] &lt; (table1[[#This Row],[52Low]] * 0.25) + table1[[#This Row],[52Low]],  "TRUE", "FALSE")</f>
        <v>TRUE</v>
      </c>
      <c r="K62" s="7" t="str">
        <f ca="1">IF(table1[[#This Row],[Price]] &lt; (table1[[#This Row],[52Low]] * 0.1) + table1[[#This Row],[52Low]],  "TRUE", "FALSE")</f>
        <v>FALSE</v>
      </c>
      <c r="L62" s="6" cm="1">
        <f t="array" aca="1" ref="L62" ca="1">_FV(table1[[#This Row],[DataField]],"Market cap",TRUE)</f>
        <v>76003645123</v>
      </c>
    </row>
    <row r="63" spans="1:12" x14ac:dyDescent="0.2">
      <c r="A63" t="e" vm="63">
        <v>#VALUE!</v>
      </c>
      <c r="B63" t="str" cm="1">
        <f t="array" aca="1" ref="B63" ca="1">_FV(table1[[#This Row],[DataField]],"Ticker symbol",TRUE)</f>
        <v>MMM</v>
      </c>
      <c r="C63">
        <v>1</v>
      </c>
      <c r="D63">
        <v>500</v>
      </c>
      <c r="E63">
        <v>40</v>
      </c>
      <c r="F63" s="2" cm="1">
        <f t="array" aca="1" ref="F63" ca="1">_FV(table1[[#This Row],[DataField]],"Price")</f>
        <v>150.535</v>
      </c>
      <c r="G63" s="2" cm="1">
        <f t="array" aca="1" ref="G63" ca="1">_FV(table1[[#This Row],[DataField]],"52 week low",TRUE)</f>
        <v>124.65</v>
      </c>
      <c r="H63" s="2" cm="1">
        <f t="array" aca="1" ref="H63" ca="1">_FV(table1[[#This Row],[DataField]],"52 week high",TRUE)</f>
        <v>177.41</v>
      </c>
      <c r="I63" s="4" cm="1">
        <f t="array" aca="1" ref="I63" ca="1">_FV(table1[[#This Row],[DataField]],"P/E",TRUE)</f>
        <v>25.107600000000001</v>
      </c>
      <c r="J63" s="2" t="str">
        <f ca="1">IF(table1[[#This Row],[Price]] &lt; (table1[[#This Row],[52Low]] * 0.25) + table1[[#This Row],[52Low]],  "TRUE", "FALSE")</f>
        <v>TRUE</v>
      </c>
      <c r="K63" s="2" t="str">
        <f ca="1">IF(table1[[#This Row],[Price]] &lt; (table1[[#This Row],[52Low]] * 0.1) + table1[[#This Row],[52Low]],  "TRUE", "FALSE")</f>
        <v>FALSE</v>
      </c>
      <c r="L63" s="6" cm="1">
        <f t="array" aca="1" ref="L63" ca="1">_FV(table1[[#This Row],[DataField]],"Market cap",TRUE)</f>
        <v>78638911967</v>
      </c>
    </row>
    <row r="64" spans="1:12" x14ac:dyDescent="0.2">
      <c r="A64" t="e" vm="64">
        <v>#VALUE!</v>
      </c>
      <c r="B64" t="str" cm="1">
        <f t="array" aca="1" ref="B64" ca="1">_FV(table1[[#This Row],[DataField]],"Ticker symbol",TRUE)</f>
        <v>SNA</v>
      </c>
      <c r="C64">
        <v>1</v>
      </c>
      <c r="D64">
        <v>500</v>
      </c>
      <c r="E64">
        <v>40</v>
      </c>
      <c r="F64" s="2" cm="1">
        <f t="array" aca="1" ref="F64" ca="1">_FV(table1[[#This Row],[DataField]],"Price")</f>
        <v>366.05500000000001</v>
      </c>
      <c r="G64" s="2" cm="1">
        <f t="array" aca="1" ref="G64" ca="1">_FV(table1[[#This Row],[DataField]],"52 week low",TRUE)</f>
        <v>289.81</v>
      </c>
      <c r="H64" s="2" cm="1">
        <f t="array" aca="1" ref="H64" ca="1">_FV(table1[[#This Row],[DataField]],"52 week high",TRUE)</f>
        <v>390.13</v>
      </c>
      <c r="I64" s="4" cm="1">
        <f t="array" aca="1" ref="I64" ca="1">_FV(table1[[#This Row],[DataField]],"P/E",TRUE)</f>
        <v>19.078499999999998</v>
      </c>
      <c r="J64" s="2" t="str">
        <f ca="1">IF(table1[[#This Row],[Price]] &lt; (table1[[#This Row],[52Low]] * 0.25) + table1[[#This Row],[52Low]],  "TRUE", "FALSE")</f>
        <v>FALSE</v>
      </c>
      <c r="K64" s="2" t="str">
        <f ca="1">IF(table1[[#This Row],[Price]] &lt; (table1[[#This Row],[52Low]] * 0.1) + table1[[#This Row],[52Low]],  "TRUE", "FALSE")</f>
        <v>FALSE</v>
      </c>
      <c r="L64" s="6" cm="1">
        <f t="array" aca="1" ref="L64" ca="1">_FV(table1[[#This Row],[DataField]],"Market cap",TRUE)</f>
        <v>19055849593</v>
      </c>
    </row>
    <row r="65" spans="1:12" x14ac:dyDescent="0.2">
      <c r="A65" t="e" vm="65">
        <v>#VALUE!</v>
      </c>
      <c r="B65" t="str" cm="1">
        <f t="array" aca="1" ref="B65" ca="1">_FV(table1[[#This Row],[DataField]],"Ticker symbol",TRUE)</f>
        <v>SWK</v>
      </c>
      <c r="C65">
        <v>1</v>
      </c>
      <c r="D65">
        <v>500</v>
      </c>
      <c r="E65">
        <v>40</v>
      </c>
      <c r="F65" s="2" cm="1">
        <f t="array" aca="1" ref="F65" ca="1">_FV(table1[[#This Row],[DataField]],"Price")</f>
        <v>67.2</v>
      </c>
      <c r="G65" s="2" cm="1">
        <f t="array" aca="1" ref="G65" ca="1">_FV(table1[[#This Row],[DataField]],"52 week low",TRUE)</f>
        <v>55.38</v>
      </c>
      <c r="H65" s="2" cm="1">
        <f t="array" aca="1" ref="H65" ca="1">_FV(table1[[#This Row],[DataField]],"52 week high",TRUE)</f>
        <v>93.37</v>
      </c>
      <c r="I65" s="4" cm="1">
        <f t="array" aca="1" ref="I65" ca="1">_FV(table1[[#This Row],[DataField]],"P/E",TRUE)</f>
        <v>25.398700000000002</v>
      </c>
      <c r="J65" s="2" t="str">
        <f ca="1">IF(table1[[#This Row],[Price]] &lt; (table1[[#This Row],[52Low]] * 0.25) + table1[[#This Row],[52Low]],  "TRUE", "FALSE")</f>
        <v>TRUE</v>
      </c>
      <c r="K65" s="7" t="str">
        <f ca="1">IF(table1[[#This Row],[Price]] &lt; (table1[[#This Row],[52Low]] * 0.1) + table1[[#This Row],[52Low]],  "TRUE", "FALSE")</f>
        <v>FALSE</v>
      </c>
      <c r="L65" s="6" cm="1">
        <f t="array" aca="1" ref="L65" ca="1">_FV(table1[[#This Row],[DataField]],"Market cap",TRUE)</f>
        <v>10435246080</v>
      </c>
    </row>
    <row r="66" spans="1:12" x14ac:dyDescent="0.2">
      <c r="A66" t="e" vm="66">
        <v>#VALUE!</v>
      </c>
      <c r="B66" t="str" cm="1">
        <f t="array" aca="1" ref="B66" ca="1">_FV(table1[[#This Row],[DataField]],"Ticker symbol",TRUE)</f>
        <v>WSO</v>
      </c>
      <c r="C66">
        <v>1</v>
      </c>
      <c r="E66">
        <v>40</v>
      </c>
      <c r="F66" s="2" cm="1">
        <f t="array" aca="1" ref="F66" ca="1">_FV(table1[[#This Row],[DataField]],"Price")</f>
        <v>407</v>
      </c>
      <c r="G66" s="2" cm="1">
        <f t="array" aca="1" ref="G66" ca="1">_FV(table1[[#This Row],[DataField]],"52 week low",TRUE)</f>
        <v>323.05</v>
      </c>
      <c r="H66" s="2" cm="1">
        <f t="array" aca="1" ref="H66" ca="1">_FV(table1[[#This Row],[DataField]],"52 week high",TRUE)</f>
        <v>518</v>
      </c>
      <c r="I66" s="4" cm="1">
        <f t="array" aca="1" ref="I66" ca="1">_FV(table1[[#This Row],[DataField]],"P/E",TRUE)</f>
        <v>33.6111</v>
      </c>
      <c r="J66" s="2" t="str">
        <f ca="1">IF(table1[[#This Row],[Price]] &lt; (table1[[#This Row],[52Low]] * 0.25) + table1[[#This Row],[52Low]],  "TRUE", "FALSE")</f>
        <v>FALSE</v>
      </c>
      <c r="K66" s="7" t="str">
        <f ca="1">IF(table1[[#This Row],[Price]] &lt; (table1[[#This Row],[52Low]] * 0.1) + table1[[#This Row],[52Low]],  "TRUE", "FALSE")</f>
        <v>FALSE</v>
      </c>
      <c r="L66" s="6" cm="1">
        <f t="array" aca="1" ref="L66" ca="1">_FV(table1[[#This Row],[DataField]],"Market cap",TRUE)</f>
        <v>16515677420</v>
      </c>
    </row>
    <row r="67" spans="1:12" x14ac:dyDescent="0.2">
      <c r="A67" t="e" vm="67">
        <v>#VALUE!</v>
      </c>
      <c r="B67" t="str" cm="1">
        <f t="array" aca="1" ref="B67" ca="1">_FV(table1[[#This Row],[DataField]],"Ticker symbol",TRUE)</f>
        <v>AOS</v>
      </c>
      <c r="C67">
        <v>1</v>
      </c>
      <c r="D67">
        <v>500</v>
      </c>
      <c r="E67">
        <v>40</v>
      </c>
      <c r="F67" s="2" cm="1">
        <f t="array" aca="1" ref="F67" ca="1">_FV(table1[[#This Row],[DataField]],"Price")</f>
        <v>62.8</v>
      </c>
      <c r="G67" s="2" cm="1">
        <f t="array" aca="1" ref="G67" ca="1">_FV(table1[[#This Row],[DataField]],"52 week low",TRUE)</f>
        <v>61.344999999999999</v>
      </c>
      <c r="H67" s="2" cm="1">
        <f t="array" aca="1" ref="H67" ca="1">_FV(table1[[#This Row],[DataField]],"52 week high",TRUE)</f>
        <v>81.864999999999995</v>
      </c>
      <c r="I67" s="4" cm="1">
        <f t="array" aca="1" ref="I67" ca="1">_FV(table1[[#This Row],[DataField]],"P/E",TRUE)</f>
        <v>16.3231</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8681459440</v>
      </c>
    </row>
    <row r="68" spans="1:12" x14ac:dyDescent="0.2">
      <c r="A68" t="e" vm="68">
        <v>#VALUE!</v>
      </c>
      <c r="B68" t="str" cm="1">
        <f t="array" aca="1" ref="B68" ca="1">_FV(table1[[#This Row],[DataField]],"Ticker symbol",TRUE)</f>
        <v>GD</v>
      </c>
      <c r="C68">
        <v>0</v>
      </c>
      <c r="D68">
        <v>500</v>
      </c>
      <c r="E68">
        <v>41</v>
      </c>
      <c r="F68" s="2" cm="1">
        <f t="array" aca="1" ref="F68" ca="1">_FV(table1[[#This Row],[DataField]],"Price")</f>
        <v>338.76409999999998</v>
      </c>
      <c r="G68" s="2" cm="1">
        <f t="array" aca="1" ref="G68" ca="1">_FV(table1[[#This Row],[DataField]],"52 week low",TRUE)</f>
        <v>262.83999999999997</v>
      </c>
      <c r="H68" s="2" cm="1">
        <f t="array" aca="1" ref="H68" ca="1">_FV(table1[[#This Row],[DataField]],"52 week high",TRUE)</f>
        <v>369.7</v>
      </c>
      <c r="I68" s="4" cm="1">
        <f t="array" aca="1" ref="I68" ca="1">_FV(table1[[#This Row],[DataField]],"P/E",TRUE)</f>
        <v>21.921099999999999</v>
      </c>
      <c r="J68" s="2" t="str">
        <f ca="1">IF(table1[[#This Row],[Price]] &lt; (table1[[#This Row],[52Low]] * 0.25) + table1[[#This Row],[52Low]],  "TRUE", "FALSE")</f>
        <v>FALSE</v>
      </c>
      <c r="K68" s="2" t="str">
        <f ca="1">IF(table1[[#This Row],[Price]] &lt; (table1[[#This Row],[52Low]] * 0.1) + table1[[#This Row],[52Low]],  "TRUE", "FALSE")</f>
        <v>FALSE</v>
      </c>
      <c r="L68" s="6" cm="1">
        <f t="array" aca="1" ref="L68" ca="1">_FV(table1[[#This Row],[DataField]],"Market cap",TRUE)</f>
        <v>91752867552</v>
      </c>
    </row>
    <row r="69" spans="1:12" x14ac:dyDescent="0.2">
      <c r="A69" t="e" vm="69">
        <v>#VALUE!</v>
      </c>
      <c r="B69" t="str" cm="1">
        <f t="array" aca="1" ref="B69" ca="1">_FV(table1[[#This Row],[DataField]],"Ticker symbol",TRUE)</f>
        <v>LMT</v>
      </c>
      <c r="C69">
        <v>0</v>
      </c>
      <c r="D69">
        <v>500</v>
      </c>
      <c r="E69">
        <v>41</v>
      </c>
      <c r="F69" s="2" cm="1">
        <f t="array" aca="1" ref="F69" ca="1">_FV(table1[[#This Row],[DataField]],"Price")</f>
        <v>609.24</v>
      </c>
      <c r="G69" s="2" cm="1">
        <f t="array" aca="1" ref="G69" ca="1">_FV(table1[[#This Row],[DataField]],"52 week low",TRUE)</f>
        <v>410.11</v>
      </c>
      <c r="H69" s="2" cm="1">
        <f t="array" aca="1" ref="H69" ca="1">_FV(table1[[#This Row],[DataField]],"52 week high",TRUE)</f>
        <v>692</v>
      </c>
      <c r="I69" s="4" cm="1">
        <f t="array" aca="1" ref="I69" ca="1">_FV(table1[[#This Row],[DataField]],"P/E",TRUE)</f>
        <v>28.3551</v>
      </c>
      <c r="J69" s="2" t="str">
        <f ca="1">IF(table1[[#This Row],[Price]] &lt; (table1[[#This Row],[52Low]] * 0.25) + table1[[#This Row],[52Low]],  "TRUE", "FALSE")</f>
        <v>FALSE</v>
      </c>
      <c r="K69" s="2" t="str">
        <f ca="1">IF(table1[[#This Row],[Price]] &lt; (table1[[#This Row],[52Low]] * 0.1) + table1[[#This Row],[52Low]],  "TRUE", "FALSE")</f>
        <v>FALSE</v>
      </c>
      <c r="L69" s="6" cm="1">
        <f t="array" aca="1" ref="L69" ca="1">_FV(table1[[#This Row],[DataField]],"Market cap",TRUE)</f>
        <v>140406729804</v>
      </c>
    </row>
    <row r="70" spans="1:12" x14ac:dyDescent="0.2">
      <c r="A70" t="e" vm="70">
        <v>#VALUE!</v>
      </c>
      <c r="B70" t="str" cm="1">
        <f t="array" aca="1" ref="B70" ca="1">_FV(table1[[#This Row],[DataField]],"Ticker symbol",TRUE)</f>
        <v>NOC</v>
      </c>
      <c r="C70">
        <v>1</v>
      </c>
      <c r="D70">
        <v>500</v>
      </c>
      <c r="E70">
        <v>41</v>
      </c>
      <c r="F70" s="2" cm="1">
        <f t="array" aca="1" ref="F70" ca="1">_FV(table1[[#This Row],[DataField]],"Price")</f>
        <v>678.67</v>
      </c>
      <c r="G70" s="2" cm="1">
        <f t="array" aca="1" ref="G70" ca="1">_FV(table1[[#This Row],[DataField]],"52 week low",TRUE)</f>
        <v>450.13</v>
      </c>
      <c r="H70" s="2" cm="1">
        <f t="array" aca="1" ref="H70" ca="1">_FV(table1[[#This Row],[DataField]],"52 week high",TRUE)</f>
        <v>774</v>
      </c>
      <c r="I70" s="4" cm="1">
        <f t="array" aca="1" ref="I70" ca="1">_FV(table1[[#This Row],[DataField]],"P/E",TRUE)</f>
        <v>23.336300000000001</v>
      </c>
      <c r="J70" s="2" t="str">
        <f ca="1">IF(table1[[#This Row],[Price]] &lt; (table1[[#This Row],[52Low]] * 0.25) + table1[[#This Row],[52Low]],  "TRUE", "FALSE")</f>
        <v>FALSE</v>
      </c>
      <c r="K70" s="2" t="str">
        <f ca="1">IF(table1[[#This Row],[Price]] &lt; (table1[[#This Row],[52Low]] * 0.1) + table1[[#This Row],[52Low]],  "TRUE", "FALSE")</f>
        <v>FALSE</v>
      </c>
      <c r="L70" s="6" cm="1">
        <f t="array" aca="1" ref="L70" ca="1">_FV(table1[[#This Row],[DataField]],"Market cap",TRUE)</f>
        <v>96393671844</v>
      </c>
    </row>
    <row r="71" spans="1:12" x14ac:dyDescent="0.2">
      <c r="A71" t="e" vm="71">
        <v>#VALUE!</v>
      </c>
      <c r="B71" t="str" cm="1">
        <f t="array" aca="1" ref="B71" ca="1">_FV(table1[[#This Row],[DataField]],"Ticker symbol",TRUE)</f>
        <v>RTX</v>
      </c>
      <c r="C71">
        <v>1</v>
      </c>
      <c r="D71">
        <v>500</v>
      </c>
      <c r="E71">
        <v>41</v>
      </c>
      <c r="F71" s="2" cm="1">
        <f t="array" aca="1" ref="F71" ca="1">_FV(table1[[#This Row],[DataField]],"Price")</f>
        <v>198.77</v>
      </c>
      <c r="G71" s="2" cm="1">
        <f t="array" aca="1" ref="G71" ca="1">_FV(table1[[#This Row],[DataField]],"52 week low",TRUE)</f>
        <v>112.63</v>
      </c>
      <c r="H71" s="2" cm="1">
        <f t="array" aca="1" ref="H71" ca="1">_FV(table1[[#This Row],[DataField]],"52 week high",TRUE)</f>
        <v>214.5</v>
      </c>
      <c r="I71" s="4" cm="1">
        <f t="array" aca="1" ref="I71" ca="1">_FV(table1[[#This Row],[DataField]],"P/E",TRUE)</f>
        <v>40.049599999999998</v>
      </c>
      <c r="J71" s="2" t="str">
        <f ca="1">IF(table1[[#This Row],[Price]] &lt; (table1[[#This Row],[52Low]] * 0.25) + table1[[#This Row],[52Low]],  "TRUE", "FALSE")</f>
        <v>FALSE</v>
      </c>
      <c r="K71" s="7" t="str">
        <f ca="1">IF(table1[[#This Row],[Price]] &lt; (table1[[#This Row],[52Low]] * 0.1) + table1[[#This Row],[52Low]],  "TRUE", "FALSE")</f>
        <v>FALSE</v>
      </c>
      <c r="L71" s="6" cm="1">
        <f t="array" aca="1" ref="L71" ca="1">_FV(table1[[#This Row],[DataField]],"Market cap",TRUE)</f>
        <v>267539251980</v>
      </c>
    </row>
    <row r="72" spans="1:12" x14ac:dyDescent="0.2">
      <c r="A72" t="e" vm="72">
        <v>#VALUE!</v>
      </c>
      <c r="B72" t="str" cm="1">
        <f t="array" aca="1" ref="B72" ca="1">_FV(table1[[#This Row],[DataField]],"Ticker symbol",TRUE)</f>
        <v>UNP</v>
      </c>
      <c r="C72">
        <v>1</v>
      </c>
      <c r="D72">
        <v>500</v>
      </c>
      <c r="E72">
        <v>42</v>
      </c>
      <c r="F72" s="2" cm="1">
        <f t="array" aca="1" ref="F72" ca="1">_FV(table1[[#This Row],[DataField]],"Price")</f>
        <v>249.15610000000001</v>
      </c>
      <c r="G72" s="2" cm="1">
        <f t="array" aca="1" ref="G72" ca="1">_FV(table1[[#This Row],[DataField]],"52 week low",TRUE)</f>
        <v>206.63</v>
      </c>
      <c r="H72" s="2" cm="1">
        <f t="array" aca="1" ref="H72" ca="1">_FV(table1[[#This Row],[DataField]],"52 week high",TRUE)</f>
        <v>268.14</v>
      </c>
      <c r="I72" s="4" cm="1">
        <f t="array" aca="1" ref="I72" ca="1">_FV(table1[[#This Row],[DataField]],"P/E",TRUE)</f>
        <v>20.791899999999998</v>
      </c>
      <c r="J72" s="2" t="str">
        <f ca="1">IF(table1[[#This Row],[Price]] &lt; (table1[[#This Row],[52Low]] * 0.25) + table1[[#This Row],[52Low]],  "TRUE", "FALSE")</f>
        <v>TRUE</v>
      </c>
      <c r="K72" s="2" t="str">
        <f ca="1">IF(table1[[#This Row],[Price]] &lt; (table1[[#This Row],[52Low]] * 0.1) + table1[[#This Row],[52Low]],  "TRUE", "FALSE")</f>
        <v>FALSE</v>
      </c>
      <c r="L72" s="6" cm="1">
        <f t="array" aca="1" ref="L72" ca="1">_FV(table1[[#This Row],[DataField]],"Market cap",TRUE)</f>
        <v>147918569882</v>
      </c>
    </row>
    <row r="73" spans="1:12" x14ac:dyDescent="0.2">
      <c r="A73" t="e" vm="73">
        <v>#VALUE!</v>
      </c>
      <c r="B73" t="str" cm="1">
        <f t="array" aca="1" ref="B73" ca="1">_FV(table1[[#This Row],[DataField]],"Ticker symbol",TRUE)</f>
        <v>FDX</v>
      </c>
      <c r="C73">
        <v>1</v>
      </c>
      <c r="D73">
        <v>500</v>
      </c>
      <c r="E73">
        <v>42</v>
      </c>
      <c r="F73" s="2" cm="1">
        <f t="array" aca="1" ref="F73" ca="1">_FV(table1[[#This Row],[DataField]],"Price")</f>
        <v>360.89</v>
      </c>
      <c r="G73" s="2" cm="1">
        <f t="array" aca="1" ref="G73" ca="1">_FV(table1[[#This Row],[DataField]],"52 week low",TRUE)</f>
        <v>201.03</v>
      </c>
      <c r="H73" s="2" cm="1">
        <f t="array" aca="1" ref="H73" ca="1">_FV(table1[[#This Row],[DataField]],"52 week high",TRUE)</f>
        <v>392.86</v>
      </c>
      <c r="I73" s="4" cm="1">
        <f t="array" aca="1" ref="I73" ca="1">_FV(table1[[#This Row],[DataField]],"P/E",TRUE)</f>
        <v>19.9222</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86110808052</v>
      </c>
    </row>
    <row r="74" spans="1:12" x14ac:dyDescent="0.2">
      <c r="A74" t="e" vm="74">
        <v>#VALUE!</v>
      </c>
      <c r="B74" t="str" cm="1">
        <f t="array" aca="1" ref="B74" ca="1">_FV(table1[[#This Row],[DataField]],"Ticker symbol",TRUE)</f>
        <v>UPS</v>
      </c>
      <c r="C74">
        <v>0</v>
      </c>
      <c r="D74">
        <v>500</v>
      </c>
      <c r="E74">
        <v>42</v>
      </c>
      <c r="F74" s="2" cm="1">
        <f t="array" aca="1" ref="F74" ca="1">_FV(table1[[#This Row],[DataField]],"Price")</f>
        <v>102.825</v>
      </c>
      <c r="G74" s="2" cm="1">
        <f t="array" aca="1" ref="G74" ca="1">_FV(table1[[#This Row],[DataField]],"52 week low",TRUE)</f>
        <v>82</v>
      </c>
      <c r="H74" s="2" cm="1">
        <f t="array" aca="1" ref="H74" ca="1">_FV(table1[[#This Row],[DataField]],"52 week high",TRUE)</f>
        <v>122.41</v>
      </c>
      <c r="I74" s="4" cm="1">
        <f t="array" aca="1" ref="I74" ca="1">_FV(table1[[#This Row],[DataField]],"P/E",TRUE)</f>
        <v>15.6736</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87367615942</v>
      </c>
    </row>
    <row r="75" spans="1:12" x14ac:dyDescent="0.2">
      <c r="A75" t="e" vm="75">
        <v>#VALUE!</v>
      </c>
      <c r="B75" t="str" cm="1">
        <f t="array" aca="1" ref="B75" ca="1">_FV(table1[[#This Row],[DataField]],"Ticker symbol",TRUE)</f>
        <v>CNI</v>
      </c>
      <c r="C75">
        <v>1</v>
      </c>
      <c r="E75">
        <v>42</v>
      </c>
      <c r="F75" s="2" cm="1">
        <f t="array" aca="1" ref="F75" ca="1">_FV(table1[[#This Row],[DataField]],"Price")</f>
        <v>110.16500000000001</v>
      </c>
      <c r="G75" s="2" cm="1">
        <f t="array" aca="1" ref="G75" ca="1">_FV(table1[[#This Row],[DataField]],"52 week low",TRUE)</f>
        <v>90.74</v>
      </c>
      <c r="H75" s="2" cm="1">
        <f t="array" aca="1" ref="H75" ca="1">_FV(table1[[#This Row],[DataField]],"52 week high",TRUE)</f>
        <v>113.08499999999999</v>
      </c>
      <c r="I75" s="4" cm="1">
        <f t="array" aca="1" ref="I75" ca="1">_FV(table1[[#This Row],[DataField]],"P/E",TRUE)</f>
        <v>19.978400000000001</v>
      </c>
      <c r="J75" s="2" t="str">
        <f ca="1">IF(table1[[#This Row],[Price]] &lt; (table1[[#This Row],[52Low]] * 0.25) + table1[[#This Row],[52Low]],  "TRUE", "FALSE")</f>
        <v>TRUE</v>
      </c>
      <c r="K75" s="2" t="str">
        <f ca="1">IF(table1[[#This Row],[Price]] &lt; (table1[[#This Row],[52Low]] * 0.1) + table1[[#This Row],[52Low]],  "TRUE", "FALSE")</f>
        <v>FALSE</v>
      </c>
      <c r="L75" s="6" cm="1">
        <f t="array" aca="1" ref="L75" ca="1">_FV(table1[[#This Row],[DataField]],"Market cap",TRUE)</f>
        <v>62014302000</v>
      </c>
    </row>
    <row r="76" spans="1:12" x14ac:dyDescent="0.2">
      <c r="A76" t="e" vm="76">
        <v>#VALUE!</v>
      </c>
      <c r="B76" t="str" cm="1">
        <f t="array" aca="1" ref="B76" ca="1">_FV(table1[[#This Row],[DataField]],"Ticker symbol",TRUE)</f>
        <v>CAT</v>
      </c>
      <c r="C76">
        <v>1</v>
      </c>
      <c r="D76">
        <v>500</v>
      </c>
      <c r="E76">
        <v>43</v>
      </c>
      <c r="F76" s="2" cm="1">
        <f t="array" aca="1" ref="F76" ca="1">_FV(table1[[#This Row],[DataField]],"Price")</f>
        <v>760.63</v>
      </c>
      <c r="G76" s="2" cm="1">
        <f t="array" aca="1" ref="G76" ca="1">_FV(table1[[#This Row],[DataField]],"52 week low",TRUE)</f>
        <v>282.4563</v>
      </c>
      <c r="H76" s="2" cm="1">
        <f t="array" aca="1" ref="H76" ca="1">_FV(table1[[#This Row],[DataField]],"52 week high",TRUE)</f>
        <v>798.54</v>
      </c>
      <c r="I76" s="4" cm="1">
        <f t="array" aca="1" ref="I76" ca="1">_FV(table1[[#This Row],[DataField]],"P/E",TRUE)</f>
        <v>40.402099999999997</v>
      </c>
      <c r="J76" s="2" t="str">
        <f ca="1">IF(table1[[#This Row],[Price]] &lt; (table1[[#This Row],[52Low]] * 0.25) + table1[[#This Row],[52Low]],  "TRUE", "FALSE")</f>
        <v>FALSE</v>
      </c>
      <c r="K76" s="2" t="str">
        <f ca="1">IF(table1[[#This Row],[Price]] &lt; (table1[[#This Row],[52Low]] * 0.1) + table1[[#This Row],[52Low]],  "TRUE", "FALSE")</f>
        <v>FALSE</v>
      </c>
      <c r="L76" s="6" cm="1">
        <f t="array" aca="1" ref="L76" ca="1">_FV(table1[[#This Row],[DataField]],"Market cap",TRUE)</f>
        <v>353911478999</v>
      </c>
    </row>
    <row r="77" spans="1:12" x14ac:dyDescent="0.2">
      <c r="A77" t="e" vm="77">
        <v>#VALUE!</v>
      </c>
      <c r="B77" t="str" cm="1">
        <f t="array" aca="1" ref="B77" ca="1">_FV(table1[[#This Row],[DataField]],"Ticker symbol",TRUE)</f>
        <v>DE</v>
      </c>
      <c r="C77">
        <v>1</v>
      </c>
      <c r="D77">
        <v>500</v>
      </c>
      <c r="E77">
        <v>43</v>
      </c>
      <c r="F77" s="2" cm="1">
        <f t="array" aca="1" ref="F77" ca="1">_FV(table1[[#This Row],[DataField]],"Price")</f>
        <v>574.82500000000005</v>
      </c>
      <c r="G77" s="2" cm="1">
        <f t="array" aca="1" ref="G77" ca="1">_FV(table1[[#This Row],[DataField]],"52 week low",TRUE)</f>
        <v>433</v>
      </c>
      <c r="H77" s="2" cm="1">
        <f t="array" aca="1" ref="H77" ca="1">_FV(table1[[#This Row],[DataField]],"52 week high",TRUE)</f>
        <v>674.18989999999997</v>
      </c>
      <c r="I77" s="4" cm="1">
        <f t="array" aca="1" ref="I77" ca="1">_FV(table1[[#This Row],[DataField]],"P/E",TRUE)</f>
        <v>32.408799999999999</v>
      </c>
      <c r="J77" s="2" t="str">
        <f ca="1">IF(table1[[#This Row],[Price]] &lt; (table1[[#This Row],[52Low]] * 0.25) + table1[[#This Row],[52Low]],  "TRUE", "FALSE")</f>
        <v>FALSE</v>
      </c>
      <c r="K77" s="2" t="str">
        <f ca="1">IF(table1[[#This Row],[Price]] &lt; (table1[[#This Row],[52Low]] * 0.1) + table1[[#This Row],[52Low]],  "TRUE", "FALSE")</f>
        <v>FALSE</v>
      </c>
      <c r="L77" s="6" cm="1">
        <f t="array" aca="1" ref="L77" ca="1">_FV(table1[[#This Row],[DataField]],"Market cap",TRUE)</f>
        <v>155264428722</v>
      </c>
    </row>
    <row r="78" spans="1:12" x14ac:dyDescent="0.2">
      <c r="A78" t="e" vm="78">
        <v>#VALUE!</v>
      </c>
      <c r="B78" t="str" cm="1">
        <f t="array" aca="1" ref="B78" ca="1">_FV(table1[[#This Row],[DataField]],"Ticker symbol",TRUE)</f>
        <v>ABBV</v>
      </c>
      <c r="C78">
        <v>1</v>
      </c>
      <c r="D78">
        <v>500</v>
      </c>
      <c r="E78">
        <v>50</v>
      </c>
      <c r="F78" s="2" cm="1">
        <f t="array" aca="1" ref="F78" ca="1">_FV(table1[[#This Row],[DataField]],"Price")</f>
        <v>207.315</v>
      </c>
      <c r="G78" s="2" cm="1">
        <f t="array" aca="1" ref="G78" ca="1">_FV(table1[[#This Row],[DataField]],"52 week low",TRUE)</f>
        <v>168.54</v>
      </c>
      <c r="H78" s="2" cm="1">
        <f t="array" aca="1" ref="H78" ca="1">_FV(table1[[#This Row],[DataField]],"52 week high",TRUE)</f>
        <v>244.81</v>
      </c>
      <c r="I78" s="4" cm="1">
        <f t="array" aca="1" ref="I78" ca="1">_FV(table1[[#This Row],[DataField]],"P/E",TRUE)</f>
        <v>87.834199999999996</v>
      </c>
      <c r="J78" s="2" t="str">
        <f ca="1">IF(table1[[#This Row],[Price]] &lt; (table1[[#This Row],[52Low]] * 0.25) + table1[[#This Row],[52Low]],  "TRUE", "FALSE")</f>
        <v>TRUE</v>
      </c>
      <c r="K78" s="2" t="str">
        <f ca="1">IF(table1[[#This Row],[Price]] &lt; (table1[[#This Row],[52Low]] * 0.1) + table1[[#This Row],[52Low]],  "TRUE", "FALSE")</f>
        <v>FALSE</v>
      </c>
      <c r="L78" s="6" cm="1">
        <f t="array" aca="1" ref="L78" ca="1">_FV(table1[[#This Row],[DataField]],"Market cap",TRUE)</f>
        <v>366690894030</v>
      </c>
    </row>
    <row r="79" spans="1:12" ht="18" customHeight="1" x14ac:dyDescent="0.2">
      <c r="A79" t="e" vm="79">
        <v>#VALUE!</v>
      </c>
      <c r="B79" t="str" cm="1">
        <f t="array" aca="1" ref="B79" ca="1">_FV(table1[[#This Row],[DataField]],"Ticker symbol",TRUE)</f>
        <v>ABT</v>
      </c>
      <c r="C79">
        <v>1</v>
      </c>
      <c r="D79">
        <v>500</v>
      </c>
      <c r="E79">
        <v>50</v>
      </c>
      <c r="F79" s="2" cm="1">
        <f t="array" aca="1" ref="F79" ca="1">_FV(table1[[#This Row],[DataField]],"Price")</f>
        <v>102.19</v>
      </c>
      <c r="G79" s="2" cm="1">
        <f t="array" aca="1" ref="G79" ca="1">_FV(table1[[#This Row],[DataField]],"52 week low",TRUE)</f>
        <v>99.05</v>
      </c>
      <c r="H79" s="2" cm="1">
        <f t="array" aca="1" ref="H79" ca="1">_FV(table1[[#This Row],[DataField]],"52 week high",TRUE)</f>
        <v>139.06</v>
      </c>
      <c r="I79" s="4" cm="1">
        <f t="array" aca="1" ref="I79" ca="1">_FV(table1[[#This Row],[DataField]],"P/E",TRUE)</f>
        <v>27.379899999999999</v>
      </c>
      <c r="J79" s="2" t="str">
        <f ca="1">IF(table1[[#This Row],[Price]] &lt; (table1[[#This Row],[52Low]] * 0.25) + table1[[#This Row],[52Low]],  "TRUE", "FALSE")</f>
        <v>TRUE</v>
      </c>
      <c r="K79" s="7" t="str">
        <f ca="1">IF(table1[[#This Row],[Price]] &lt; (table1[[#This Row],[52Low]] * 0.1) + table1[[#This Row],[52Low]],  "TRUE", "FALSE")</f>
        <v>TRUE</v>
      </c>
      <c r="L79" s="6" cm="1">
        <f t="array" aca="1" ref="L79" ca="1">_FV(table1[[#This Row],[DataField]],"Market cap",TRUE)</f>
        <v>177573008250</v>
      </c>
    </row>
    <row r="80" spans="1:12" x14ac:dyDescent="0.2">
      <c r="A80" t="e" vm="80">
        <v>#VALUE!</v>
      </c>
      <c r="B80" t="str" cm="1">
        <f t="array" aca="1" ref="B80" ca="1">_FV(table1[[#This Row],[DataField]],"Ticker symbol",TRUE)</f>
        <v>BDX</v>
      </c>
      <c r="C80">
        <v>1</v>
      </c>
      <c r="D80">
        <v>500</v>
      </c>
      <c r="E80">
        <v>50</v>
      </c>
      <c r="F80" s="2" cm="1">
        <f t="array" aca="1" ref="F80" ca="1">_FV(table1[[#This Row],[DataField]],"Price")</f>
        <v>155.03</v>
      </c>
      <c r="G80" s="2" cm="1">
        <f t="array" aca="1" ref="G80" ca="1">_FV(table1[[#This Row],[DataField]],"52 week low",TRUE)</f>
        <v>127.5364</v>
      </c>
      <c r="H80" s="2" cm="1">
        <f t="array" aca="1" ref="H80" ca="1">_FV(table1[[#This Row],[DataField]],"52 week high",TRUE)</f>
        <v>187.35</v>
      </c>
      <c r="I80" s="4" cm="1">
        <f t="array" aca="1" ref="I80" ca="1">_FV(table1[[#This Row],[DataField]],"P/E",TRUE)</f>
        <v>25.3429</v>
      </c>
      <c r="J80" s="2" t="str">
        <f ca="1">IF(table1[[#This Row],[Price]] &lt; (table1[[#This Row],[52Low]] * 0.25) + table1[[#This Row],[52Low]],  "TRUE", "FALSE")</f>
        <v>TRUE</v>
      </c>
      <c r="K80" s="7" t="str">
        <f ca="1">IF(table1[[#This Row],[Price]] &lt; (table1[[#This Row],[52Low]] * 0.1) + table1[[#This Row],[52Low]],  "TRUE", "FALSE")</f>
        <v>FALSE</v>
      </c>
      <c r="L80" s="6" cm="1">
        <f t="array" aca="1" ref="L80" ca="1">_FV(table1[[#This Row],[DataField]],"Market cap",TRUE)</f>
        <v>44143521254</v>
      </c>
    </row>
    <row r="81" spans="1:12" x14ac:dyDescent="0.2">
      <c r="A81" t="e" vm="81">
        <v>#VALUE!</v>
      </c>
      <c r="B81" t="str" cm="1">
        <f t="array" aca="1" ref="B81" ca="1">_FV(table1[[#This Row],[DataField]],"Ticker symbol",TRUE)</f>
        <v>BMY</v>
      </c>
      <c r="C81">
        <v>0</v>
      </c>
      <c r="D81">
        <v>500</v>
      </c>
      <c r="E81">
        <v>50</v>
      </c>
      <c r="F81" s="2" cm="1">
        <f t="array" aca="1" ref="F81" ca="1">_FV(table1[[#This Row],[DataField]],"Price")</f>
        <v>57.524999999999999</v>
      </c>
      <c r="G81" s="2" cm="1">
        <f t="array" aca="1" ref="G81" ca="1">_FV(table1[[#This Row],[DataField]],"52 week low",TRUE)</f>
        <v>42.52</v>
      </c>
      <c r="H81" s="2" cm="1">
        <f t="array" aca="1" ref="H81" ca="1">_FV(table1[[#This Row],[DataField]],"52 week high",TRUE)</f>
        <v>62.886400000000002</v>
      </c>
      <c r="I81" s="4" cm="1">
        <f t="array" aca="1" ref="I81" ca="1">_FV(table1[[#This Row],[DataField]],"P/E",TRUE)</f>
        <v>16.658899999999999</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117450805875</v>
      </c>
    </row>
    <row r="82" spans="1:12" x14ac:dyDescent="0.2">
      <c r="A82" t="e" vm="82">
        <v>#VALUE!</v>
      </c>
      <c r="B82" t="str" cm="1">
        <f t="array" aca="1" ref="B82" ca="1">_FV(table1[[#This Row],[DataField]],"Ticker symbol",TRUE)</f>
        <v>CVS</v>
      </c>
      <c r="C82">
        <v>0</v>
      </c>
      <c r="D82">
        <v>500</v>
      </c>
      <c r="E82">
        <v>50</v>
      </c>
      <c r="F82" s="2" cm="1">
        <f t="array" aca="1" ref="F82" ca="1">_FV(table1[[#This Row],[DataField]],"Price")</f>
        <v>75.36</v>
      </c>
      <c r="G82" s="2" cm="1">
        <f t="array" aca="1" ref="G82" ca="1">_FV(table1[[#This Row],[DataField]],"52 week low",TRUE)</f>
        <v>58.35</v>
      </c>
      <c r="H82" s="2" cm="1">
        <f t="array" aca="1" ref="H82" ca="1">_FV(table1[[#This Row],[DataField]],"52 week high",TRUE)</f>
        <v>85.15</v>
      </c>
      <c r="I82" s="4" cm="1">
        <f t="array" aca="1" ref="I82" ca="1">_FV(table1[[#This Row],[DataField]],"P/E",TRUE)</f>
        <v>55.107900000000001</v>
      </c>
      <c r="J82" s="2" t="str">
        <f ca="1">IF(table1[[#This Row],[Price]] &lt; (table1[[#This Row],[52Low]] * 0.25) + table1[[#This Row],[52Low]],  "TRUE", "FALSE")</f>
        <v>FALSE</v>
      </c>
      <c r="K82" s="2" t="str">
        <f ca="1">IF(table1[[#This Row],[Price]] &lt; (table1[[#This Row],[52Low]] * 0.1) + table1[[#This Row],[52Low]],  "TRUE", "FALSE")</f>
        <v>FALSE</v>
      </c>
      <c r="L82" s="6" cm="1">
        <f t="array" aca="1" ref="L82" ca="1">_FV(table1[[#This Row],[DataField]],"Market cap",TRUE)</f>
        <v>96581677440</v>
      </c>
    </row>
    <row r="83" spans="1:12" x14ac:dyDescent="0.2">
      <c r="A83" t="e" vm="83">
        <v>#VALUE!</v>
      </c>
      <c r="B83" t="str" cm="1">
        <f t="array" aca="1" ref="B83" ca="1">_FV(table1[[#This Row],[DataField]],"Ticker symbol",TRUE)</f>
        <v>JNJ</v>
      </c>
      <c r="C83">
        <v>0</v>
      </c>
      <c r="D83">
        <v>500</v>
      </c>
      <c r="E83">
        <v>50</v>
      </c>
      <c r="F83" s="2" cm="1">
        <f t="array" aca="1" ref="F83" ca="1">_FV(table1[[#This Row],[DataField]],"Price")</f>
        <v>237.57</v>
      </c>
      <c r="G83" s="2" cm="1">
        <f t="array" aca="1" ref="G83" ca="1">_FV(table1[[#This Row],[DataField]],"52 week low",TRUE)</f>
        <v>146.11500000000001</v>
      </c>
      <c r="H83" s="2" cm="1">
        <f t="array" aca="1" ref="H83" ca="1">_FV(table1[[#This Row],[DataField]],"52 week high",TRUE)</f>
        <v>251.71</v>
      </c>
      <c r="I83" s="4" cm="1">
        <f t="array" aca="1" ref="I83" ca="1">_FV(table1[[#This Row],[DataField]],"P/E",TRUE)</f>
        <v>21.514700000000001</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572214190410</v>
      </c>
    </row>
    <row r="84" spans="1:12" x14ac:dyDescent="0.2">
      <c r="A84" t="e" vm="84">
        <v>#VALUE!</v>
      </c>
      <c r="B84" t="str" cm="1">
        <f t="array" aca="1" ref="B84" ca="1">_FV(table1[[#This Row],[DataField]],"Ticker symbol",TRUE)</f>
        <v>LLY</v>
      </c>
      <c r="C84">
        <v>1</v>
      </c>
      <c r="D84">
        <v>500</v>
      </c>
      <c r="E84">
        <v>50</v>
      </c>
      <c r="F84" s="2" cm="1">
        <f t="array" aca="1" ref="F84" ca="1">_FV(table1[[#This Row],[DataField]],"Price")</f>
        <v>900.05</v>
      </c>
      <c r="G84" s="2" cm="1">
        <f t="array" aca="1" ref="G84" ca="1">_FV(table1[[#This Row],[DataField]],"52 week low",TRUE)</f>
        <v>623.78</v>
      </c>
      <c r="H84" s="2" cm="1">
        <f t="array" aca="1" ref="H84" ca="1">_FV(table1[[#This Row],[DataField]],"52 week high",TRUE)</f>
        <v>1133.95</v>
      </c>
      <c r="I84" s="4" cm="1">
        <f t="array" aca="1" ref="I84" ca="1">_FV(table1[[#This Row],[DataField]],"P/E",TRUE)</f>
        <v>39.206600000000002</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850384250945</v>
      </c>
    </row>
    <row r="85" spans="1:12" x14ac:dyDescent="0.2">
      <c r="A85" t="e" vm="85">
        <v>#VALUE!</v>
      </c>
      <c r="B85" t="str" cm="1">
        <f t="array" aca="1" ref="B85" ca="1">_FV(table1[[#This Row],[DataField]],"Ticker symbol",TRUE)</f>
        <v>MDT</v>
      </c>
      <c r="C85">
        <v>0</v>
      </c>
      <c r="D85">
        <v>500</v>
      </c>
      <c r="E85">
        <v>50</v>
      </c>
      <c r="F85" s="2" cm="1">
        <f t="array" aca="1" ref="F85" ca="1">_FV(table1[[#This Row],[DataField]],"Price")</f>
        <v>86.646199999999993</v>
      </c>
      <c r="G85" s="2" cm="1">
        <f t="array" aca="1" ref="G85" ca="1">_FV(table1[[#This Row],[DataField]],"52 week low",TRUE)</f>
        <v>79.930000000000007</v>
      </c>
      <c r="H85" s="2" cm="1">
        <f t="array" aca="1" ref="H85" ca="1">_FV(table1[[#This Row],[DataField]],"52 week high",TRUE)</f>
        <v>106.33</v>
      </c>
      <c r="I85" s="4" cm="1">
        <f t="array" aca="1" ref="I85" ca="1">_FV(table1[[#This Row],[DataField]],"P/E",TRUE)</f>
        <v>24.194700000000001</v>
      </c>
      <c r="J85" s="2" t="str">
        <f ca="1">IF(table1[[#This Row],[Price]] &lt; (table1[[#This Row],[52Low]] * 0.25) + table1[[#This Row],[52Low]],  "TRUE", "FALSE")</f>
        <v>TRUE</v>
      </c>
      <c r="K85" s="2" t="str">
        <f ca="1">IF(table1[[#This Row],[Price]] &lt; (table1[[#This Row],[52Low]] * 0.1) + table1[[#This Row],[52Low]],  "TRUE", "FALSE")</f>
        <v>TRUE</v>
      </c>
      <c r="L85" s="6" cm="1">
        <f t="array" aca="1" ref="L85" ca="1">_FV(table1[[#This Row],[DataField]],"Market cap",TRUE)</f>
        <v>111243756486</v>
      </c>
    </row>
    <row r="86" spans="1:12" x14ac:dyDescent="0.2">
      <c r="A86" t="e" vm="86">
        <v>#VALUE!</v>
      </c>
      <c r="B86" t="str" cm="1">
        <f t="array" aca="1" ref="B86" ca="1">_FV(table1[[#This Row],[DataField]],"Ticker symbol",TRUE)</f>
        <v>MRK</v>
      </c>
      <c r="C86">
        <v>1</v>
      </c>
      <c r="D86">
        <v>500</v>
      </c>
      <c r="E86">
        <v>50</v>
      </c>
      <c r="F86" s="2" cm="1">
        <f t="array" aca="1" ref="F86" ca="1">_FV(table1[[#This Row],[DataField]],"Price")</f>
        <v>117.81</v>
      </c>
      <c r="G86" s="2" cm="1">
        <f t="array" aca="1" ref="G86" ca="1">_FV(table1[[#This Row],[DataField]],"52 week low",TRUE)</f>
        <v>73.31</v>
      </c>
      <c r="H86" s="2" cm="1">
        <f t="array" aca="1" ref="H86" ca="1">_FV(table1[[#This Row],[DataField]],"52 week high",TRUE)</f>
        <v>125.14</v>
      </c>
      <c r="I86" s="4" cm="1">
        <f t="array" aca="1" ref="I86" ca="1">_FV(table1[[#This Row],[DataField]],"P/E",TRUE)</f>
        <v>16.191400000000002</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290976444990</v>
      </c>
    </row>
    <row r="87" spans="1:12" x14ac:dyDescent="0.2">
      <c r="A87" t="e" vm="87">
        <v>#VALUE!</v>
      </c>
      <c r="B87" t="str" cm="1">
        <f t="array" aca="1" ref="B87" ca="1">_FV(table1[[#This Row],[DataField]],"Ticker symbol",TRUE)</f>
        <v>PFE</v>
      </c>
      <c r="C87">
        <v>1</v>
      </c>
      <c r="D87">
        <v>500</v>
      </c>
      <c r="E87">
        <v>50</v>
      </c>
      <c r="F87" s="2" cm="1">
        <f t="array" aca="1" ref="F87" ca="1">_FV(table1[[#This Row],[DataField]],"Price")</f>
        <v>27.180199999999999</v>
      </c>
      <c r="G87" s="2" cm="1">
        <f t="array" aca="1" ref="G87" ca="1">_FV(table1[[#This Row],[DataField]],"52 week low",TRUE)</f>
        <v>21.87</v>
      </c>
      <c r="H87" s="2" cm="1">
        <f t="array" aca="1" ref="H87" ca="1">_FV(table1[[#This Row],[DataField]],"52 week high",TRUE)</f>
        <v>28.745000000000001</v>
      </c>
      <c r="I87" s="4" cm="1">
        <f t="array" aca="1" ref="I87" ca="1">_FV(table1[[#This Row],[DataField]],"P/E",TRUE)</f>
        <v>20.0459</v>
      </c>
      <c r="J87" s="2" t="str">
        <f ca="1">IF(table1[[#This Row],[Price]] &lt; (table1[[#This Row],[52Low]] * 0.25) + table1[[#This Row],[52Low]],  "TRUE", "FALSE")</f>
        <v>TRUE</v>
      </c>
      <c r="K87" s="2" t="str">
        <f ca="1">IF(table1[[#This Row],[Price]] &lt; (table1[[#This Row],[52Low]] * 0.1) + table1[[#This Row],[52Low]],  "TRUE", "FALSE")</f>
        <v>FALSE</v>
      </c>
      <c r="L87" s="6" cm="1">
        <f t="array" aca="1" ref="L87" ca="1">_FV(table1[[#This Row],[DataField]],"Market cap",TRUE)</f>
        <v>154610653751</v>
      </c>
    </row>
    <row r="88" spans="1:12" x14ac:dyDescent="0.2">
      <c r="A88" t="e" vm="88">
        <v>#VALUE!</v>
      </c>
      <c r="B88" t="str" cm="1">
        <f t="array" aca="1" ref="B88" ca="1">_FV(table1[[#This Row],[DataField]],"Ticker symbol",TRUE)</f>
        <v>UNH</v>
      </c>
      <c r="C88">
        <v>0</v>
      </c>
      <c r="D88">
        <v>500</v>
      </c>
      <c r="E88">
        <v>50</v>
      </c>
      <c r="F88" s="2" cm="1">
        <f t="array" aca="1" ref="F88" ca="1">_FV(table1[[#This Row],[DataField]],"Price")</f>
        <v>313.435</v>
      </c>
      <c r="G88" s="2" cm="1">
        <f t="array" aca="1" ref="G88" ca="1">_FV(table1[[#This Row],[DataField]],"52 week low",TRUE)</f>
        <v>234.6</v>
      </c>
      <c r="H88" s="2" cm="1">
        <f t="array" aca="1" ref="H88" ca="1">_FV(table1[[#This Row],[DataField]],"52 week high",TRUE)</f>
        <v>594.80999999999995</v>
      </c>
      <c r="I88" s="4" cm="1">
        <f t="array" aca="1" ref="I88" ca="1">_FV(table1[[#This Row],[DataField]],"P/E",TRUE)</f>
        <v>23.7562</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284497364373</v>
      </c>
    </row>
    <row r="89" spans="1:12" x14ac:dyDescent="0.2">
      <c r="A89" t="e" vm="89">
        <v>#VALUE!</v>
      </c>
      <c r="B89" t="str" cm="1">
        <f t="array" aca="1" ref="B89" ca="1">_FV(table1[[#This Row],[DataField]],"Ticker symbol",TRUE)</f>
        <v>WST</v>
      </c>
      <c r="C89">
        <v>1</v>
      </c>
      <c r="D89">
        <v>500</v>
      </c>
      <c r="E89">
        <v>50</v>
      </c>
      <c r="F89" s="2" cm="1">
        <f t="array" aca="1" ref="F89" ca="1">_FV(table1[[#This Row],[DataField]],"Price")</f>
        <v>267.32</v>
      </c>
      <c r="G89" s="2" cm="1">
        <f t="array" aca="1" ref="G89" ca="1">_FV(table1[[#This Row],[DataField]],"52 week low",TRUE)</f>
        <v>193.05</v>
      </c>
      <c r="H89" s="2" cm="1">
        <f t="array" aca="1" ref="H89" ca="1">_FV(table1[[#This Row],[DataField]],"52 week high",TRUE)</f>
        <v>322.33999999999997</v>
      </c>
      <c r="I89" s="4" cm="1">
        <f t="array" aca="1" ref="I89" ca="1">_FV(table1[[#This Row],[DataField]],"P/E",TRUE)</f>
        <v>39.349400000000003</v>
      </c>
      <c r="J89" s="2" t="str">
        <f ca="1">IF(table1[[#This Row],[Price]] &lt; (table1[[#This Row],[52Low]] * 0.25) + table1[[#This Row],[52Low]],  "TRUE", "FALSE")</f>
        <v>FALSE</v>
      </c>
      <c r="K89" s="7" t="str">
        <f ca="1">IF(table1[[#This Row],[Price]] &lt; (table1[[#This Row],[52Low]] * 0.1) + table1[[#This Row],[52Low]],  "TRUE", "FALSE")</f>
        <v>FALSE</v>
      </c>
      <c r="L89" s="6" cm="1">
        <f t="array" aca="1" ref="L89" ca="1">_FV(table1[[#This Row],[DataField]],"Market cap",TRUE)</f>
        <v>19268855985</v>
      </c>
    </row>
    <row r="90" spans="1:12" x14ac:dyDescent="0.2">
      <c r="A90" t="e" vm="90">
        <v>#VALUE!</v>
      </c>
      <c r="B90" t="str" cm="1">
        <f t="array" aca="1" ref="B90" ca="1">_FV(table1[[#This Row],[DataField]],"Ticker symbol",TRUE)</f>
        <v>ZTS</v>
      </c>
      <c r="C90">
        <v>1</v>
      </c>
      <c r="D90">
        <v>500</v>
      </c>
      <c r="E90">
        <v>50</v>
      </c>
      <c r="F90" s="2" cm="1">
        <f t="array" aca="1" ref="F90" ca="1">_FV(table1[[#This Row],[DataField]],"Price")</f>
        <v>121.11</v>
      </c>
      <c r="G90" s="2" cm="1">
        <f t="array" aca="1" ref="G90" ca="1">_FV(table1[[#This Row],[DataField]],"52 week low",TRUE)</f>
        <v>113.29</v>
      </c>
      <c r="H90" s="2" cm="1">
        <f t="array" aca="1" ref="H90" ca="1">_FV(table1[[#This Row],[DataField]],"52 week high",TRUE)</f>
        <v>172.23</v>
      </c>
      <c r="I90" s="4" cm="1">
        <f t="array" aca="1" ref="I90" ca="1">_FV(table1[[#This Row],[DataField]],"P/E",TRUE)</f>
        <v>20.1113</v>
      </c>
      <c r="J90" s="2" t="str">
        <f ca="1">IF(table1[[#This Row],[Price]] &lt; (table1[[#This Row],[52Low]] * 0.25) + table1[[#This Row],[52Low]],  "TRUE", "FALSE")</f>
        <v>TRUE</v>
      </c>
      <c r="K90" s="2" t="str">
        <f ca="1">IF(table1[[#This Row],[Price]] &lt; (table1[[#This Row],[52Low]] * 0.1) + table1[[#This Row],[52Low]],  "TRUE", "FALSE")</f>
        <v>TRUE</v>
      </c>
      <c r="L90" s="6" cm="1">
        <f t="array" aca="1" ref="L90" ca="1">_FV(table1[[#This Row],[DataField]],"Market cap",TRUE)</f>
        <v>50928838092</v>
      </c>
    </row>
    <row r="91" spans="1:12" x14ac:dyDescent="0.2">
      <c r="A91" t="e" vm="91">
        <v>#VALUE!</v>
      </c>
      <c r="B91" t="str" cm="1">
        <f t="array" aca="1" ref="B91" ca="1">_FV(table1[[#This Row],[DataField]],"Ticker symbol",TRUE)</f>
        <v>ADP</v>
      </c>
      <c r="C91">
        <v>0</v>
      </c>
      <c r="D91">
        <v>500</v>
      </c>
      <c r="E91">
        <v>60</v>
      </c>
      <c r="F91" s="2" cm="1">
        <f t="array" aca="1" ref="F91" ca="1">_FV(table1[[#This Row],[DataField]],"Price")</f>
        <v>197.52500000000001</v>
      </c>
      <c r="G91" s="2" cm="1">
        <f t="array" aca="1" ref="G91" ca="1">_FV(table1[[#This Row],[DataField]],"52 week low",TRUE)</f>
        <v>188.16</v>
      </c>
      <c r="H91" s="2" cm="1">
        <f t="array" aca="1" ref="H91" ca="1">_FV(table1[[#This Row],[DataField]],"52 week high",TRUE)</f>
        <v>329.92950000000002</v>
      </c>
      <c r="I91" s="4" cm="1">
        <f t="array" aca="1" ref="I91" ca="1">_FV(table1[[#This Row],[DataField]],"P/E",TRUE)</f>
        <v>18.974900000000002</v>
      </c>
      <c r="J91" s="2" t="str">
        <f ca="1">IF(table1[[#This Row],[Price]] &lt; (table1[[#This Row],[52Low]] * 0.25) + table1[[#This Row],[52Low]],  "TRUE", "FALSE")</f>
        <v>TRUE</v>
      </c>
      <c r="K91" s="2" t="str">
        <f ca="1">IF(table1[[#This Row],[Price]] &lt; (table1[[#This Row],[52Low]] * 0.1) + table1[[#This Row],[52Low]],  "TRUE", "FALSE")</f>
        <v>TRUE</v>
      </c>
      <c r="L91" s="6" cm="1">
        <f t="array" aca="1" ref="L91" ca="1">_FV(table1[[#This Row],[DataField]],"Market cap",TRUE)</f>
        <v>79532315357</v>
      </c>
    </row>
    <row r="92" spans="1:12" x14ac:dyDescent="0.2">
      <c r="A92" t="e" vm="92">
        <v>#VALUE!</v>
      </c>
      <c r="B92" t="str" cm="1">
        <f t="array" aca="1" ref="B92" ca="1">_FV(table1[[#This Row],[DataField]],"Ticker symbol",TRUE)</f>
        <v>MCO</v>
      </c>
      <c r="C92">
        <v>1</v>
      </c>
      <c r="D92">
        <v>500</v>
      </c>
      <c r="E92">
        <v>60</v>
      </c>
      <c r="F92" s="2" cm="1">
        <f t="array" aca="1" ref="F92" ca="1">_FV(table1[[#This Row],[DataField]],"Price")</f>
        <v>445.55500000000001</v>
      </c>
      <c r="G92" s="2" cm="1">
        <f t="array" aca="1" ref="G92" ca="1">_FV(table1[[#This Row],[DataField]],"52 week low",TRUE)</f>
        <v>402.28</v>
      </c>
      <c r="H92" s="2" cm="1">
        <f t="array" aca="1" ref="H92" ca="1">_FV(table1[[#This Row],[DataField]],"52 week high",TRUE)</f>
        <v>546.88</v>
      </c>
      <c r="I92" s="4" cm="1">
        <f t="array" aca="1" ref="I92" ca="1">_FV(table1[[#This Row],[DataField]],"P/E",TRUE)</f>
        <v>32.596699999999998</v>
      </c>
      <c r="J92" s="2" t="str">
        <f ca="1">IF(table1[[#This Row],[Price]] &lt; (table1[[#This Row],[52Low]] * 0.25) + table1[[#This Row],[52Low]],  "TRUE", "FALSE")</f>
        <v>TRUE</v>
      </c>
      <c r="K92" s="7" t="str">
        <f ca="1">IF(table1[[#This Row],[Price]] &lt; (table1[[#This Row],[52Low]] * 0.1) + table1[[#This Row],[52Low]],  "TRUE", "FALSE")</f>
        <v>FALSE</v>
      </c>
      <c r="L92" s="6" cm="1">
        <f t="array" aca="1" ref="L92" ca="1">_FV(table1[[#This Row],[DataField]],"Market cap",TRUE)</f>
        <v>79310527664</v>
      </c>
    </row>
    <row r="93" spans="1:12" x14ac:dyDescent="0.2">
      <c r="A93" t="e" vm="93">
        <v>#VALUE!</v>
      </c>
      <c r="B93" t="str" cm="1">
        <f t="array" aca="1" ref="B93" ca="1">_FV(table1[[#This Row],[DataField]],"Ticker symbol",TRUE)</f>
        <v>SPGI</v>
      </c>
      <c r="C93">
        <v>1</v>
      </c>
      <c r="D93">
        <v>500</v>
      </c>
      <c r="E93">
        <v>60</v>
      </c>
      <c r="F93" s="2" cm="1">
        <f t="array" aca="1" ref="F93" ca="1">_FV(table1[[#This Row],[DataField]],"Price")</f>
        <v>431.7</v>
      </c>
      <c r="G93" s="2" cm="1">
        <f t="array" aca="1" ref="G93" ca="1">_FV(table1[[#This Row],[DataField]],"52 week low",TRUE)</f>
        <v>381.60500000000002</v>
      </c>
      <c r="H93" s="2" cm="1">
        <f t="array" aca="1" ref="H93" ca="1">_FV(table1[[#This Row],[DataField]],"52 week high",TRUE)</f>
        <v>579.04999999999995</v>
      </c>
      <c r="I93" s="4" cm="1">
        <f t="array" aca="1" ref="I93" ca="1">_FV(table1[[#This Row],[DataField]],"P/E",TRUE)</f>
        <v>29.446899999999999</v>
      </c>
      <c r="J93" s="2" t="str">
        <f ca="1">IF(table1[[#This Row],[Price]] &lt; (table1[[#This Row],[52Low]] * 0.25) + table1[[#This Row],[52Low]],  "TRUE", "FALSE")</f>
        <v>TRUE</v>
      </c>
      <c r="K93" s="2" t="str">
        <f ca="1">IF(table1[[#This Row],[Price]] &lt; (table1[[#This Row],[52Low]] * 0.1) + table1[[#This Row],[52Low]],  "TRUE", "FALSE")</f>
        <v>FALSE</v>
      </c>
      <c r="L93" s="6" cm="1">
        <f t="array" aca="1" ref="L93" ca="1">_FV(table1[[#This Row],[DataField]],"Market cap",TRUE)</f>
        <v>130864199730</v>
      </c>
    </row>
    <row r="94" spans="1:12" x14ac:dyDescent="0.2">
      <c r="A94" t="e" vm="94">
        <v>#VALUE!</v>
      </c>
      <c r="B94" t="str" cm="1">
        <f t="array" aca="1" ref="B94" ca="1">_FV(table1[[#This Row],[DataField]],"Ticker symbol",TRUE)</f>
        <v>BLK</v>
      </c>
      <c r="C94">
        <v>0</v>
      </c>
      <c r="D94">
        <v>500</v>
      </c>
      <c r="E94">
        <v>61</v>
      </c>
      <c r="F94" s="2" cm="1">
        <f t="array" aca="1" ref="F94" ca="1">_FV(table1[[#This Row],[DataField]],"Price")</f>
        <v>1053.5</v>
      </c>
      <c r="G94" s="2" cm="1">
        <f t="array" aca="1" ref="G94" ca="1">_FV(table1[[#This Row],[DataField]],"52 week low",TRUE)</f>
        <v>845.82</v>
      </c>
      <c r="H94" s="2" cm="1">
        <f t="array" aca="1" ref="H94" ca="1">_FV(table1[[#This Row],[DataField]],"52 week high",TRUE)</f>
        <v>1219.9399000000001</v>
      </c>
      <c r="I94" s="4" cm="1">
        <f t="array" aca="1" ref="I94" ca="1">_FV(table1[[#This Row],[DataField]],"P/E",TRUE)</f>
        <v>30.398299999999999</v>
      </c>
      <c r="J94" s="2" t="str">
        <f ca="1">IF(table1[[#This Row],[Price]] &lt; (table1[[#This Row],[52Low]] * 0.25) + table1[[#This Row],[52Low]],  "TRUE", "FALSE")</f>
        <v>TRUE</v>
      </c>
      <c r="K94" s="2" t="str">
        <f ca="1">IF(table1[[#This Row],[Price]] &lt; (table1[[#This Row],[52Low]] * 0.1) + table1[[#This Row],[52Low]],  "TRUE", "FALSE")</f>
        <v>FALSE</v>
      </c>
      <c r="L94" s="6" cm="1">
        <f t="array" aca="1" ref="L94" ca="1">_FV(table1[[#This Row],[DataField]],"Market cap",TRUE)</f>
        <v>163676711450</v>
      </c>
    </row>
    <row r="95" spans="1:12" x14ac:dyDescent="0.2">
      <c r="A95" t="e" vm="95">
        <v>#VALUE!</v>
      </c>
      <c r="B95" t="str" cm="1">
        <f t="array" aca="1" ref="B95" ca="1">_FV(table1[[#This Row],[DataField]],"Ticker symbol",TRUE)</f>
        <v>SCHW</v>
      </c>
      <c r="C95">
        <v>1</v>
      </c>
      <c r="D95">
        <v>500</v>
      </c>
      <c r="E95">
        <v>61</v>
      </c>
      <c r="F95" s="2" cm="1">
        <f t="array" aca="1" ref="F95" ca="1">_FV(table1[[#This Row],[DataField]],"Price")</f>
        <v>99.724999999999994</v>
      </c>
      <c r="G95" s="2" cm="1">
        <f t="array" aca="1" ref="G95" ca="1">_FV(table1[[#This Row],[DataField]],"52 week low",TRUE)</f>
        <v>73.760000000000005</v>
      </c>
      <c r="H95" s="2" cm="1">
        <f t="array" aca="1" ref="H95" ca="1">_FV(table1[[#This Row],[DataField]],"52 week high",TRUE)</f>
        <v>107.5</v>
      </c>
      <c r="I95" s="4" cm="1">
        <f t="array" aca="1" ref="I95" ca="1">_FV(table1[[#This Row],[DataField]],"P/E",TRUE)</f>
        <v>21.3874</v>
      </c>
      <c r="J95" s="2" t="str">
        <f ca="1">IF(table1[[#This Row],[Price]] &lt; (table1[[#This Row],[52Low]] * 0.25) + table1[[#This Row],[52Low]],  "TRUE", "FALSE")</f>
        <v>FALSE</v>
      </c>
      <c r="K95" s="2" t="str">
        <f ca="1">IF(table1[[#This Row],[Price]] &lt; (table1[[#This Row],[52Low]] * 0.1) + table1[[#This Row],[52Low]],  "TRUE", "FALSE")</f>
        <v>FALSE</v>
      </c>
      <c r="L95" s="6" cm="1">
        <f t="array" aca="1" ref="L95" ca="1">_FV(table1[[#This Row],[DataField]],"Market cap",TRUE)</f>
        <v>173331922775</v>
      </c>
    </row>
    <row r="96" spans="1:12" x14ac:dyDescent="0.2">
      <c r="A96" t="e" vm="96">
        <v>#VALUE!</v>
      </c>
      <c r="B96" t="str" cm="1">
        <f t="array" aca="1" ref="B96" ca="1">_FV(table1[[#This Row],[DataField]],"Ticker symbol",TRUE)</f>
        <v>TROW</v>
      </c>
      <c r="C96">
        <v>0</v>
      </c>
      <c r="D96">
        <v>500</v>
      </c>
      <c r="E96">
        <v>61</v>
      </c>
      <c r="F96" s="2" cm="1">
        <f t="array" aca="1" ref="F96" ca="1">_FV(table1[[#This Row],[DataField]],"Price")</f>
        <v>95.986000000000004</v>
      </c>
      <c r="G96" s="2" cm="1">
        <f t="array" aca="1" ref="G96" ca="1">_FV(table1[[#This Row],[DataField]],"52 week low",TRUE)</f>
        <v>82.861000000000004</v>
      </c>
      <c r="H96" s="2" cm="1">
        <f t="array" aca="1" ref="H96" ca="1">_FV(table1[[#This Row],[DataField]],"52 week high",TRUE)</f>
        <v>118.22</v>
      </c>
      <c r="I96" s="4" cm="1">
        <f t="array" aca="1" ref="I96" ca="1">_FV(table1[[#This Row],[DataField]],"P/E",TRUE)</f>
        <v>10.3827</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20887119917</v>
      </c>
    </row>
    <row r="97" spans="1:12" x14ac:dyDescent="0.2">
      <c r="A97" t="e" vm="97">
        <v>#VALUE!</v>
      </c>
      <c r="B97" t="str" cm="1">
        <f t="array" aca="1" ref="B97" ca="1">_FV(table1[[#This Row],[DataField]],"Ticker symbol",TRUE)</f>
        <v>O</v>
      </c>
      <c r="C97">
        <v>0</v>
      </c>
      <c r="D97">
        <v>500</v>
      </c>
      <c r="E97">
        <v>81</v>
      </c>
      <c r="F97" s="2" cm="1">
        <f t="array" aca="1" ref="F97" ca="1">_FV(table1[[#This Row],[DataField]],"Price")</f>
        <v>63.74</v>
      </c>
      <c r="G97" s="2" cm="1">
        <f t="array" aca="1" ref="G97" ca="1">_FV(table1[[#This Row],[DataField]],"52 week low",TRUE)</f>
        <v>54.38</v>
      </c>
      <c r="H97" s="2" cm="1">
        <f t="array" aca="1" ref="H97" ca="1">_FV(table1[[#This Row],[DataField]],"52 week high",TRUE)</f>
        <v>67.935000000000002</v>
      </c>
      <c r="I97" s="4" cm="1">
        <f t="array" aca="1" ref="I97" ca="1">_FV(table1[[#This Row],[DataField]],"P/E",TRUE)</f>
        <v>54.7453</v>
      </c>
      <c r="J97" s="2" t="str">
        <f ca="1">IF(table1[[#This Row],[Price]] &lt; (table1[[#This Row],[52Low]] * 0.25) + table1[[#This Row],[52Low]],  "TRUE", "FALSE")</f>
        <v>TRUE</v>
      </c>
      <c r="K97" s="7" t="str">
        <f ca="1">IF(table1[[#This Row],[Price]] &lt; (table1[[#This Row],[52Low]] * 0.1) + table1[[#This Row],[52Low]],  "TRUE", "FALSE")</f>
        <v>FALSE</v>
      </c>
      <c r="L97" s="6" cm="1">
        <f t="array" aca="1" ref="L97" ca="1">_FV(table1[[#This Row],[DataField]],"Market cap",TRUE)</f>
        <v>59434401244</v>
      </c>
    </row>
    <row r="98" spans="1:12" x14ac:dyDescent="0.2">
      <c r="A98" t="e" vm="98">
        <v>#VALUE!</v>
      </c>
      <c r="B98" t="str" cm="1">
        <f t="array" aca="1" ref="B98" ca="1">_FV(table1[[#This Row],[DataField]],"Ticker symbol",TRUE)</f>
        <v>SPG</v>
      </c>
      <c r="C98">
        <v>0</v>
      </c>
      <c r="D98">
        <v>500</v>
      </c>
      <c r="E98">
        <v>81</v>
      </c>
      <c r="F98" s="2" cm="1">
        <f t="array" aca="1" ref="F98" ca="1">_FV(table1[[#This Row],[DataField]],"Price")</f>
        <v>200.87</v>
      </c>
      <c r="G98" s="2" cm="1">
        <f t="array" aca="1" ref="G98" ca="1">_FV(table1[[#This Row],[DataField]],"52 week low",TRUE)</f>
        <v>145.84</v>
      </c>
      <c r="H98" s="2" cm="1">
        <f t="array" aca="1" ref="H98" ca="1">_FV(table1[[#This Row],[DataField]],"52 week high",TRUE)</f>
        <v>205.11500000000001</v>
      </c>
      <c r="I98" s="4" cm="1">
        <f t="array" aca="1" ref="I98" ca="1">_FV(table1[[#This Row],[DataField]],"P/E",TRUE)</f>
        <v>14.1724</v>
      </c>
      <c r="J98" s="2" t="str">
        <f ca="1">IF(table1[[#This Row],[Price]] &lt; (table1[[#This Row],[52Low]] * 0.25) + table1[[#This Row],[52Low]],  "TRUE", "FALSE")</f>
        <v>FALSE</v>
      </c>
      <c r="K98" s="7" t="str">
        <f ca="1">IF(table1[[#This Row],[Price]] &lt; (table1[[#This Row],[52Low]] * 0.1) + table1[[#This Row],[52Low]],  "TRUE", "FALSE")</f>
        <v>FALSE</v>
      </c>
      <c r="L98" s="6" cm="1">
        <f t="array" aca="1" ref="L98" ca="1">_FV(table1[[#This Row],[DataField]],"Market cap",TRUE)</f>
        <v>65252257934</v>
      </c>
    </row>
    <row r="99" spans="1:12" x14ac:dyDescent="0.2">
      <c r="A99" t="e" vm="99">
        <v>#VALUE!</v>
      </c>
      <c r="B99" t="str" cm="1">
        <f t="array" aca="1" ref="B99" ca="1">_FV(table1[[#This Row],[DataField]],"Ticker symbol",TRUE)</f>
        <v>AMT</v>
      </c>
      <c r="C99">
        <v>1</v>
      </c>
      <c r="D99">
        <v>500</v>
      </c>
      <c r="E99">
        <v>82</v>
      </c>
      <c r="F99" s="2" cm="1">
        <f t="array" aca="1" ref="F99" ca="1">_FV(table1[[#This Row],[DataField]],"Price")</f>
        <v>178.14500000000001</v>
      </c>
      <c r="G99" s="2" cm="1">
        <f t="array" aca="1" ref="G99" ca="1">_FV(table1[[#This Row],[DataField]],"52 week low",TRUE)</f>
        <v>165.08</v>
      </c>
      <c r="H99" s="2" cm="1">
        <f t="array" aca="1" ref="H99" ca="1">_FV(table1[[#This Row],[DataField]],"52 week high",TRUE)</f>
        <v>234.33</v>
      </c>
      <c r="I99" s="4" cm="1">
        <f t="array" aca="1" ref="I99" ca="1">_FV(table1[[#This Row],[DataField]],"P/E",TRUE)</f>
        <v>33.01</v>
      </c>
      <c r="J99" s="2" t="str">
        <f ca="1">IF(table1[[#This Row],[Price]] &lt; (table1[[#This Row],[52Low]] * 0.25) + table1[[#This Row],[52Low]],  "TRUE", "FALSE")</f>
        <v>TRUE</v>
      </c>
      <c r="K99" s="7" t="str">
        <f ca="1">IF(table1[[#This Row],[Price]] &lt; (table1[[#This Row],[52Low]] * 0.1) + table1[[#This Row],[52Low]],  "TRUE", "FALSE")</f>
        <v>TRUE</v>
      </c>
      <c r="L99" s="6" cm="1">
        <f t="array" aca="1" ref="L99" ca="1">_FV(table1[[#This Row],[DataField]],"Market cap",TRUE)</f>
        <v>83081501464</v>
      </c>
    </row>
    <row r="100" spans="1:12" x14ac:dyDescent="0.2">
      <c r="A100" t="e" vm="100">
        <v>#VALUE!</v>
      </c>
      <c r="B100" t="str" cm="1">
        <f t="array" aca="1" ref="B100" ca="1">_FV(table1[[#This Row],[DataField]],"Ticker symbol",TRUE)</f>
        <v>CCI</v>
      </c>
      <c r="C100">
        <v>1</v>
      </c>
      <c r="D100">
        <v>500</v>
      </c>
      <c r="E100">
        <v>82</v>
      </c>
      <c r="F100" s="2" cm="1">
        <f t="array" aca="1" ref="F100" ca="1">_FV(table1[[#This Row],[DataField]],"Price")</f>
        <v>86.88</v>
      </c>
      <c r="G100" s="2" cm="1">
        <f t="array" aca="1" ref="G100" ca="1">_FV(table1[[#This Row],[DataField]],"52 week low",TRUE)</f>
        <v>75.959999999999994</v>
      </c>
      <c r="H100" s="2" cm="1">
        <f t="array" aca="1" ref="H100" ca="1">_FV(table1[[#This Row],[DataField]],"52 week high",TRUE)</f>
        <v>115.76</v>
      </c>
      <c r="I100" s="4" cm="1">
        <f t="array" aca="1" ref="I100" ca="1">_FV(table1[[#This Row],[DataField]],"P/E",TRUE)</f>
        <v>34.421599999999998</v>
      </c>
      <c r="J100" s="2" t="str">
        <f ca="1">IF(table1[[#This Row],[Price]] &lt; (table1[[#This Row],[52Low]] * 0.25) + table1[[#This Row],[52Low]],  "TRUE", "FALSE")</f>
        <v>TRUE</v>
      </c>
      <c r="K100" s="7" t="str">
        <f ca="1">IF(table1[[#This Row],[Price]] &lt; (table1[[#This Row],[52Low]] * 0.1) + table1[[#This Row],[52Low]],  "TRUE", "FALSE")</f>
        <v>FALSE</v>
      </c>
      <c r="L100" s="6" cm="1">
        <f t="array" aca="1" ref="L100" ca="1">_FV(table1[[#This Row],[DataField]],"Market cap",TRUE)</f>
        <v>37911591024</v>
      </c>
    </row>
    <row r="101" spans="1:12" x14ac:dyDescent="0.2">
      <c r="A101" t="e" vm="101">
        <v>#VALUE!</v>
      </c>
      <c r="B101" t="str" cm="1">
        <f t="array" aca="1" ref="B101" ca="1">_FV(table1[[#This Row],[DataField]],"Ticker symbol",TRUE)</f>
        <v>SBAC</v>
      </c>
      <c r="C101">
        <v>1</v>
      </c>
      <c r="D101">
        <v>500</v>
      </c>
      <c r="E101">
        <v>82</v>
      </c>
      <c r="F101" s="2" cm="1">
        <f t="array" aca="1" ref="F101" ca="1">_FV(table1[[#This Row],[DataField]],"Price")</f>
        <v>215.99</v>
      </c>
      <c r="G101" s="2" cm="1">
        <f t="array" aca="1" ref="G101" ca="1">_FV(table1[[#This Row],[DataField]],"52 week low",TRUE)</f>
        <v>162.41</v>
      </c>
      <c r="H101" s="2" cm="1">
        <f t="array" aca="1" ref="H101" ca="1">_FV(table1[[#This Row],[DataField]],"52 week high",TRUE)</f>
        <v>245.16</v>
      </c>
      <c r="I101" s="4" cm="1">
        <f t="array" aca="1" ref="I101" ca="1">_FV(table1[[#This Row],[DataField]],"P/E",TRUE)</f>
        <v>22.0185</v>
      </c>
      <c r="J101" s="2" t="str">
        <f ca="1">IF(table1[[#This Row],[Price]] &lt; (table1[[#This Row],[52Low]] * 0.25) + table1[[#This Row],[52Low]],  "TRUE", "FALSE")</f>
        <v>FALSE</v>
      </c>
      <c r="K101" s="7" t="str">
        <f ca="1">IF(table1[[#This Row],[Price]] &lt; (table1[[#This Row],[52Low]] * 0.1) + table1[[#This Row],[52Low]],  "TRUE", "FALSE")</f>
        <v>FALSE</v>
      </c>
      <c r="L101" s="6" cm="1">
        <f t="array" aca="1" ref="L101" ca="1">_FV(table1[[#This Row],[DataField]],"Market cap",TRUE)</f>
        <v>22908417776</v>
      </c>
    </row>
    <row r="102" spans="1:12" x14ac:dyDescent="0.2">
      <c r="A102" t="e" vm="102">
        <v>#VALUE!</v>
      </c>
      <c r="B102" t="str" cm="1">
        <f t="array" aca="1" ref="B102" ca="1">_FV(table1[[#This Row],[DataField]],"Ticker symbol",TRUE)</f>
        <v>COLD</v>
      </c>
      <c r="C102">
        <v>1</v>
      </c>
      <c r="D102">
        <v>500</v>
      </c>
      <c r="E102">
        <v>83</v>
      </c>
      <c r="F102" s="2" cm="1">
        <f t="array" aca="1" ref="F102" ca="1">_FV(table1[[#This Row],[DataField]],"Price")</f>
        <v>12.445</v>
      </c>
      <c r="G102" s="2" cm="1">
        <f t="array" aca="1" ref="G102" ca="1">_FV(table1[[#This Row],[DataField]],"52 week low",TRUE)</f>
        <v>10.1</v>
      </c>
      <c r="H102" s="2" cm="1">
        <f t="array" aca="1" ref="H102" ca="1">_FV(table1[[#This Row],[DataField]],"52 week high",TRUE)</f>
        <v>20.75</v>
      </c>
      <c r="I102" s="4" cm="1">
        <f t="array" aca="1" ref="I102" ca="1">_FV(table1[[#This Row],[DataField]],"P/E",TRUE)</f>
        <v>0</v>
      </c>
      <c r="J102" s="2" t="str">
        <f ca="1">IF(table1[[#This Row],[Price]] &lt; (table1[[#This Row],[52Low]] * 0.25) + table1[[#This Row],[52Low]],  "TRUE", "FALSE")</f>
        <v>TRUE</v>
      </c>
      <c r="K102" s="7" t="str">
        <f ca="1">IF(table1[[#This Row],[Price]] &lt; (table1[[#This Row],[52Low]] * 0.1) + table1[[#This Row],[52Low]],  "TRUE", "FALSE")</f>
        <v>FALSE</v>
      </c>
      <c r="L102" s="6" cm="1">
        <f t="array" aca="1" ref="L102" ca="1">_FV(table1[[#This Row],[DataField]],"Market cap",TRUE)</f>
        <v>3550495030</v>
      </c>
    </row>
    <row r="103" spans="1:12" x14ac:dyDescent="0.2">
      <c r="A103" t="e" vm="103">
        <v>#VALUE!</v>
      </c>
      <c r="B103" t="str" cm="1">
        <f t="array" aca="1" ref="B103" ca="1">_FV(table1[[#This Row],[DataField]],"Ticker symbol",TRUE)</f>
        <v>GLPI</v>
      </c>
      <c r="C103">
        <v>1</v>
      </c>
      <c r="E103">
        <v>84</v>
      </c>
      <c r="F103" s="2" cm="1">
        <f t="array" aca="1" ref="F103" ca="1">_FV(table1[[#This Row],[DataField]],"Price")</f>
        <v>46.795000000000002</v>
      </c>
      <c r="G103" s="2" cm="1">
        <f t="array" aca="1" ref="G103" ca="1">_FV(table1[[#This Row],[DataField]],"52 week low",TRUE)</f>
        <v>41.17</v>
      </c>
      <c r="H103" s="2" cm="1">
        <f t="array" aca="1" ref="H103" ca="1">_FV(table1[[#This Row],[DataField]],"52 week high",TRUE)</f>
        <v>50.31</v>
      </c>
      <c r="I103" s="4" cm="1">
        <f t="array" aca="1" ref="I103" ca="1">_FV(table1[[#This Row],[DataField]],"P/E",TRUE)</f>
        <v>15.9476</v>
      </c>
      <c r="J103" s="2" t="str">
        <f ca="1">IF(table1[[#This Row],[Price]] &lt; (table1[[#This Row],[52Low]] * 0.25) + table1[[#This Row],[52Low]],  "TRUE", "FALSE")</f>
        <v>TRUE</v>
      </c>
      <c r="K103" s="7" t="str">
        <f ca="1">IF(table1[[#This Row],[Price]] &lt; (table1[[#This Row],[52Low]] * 0.1) + table1[[#This Row],[52Low]],  "TRUE", "FALSE")</f>
        <v>FALSE</v>
      </c>
      <c r="L103" s="6" cm="1">
        <f t="array" aca="1" ref="L103" ca="1">_FV(table1[[#This Row],[DataField]],"Market cap",TRUE)</f>
        <v>13253364131</v>
      </c>
    </row>
    <row r="104" spans="1:12" x14ac:dyDescent="0.2">
      <c r="A104" t="e" vm="104">
        <v>#VALUE!</v>
      </c>
      <c r="B104" t="str" cm="1">
        <f t="array" aca="1" ref="B104" ca="1">_FV(table1[[#This Row],[DataField]],"Ticker symbol",TRUE)</f>
        <v>PK</v>
      </c>
      <c r="C104">
        <v>1</v>
      </c>
      <c r="E104">
        <v>84</v>
      </c>
      <c r="F104" s="2" cm="1">
        <f t="array" aca="1" ref="F104" ca="1">_FV(table1[[#This Row],[DataField]],"Price")</f>
        <v>11.375</v>
      </c>
      <c r="G104" s="2" cm="1">
        <f t="array" aca="1" ref="G104" ca="1">_FV(table1[[#This Row],[DataField]],"52 week low",TRUE)</f>
        <v>9.4700000000000006</v>
      </c>
      <c r="H104" s="2" cm="1">
        <f t="array" aca="1" ref="H104" ca="1">_FV(table1[[#This Row],[DataField]],"52 week high",TRUE)</f>
        <v>12.39</v>
      </c>
      <c r="I104" s="4" t="e" cm="1" vm="45">
        <f t="array" ref="I104">_FV(table1[[#This Row],[DataField]],"P/E",TRUE)</f>
        <v>#VALUE!</v>
      </c>
      <c r="J104" s="2" t="str">
        <f ca="1">IF(table1[[#This Row],[Price]] &lt; (table1[[#This Row],[52Low]] * 0.25) + table1[[#This Row],[52Low]],  "TRUE", "FALSE")</f>
        <v>TRUE</v>
      </c>
      <c r="K104" s="7" t="str">
        <f ca="1">IF(table1[[#This Row],[Price]] &lt; (table1[[#This Row],[52Low]] * 0.1) + table1[[#This Row],[52Low]],  "TRUE", "FALSE")</f>
        <v>FALSE</v>
      </c>
      <c r="L104" s="6" cm="1">
        <f t="array" aca="1" ref="L104" ca="1">_FV(table1[[#This Row],[DataField]],"Market cap",TRUE)</f>
        <v>2289293825</v>
      </c>
    </row>
    <row r="105" spans="1:12" x14ac:dyDescent="0.2">
      <c r="A105" t="e" vm="105">
        <v>#VALUE!</v>
      </c>
      <c r="B105" t="str" cm="1">
        <f t="array" aca="1" ref="B105" ca="1">_FV(table1[[#This Row],[DataField]],"Ticker symbol",TRUE)</f>
        <v>VICI</v>
      </c>
      <c r="C105">
        <v>0</v>
      </c>
      <c r="D105">
        <v>500</v>
      </c>
      <c r="E105">
        <v>84</v>
      </c>
      <c r="F105" s="2" cm="1">
        <f t="array" aca="1" ref="F105" ca="1">_FV(table1[[#This Row],[DataField]],"Price")</f>
        <v>28.28</v>
      </c>
      <c r="G105" s="2" cm="1">
        <f t="array" aca="1" ref="G105" ca="1">_FV(table1[[#This Row],[DataField]],"52 week low",TRUE)</f>
        <v>26.55</v>
      </c>
      <c r="H105" s="2" cm="1">
        <f t="array" aca="1" ref="H105" ca="1">_FV(table1[[#This Row],[DataField]],"52 week high",TRUE)</f>
        <v>34.01</v>
      </c>
      <c r="I105" s="4" cm="1">
        <f t="array" aca="1" ref="I105" ca="1">_FV(table1[[#This Row],[DataField]],"P/E",TRUE)</f>
        <v>10.827</v>
      </c>
      <c r="J105" s="2" t="str">
        <f ca="1">IF(table1[[#This Row],[Price]] &lt; (table1[[#This Row],[52Low]] * 0.25) + table1[[#This Row],[52Low]],  "TRUE", "FALSE")</f>
        <v>TRUE</v>
      </c>
      <c r="K105" s="7" t="str">
        <f ca="1">IF(table1[[#This Row],[Price]] &lt; (table1[[#This Row],[52Low]] * 0.1) + table1[[#This Row],[52Low]],  "TRUE", "FALSE")</f>
        <v>TRUE</v>
      </c>
      <c r="L105" s="6" cm="1">
        <f t="array" aca="1" ref="L105" ca="1">_FV(table1[[#This Row],[DataField]],"Market cap",TRUE)</f>
        <v>30231008920</v>
      </c>
    </row>
    <row r="106" spans="1:12" x14ac:dyDescent="0.2">
      <c r="A106" t="e" vm="106">
        <v>#VALUE!</v>
      </c>
      <c r="B106" t="str" cm="1">
        <f t="array" aca="1" ref="B106" ca="1">_FV(table1[[#This Row],[DataField]],"Ticker symbol",TRUE)</f>
        <v>IRM</v>
      </c>
      <c r="C106">
        <v>1</v>
      </c>
      <c r="D106">
        <v>500</v>
      </c>
      <c r="E106">
        <v>85</v>
      </c>
      <c r="F106" s="2" cm="1">
        <f t="array" aca="1" ref="F106" ca="1">_FV(table1[[#This Row],[DataField]],"Price")</f>
        <v>113.26</v>
      </c>
      <c r="G106" s="2" cm="1">
        <f t="array" aca="1" ref="G106" ca="1">_FV(table1[[#This Row],[DataField]],"52 week low",TRUE)</f>
        <v>77.77</v>
      </c>
      <c r="H106" s="2" cm="1">
        <f t="array" aca="1" ref="H106" ca="1">_FV(table1[[#This Row],[DataField]],"52 week high",TRUE)</f>
        <v>115.24</v>
      </c>
      <c r="I106" s="4" cm="1">
        <f t="array" aca="1" ref="I106" ca="1">_FV(table1[[#This Row],[DataField]],"P/E",TRUE)</f>
        <v>234.20179999999999</v>
      </c>
      <c r="J106" s="2" t="str">
        <f ca="1">IF(table1[[#This Row],[Price]] &lt; (table1[[#This Row],[52Low]] * 0.25) + table1[[#This Row],[52Low]],  "TRUE", "FALSE")</f>
        <v>FALSE</v>
      </c>
      <c r="K106" s="7" t="str">
        <f ca="1">IF(table1[[#This Row],[Price]] &lt; (table1[[#This Row],[52Low]] * 0.1) + table1[[#This Row],[52Low]],  "TRUE", "FALSE")</f>
        <v>FALSE</v>
      </c>
      <c r="L106" s="6" cm="1">
        <f t="array" aca="1" ref="L106" ca="1">_FV(table1[[#This Row],[DataField]],"Market cap",TRUE)</f>
        <v>33692448888</v>
      </c>
    </row>
    <row r="107" spans="1:12" x14ac:dyDescent="0.2">
      <c r="A107" t="e" vm="107">
        <v>#VALUE!</v>
      </c>
      <c r="B107" t="str" cm="1">
        <f t="array" aca="1" ref="B107" ca="1">_FV(table1[[#This Row],[DataField]],"Ticker symbol",TRUE)</f>
        <v>EQIX</v>
      </c>
      <c r="E107">
        <v>85</v>
      </c>
      <c r="F107" s="2" cm="1">
        <f t="array" aca="1" ref="F107" ca="1">_FV(table1[[#This Row],[DataField]],"Price")</f>
        <v>1047.43</v>
      </c>
      <c r="G107" s="2" cm="1">
        <f t="array" aca="1" ref="G107" ca="1">_FV(table1[[#This Row],[DataField]],"52 week low",TRUE)</f>
        <v>710.52</v>
      </c>
      <c r="H107" s="2" cm="1">
        <f t="array" aca="1" ref="H107" ca="1">_FV(table1[[#This Row],[DataField]],"52 week high",TRUE)</f>
        <v>1060.07</v>
      </c>
      <c r="I107" s="4" cm="1">
        <f t="array" aca="1" ref="I107" ca="1">_FV(table1[[#This Row],[DataField]],"P/E",TRUE)</f>
        <v>76.119200000000006</v>
      </c>
      <c r="J107" s="2" t="str">
        <f ca="1">IF(table1[[#This Row],[Price]] &lt; (table1[[#This Row],[52Low]] * 0.25) + table1[[#This Row],[52Low]],  "TRUE", "FALSE")</f>
        <v>FALSE</v>
      </c>
      <c r="K107" s="2" t="str">
        <f ca="1">IF(table1[[#This Row],[Price]] &lt; (table1[[#This Row],[52Low]] * 0.1) + table1[[#This Row],[52Low]],  "TRUE", "FALSE")</f>
        <v>FALSE</v>
      </c>
      <c r="L107" s="6" cm="1">
        <f t="array" aca="1" ref="L107" ca="1">_FV(table1[[#This Row],[DataField]],"Market cap",TRUE)</f>
        <v>103301202130</v>
      </c>
    </row>
    <row r="108" spans="1:12" x14ac:dyDescent="0.2">
      <c r="A108" t="e" vm="108">
        <v>#VALUE!</v>
      </c>
      <c r="B108" t="str" cm="1">
        <f t="array" aca="1" ref="B108" ca="1">_FV(table1[[#This Row],[DataField]],"Ticker symbol",TRUE)</f>
        <v>DLR</v>
      </c>
      <c r="D108">
        <v>500</v>
      </c>
      <c r="E108">
        <v>85</v>
      </c>
      <c r="F108" s="2" cm="1">
        <f t="array" aca="1" ref="F108" ca="1">_FV(table1[[#This Row],[DataField]],"Price")</f>
        <v>194.5</v>
      </c>
      <c r="G108" s="2" cm="1">
        <f t="array" aca="1" ref="G108" ca="1">_FV(table1[[#This Row],[DataField]],"52 week low",TRUE)</f>
        <v>143.83000000000001</v>
      </c>
      <c r="H108" s="2" cm="1">
        <f t="array" aca="1" ref="H108" ca="1">_FV(table1[[#This Row],[DataField]],"52 week high",TRUE)</f>
        <v>196.41</v>
      </c>
      <c r="I108" s="4" cm="1">
        <f t="array" aca="1" ref="I108" ca="1">_FV(table1[[#This Row],[DataField]],"P/E",TRUE)</f>
        <v>54.329599999999999</v>
      </c>
      <c r="J108" s="2" t="str">
        <f ca="1">IF(table1[[#This Row],[Price]] &lt; (table1[[#This Row],[52Low]] * 0.25) + table1[[#This Row],[52Low]],  "TRUE", "FALSE")</f>
        <v>FALSE</v>
      </c>
      <c r="K108" s="7" t="str">
        <f ca="1">IF(table1[[#This Row],[Price]] &lt; (table1[[#This Row],[52Low]] * 0.1) + table1[[#This Row],[52Low]],  "TRUE", "FALSE")</f>
        <v>FALSE</v>
      </c>
      <c r="L108" s="6" cm="1">
        <f t="array" aca="1" ref="L108" ca="1">_FV(table1[[#This Row],[DataField]],"Market cap",TRUE)</f>
        <v>66833195300</v>
      </c>
    </row>
  </sheetData>
  <phoneticPr fontId="2" type="noConversion"/>
  <conditionalFormatting sqref="B1:B1048576">
    <cfRule type="duplicateValues" dxfId="1" priority="1"/>
  </conditionalFormatting>
  <conditionalFormatting sqref="L83:L1048576 J1:K108">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2026-04-15T17:12:41Z</dcterms:modified>
</cp:coreProperties>
</file>