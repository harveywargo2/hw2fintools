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harveywargo/Desktop/GithubProjects/hw2fintools/hw2fintools/xlsx/"/>
    </mc:Choice>
  </mc:AlternateContent>
  <xr:revisionPtr revIDLastSave="0" documentId="13_ncr:1_{310A8BA9-EBFC-D44E-AE69-436FC8EC0EF8}" xr6:coauthVersionLast="47" xr6:coauthVersionMax="47" xr10:uidLastSave="{00000000-0000-0000-0000-000000000000}"/>
  <bookViews>
    <workbookView xWindow="0" yWindow="660" windowWidth="34560" windowHeight="21680" xr2:uid="{A7A7A1CB-6173-5346-A4FE-B7F4B1126E78}"/>
  </bookViews>
  <sheets>
    <sheet name="tab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 l="1" a="1"/>
  <c r="F34" i="1" s="1"/>
  <c r="F97" i="1" a="1"/>
  <c r="F97" i="1" s="1"/>
  <c r="F35" i="1" a="1"/>
  <c r="F35" i="1" s="1"/>
  <c r="F98" i="1" a="1"/>
  <c r="F98" i="1" s="1"/>
  <c r="F99" i="1" a="1"/>
  <c r="F99" i="1" s="1"/>
  <c r="F36" i="1" a="1"/>
  <c r="F36" i="1" s="1"/>
  <c r="F100" i="1" a="1"/>
  <c r="F100" i="1" s="1"/>
  <c r="F101" i="1" a="1"/>
  <c r="F101" i="1" s="1"/>
  <c r="F102" i="1" a="1"/>
  <c r="F102" i="1" s="1"/>
  <c r="B83" i="1" a="1"/>
  <c r="B83" i="1" s="1"/>
  <c r="F83" i="1" a="1"/>
  <c r="F83" i="1" s="1"/>
  <c r="G83" i="1" a="1"/>
  <c r="G83" i="1" s="1"/>
  <c r="H83" i="1" a="1"/>
  <c r="H83" i="1" s="1"/>
  <c r="I83" i="1" a="1"/>
  <c r="I83" i="1" s="1"/>
  <c r="L83" i="1" a="1"/>
  <c r="L83" i="1" s="1"/>
  <c r="B99" i="1" a="1"/>
  <c r="B99" i="1" s="1"/>
  <c r="G99" i="1" a="1"/>
  <c r="G99" i="1" s="1"/>
  <c r="H99" i="1" a="1"/>
  <c r="H99" i="1" s="1"/>
  <c r="I99" i="1" a="1"/>
  <c r="I99" i="1" s="1"/>
  <c r="L99" i="1" a="1"/>
  <c r="L99" i="1" s="1"/>
  <c r="B72" i="1" a="1"/>
  <c r="B72" i="1" s="1"/>
  <c r="F72" i="1" a="1"/>
  <c r="F72" i="1" s="1"/>
  <c r="G72" i="1" a="1"/>
  <c r="G72" i="1" s="1"/>
  <c r="H72" i="1" a="1"/>
  <c r="H72" i="1" s="1"/>
  <c r="I72" i="1" a="1"/>
  <c r="I72" i="1" s="1"/>
  <c r="L72" i="1" a="1"/>
  <c r="L72" i="1" s="1"/>
  <c r="B76" i="1" a="1"/>
  <c r="B76" i="1" s="1"/>
  <c r="F76" i="1" a="1"/>
  <c r="F76" i="1" s="1"/>
  <c r="G76" i="1" a="1"/>
  <c r="G76" i="1" s="1"/>
  <c r="H76" i="1" a="1"/>
  <c r="H76" i="1" s="1"/>
  <c r="I76" i="1" a="1"/>
  <c r="I76" i="1" s="1"/>
  <c r="L76" i="1" a="1"/>
  <c r="L76" i="1" s="1"/>
  <c r="B86" i="1" a="1"/>
  <c r="B86" i="1" s="1"/>
  <c r="F86" i="1" a="1"/>
  <c r="F86" i="1" s="1"/>
  <c r="G86" i="1" a="1"/>
  <c r="G86" i="1" s="1"/>
  <c r="H86" i="1" a="1"/>
  <c r="H86" i="1" s="1"/>
  <c r="I86" i="1" a="1"/>
  <c r="I86" i="1" s="1"/>
  <c r="L86" i="1" a="1"/>
  <c r="L86" i="1" s="1"/>
  <c r="B85" i="1" a="1"/>
  <c r="B85" i="1" s="1"/>
  <c r="F85" i="1" a="1"/>
  <c r="F85" i="1" s="1"/>
  <c r="G85" i="1" a="1"/>
  <c r="G85" i="1" s="1"/>
  <c r="H85" i="1" a="1"/>
  <c r="H85" i="1" s="1"/>
  <c r="I85" i="1" a="1"/>
  <c r="I85" i="1" s="1"/>
  <c r="L85" i="1" a="1"/>
  <c r="L85" i="1" s="1"/>
  <c r="B88" i="1" a="1"/>
  <c r="B88" i="1" s="1"/>
  <c r="F88" i="1" a="1"/>
  <c r="F88" i="1" s="1"/>
  <c r="G88" i="1" a="1"/>
  <c r="G88" i="1" s="1"/>
  <c r="H88" i="1" a="1"/>
  <c r="H88" i="1" s="1"/>
  <c r="I88" i="1" a="1"/>
  <c r="I88" i="1" s="1"/>
  <c r="L88" i="1" a="1"/>
  <c r="L88" i="1" s="1"/>
  <c r="B95" i="1" a="1"/>
  <c r="B95" i="1" s="1"/>
  <c r="F95" i="1" a="1"/>
  <c r="F95" i="1" s="1"/>
  <c r="G95" i="1" a="1"/>
  <c r="G95" i="1" s="1"/>
  <c r="H95" i="1" a="1"/>
  <c r="H95" i="1" s="1"/>
  <c r="I95" i="1" a="1"/>
  <c r="I95" i="1" s="1"/>
  <c r="L95" i="1" a="1"/>
  <c r="L95" i="1" s="1"/>
  <c r="I41" i="1" a="1"/>
  <c r="I41" i="1" s="1"/>
  <c r="I19" i="1" a="1"/>
  <c r="I19" i="1" s="1"/>
  <c r="I42" i="1" a="1"/>
  <c r="I42" i="1" s="1"/>
  <c r="I8" i="1" a="1"/>
  <c r="I8" i="1" s="1"/>
  <c r="I43" i="1" a="1"/>
  <c r="I43" i="1" s="1"/>
  <c r="I3" i="1" a="1"/>
  <c r="I3" i="1" s="1"/>
  <c r="I44" i="1" a="1"/>
  <c r="I44" i="1" s="1"/>
  <c r="I9" i="1" a="1"/>
  <c r="I9" i="1" s="1"/>
  <c r="I45" i="1" a="1"/>
  <c r="I45" i="1" s="1"/>
  <c r="I46" i="1" a="1"/>
  <c r="I46" i="1" s="1"/>
  <c r="I47" i="1" a="1"/>
  <c r="I47" i="1" s="1"/>
  <c r="I48" i="1" a="1"/>
  <c r="I48" i="1" s="1"/>
  <c r="I20" i="1" a="1"/>
  <c r="I20" i="1" s="1"/>
  <c r="I21" i="1" a="1"/>
  <c r="I21" i="1" s="1"/>
  <c r="I49" i="1" a="1"/>
  <c r="I49" i="1" s="1"/>
  <c r="I50" i="1" a="1"/>
  <c r="I50" i="1" s="1"/>
  <c r="I51" i="1" a="1"/>
  <c r="I51" i="1" s="1"/>
  <c r="I14" i="1" a="1"/>
  <c r="I14" i="1" s="1"/>
  <c r="I11" i="1" a="1"/>
  <c r="I11" i="1" s="1"/>
  <c r="I52" i="1" a="1"/>
  <c r="I52" i="1" s="1"/>
  <c r="I53" i="1" a="1"/>
  <c r="I53" i="1" s="1"/>
  <c r="I54" i="1" a="1"/>
  <c r="I54" i="1" s="1"/>
  <c r="I22" i="1" a="1"/>
  <c r="I22" i="1" s="1"/>
  <c r="I18" i="1" a="1"/>
  <c r="I18" i="1" s="1"/>
  <c r="I55" i="1" a="1"/>
  <c r="I55" i="1" s="1"/>
  <c r="I56" i="1" a="1"/>
  <c r="I56" i="1" s="1"/>
  <c r="I57" i="1" a="1"/>
  <c r="I57" i="1" s="1"/>
  <c r="I59" i="1" a="1"/>
  <c r="I59" i="1" s="1"/>
  <c r="I60" i="1" a="1"/>
  <c r="I60" i="1" s="1"/>
  <c r="I61" i="1" a="1"/>
  <c r="I61" i="1" s="1"/>
  <c r="I23" i="1" a="1"/>
  <c r="I23" i="1" s="1"/>
  <c r="I62" i="1" a="1"/>
  <c r="I62" i="1" s="1"/>
  <c r="I64" i="1" a="1"/>
  <c r="I64" i="1" s="1"/>
  <c r="I65" i="1" a="1"/>
  <c r="I65" i="1" s="1"/>
  <c r="I66" i="1" a="1"/>
  <c r="I66" i="1" s="1"/>
  <c r="I12" i="1" a="1"/>
  <c r="I12" i="1" s="1"/>
  <c r="I67" i="1" a="1"/>
  <c r="I67" i="1" s="1"/>
  <c r="I4" i="1" a="1"/>
  <c r="I4" i="1" s="1"/>
  <c r="I13" i="1" a="1"/>
  <c r="I13" i="1" s="1"/>
  <c r="I68" i="1" a="1"/>
  <c r="I68" i="1" s="1"/>
  <c r="I24" i="1" a="1"/>
  <c r="I24" i="1" s="1"/>
  <c r="I69" i="1" a="1"/>
  <c r="I69" i="1" s="1"/>
  <c r="I70" i="1" a="1"/>
  <c r="I70" i="1" s="1"/>
  <c r="I25" i="1" a="1"/>
  <c r="I25" i="1" s="1"/>
  <c r="I37" i="1" a="1"/>
  <c r="I37" i="1" s="1"/>
  <c r="I73" i="1" a="1"/>
  <c r="I73" i="1" s="1"/>
  <c r="I74" i="1" a="1"/>
  <c r="I74" i="1" s="1"/>
  <c r="I40" i="1" a="1"/>
  <c r="I40" i="1" s="1"/>
  <c r="I39" i="1" a="1"/>
  <c r="I39" i="1" s="1"/>
  <c r="I7" i="1" a="1"/>
  <c r="I7" i="1" s="1"/>
  <c r="I26" i="1" a="1"/>
  <c r="I26" i="1" s="1"/>
  <c r="I75" i="1" a="1"/>
  <c r="I75" i="1" s="1"/>
  <c r="I38" i="1" a="1"/>
  <c r="I38" i="1" s="1"/>
  <c r="I77" i="1" a="1"/>
  <c r="I77" i="1" s="1"/>
  <c r="I27" i="1" a="1"/>
  <c r="I27" i="1" s="1"/>
  <c r="I78" i="1" a="1"/>
  <c r="I78" i="1" s="1"/>
  <c r="I15" i="1" a="1"/>
  <c r="I15" i="1" s="1"/>
  <c r="I79" i="1" a="1"/>
  <c r="I79" i="1" s="1"/>
  <c r="I80" i="1" a="1"/>
  <c r="I80" i="1" s="1"/>
  <c r="I81" i="1" a="1"/>
  <c r="I81" i="1" s="1"/>
  <c r="I5" i="1" a="1"/>
  <c r="I5" i="1" s="1"/>
  <c r="I17" i="1" a="1"/>
  <c r="I17" i="1" s="1"/>
  <c r="I82" i="1" a="1"/>
  <c r="I82" i="1" s="1"/>
  <c r="I10" i="1" a="1"/>
  <c r="I10" i="1" s="1"/>
  <c r="I28" i="1" a="1"/>
  <c r="I28" i="1" s="1"/>
  <c r="I16" i="1" a="1"/>
  <c r="I16" i="1" s="1"/>
  <c r="I84" i="1" a="1"/>
  <c r="I84" i="1" s="1"/>
  <c r="I87" i="1" a="1"/>
  <c r="I87" i="1" s="1"/>
  <c r="I89" i="1" a="1"/>
  <c r="I89" i="1" s="1"/>
  <c r="I90" i="1" a="1"/>
  <c r="I90" i="1" s="1"/>
  <c r="I29" i="1" a="1"/>
  <c r="I29" i="1" s="1"/>
  <c r="I91" i="1" a="1"/>
  <c r="I91" i="1" s="1"/>
  <c r="I92" i="1" a="1"/>
  <c r="I92" i="1" s="1"/>
  <c r="I30" i="1" a="1"/>
  <c r="I30" i="1" s="1"/>
  <c r="I93" i="1" a="1"/>
  <c r="I93" i="1" s="1"/>
  <c r="I31" i="1" a="1"/>
  <c r="I31" i="1" s="1"/>
  <c r="I94" i="1" a="1"/>
  <c r="I94" i="1" s="1"/>
  <c r="I32" i="1" a="1"/>
  <c r="I32" i="1" s="1"/>
  <c r="I96" i="1" a="1"/>
  <c r="I96" i="1" s="1"/>
  <c r="I33" i="1" a="1"/>
  <c r="I33" i="1" s="1"/>
  <c r="I6" i="1" a="1"/>
  <c r="I6" i="1" s="1"/>
  <c r="I34" i="1" a="1"/>
  <c r="I34" i="1" s="1"/>
  <c r="I97" i="1" a="1"/>
  <c r="I97" i="1" s="1"/>
  <c r="I35" i="1" a="1"/>
  <c r="I35" i="1" s="1"/>
  <c r="I98" i="1" a="1"/>
  <c r="I98" i="1" s="1"/>
  <c r="I36" i="1" a="1"/>
  <c r="I36" i="1" s="1"/>
  <c r="I100" i="1" a="1"/>
  <c r="I100" i="1" s="1"/>
  <c r="I101" i="1" a="1"/>
  <c r="I101" i="1" s="1"/>
  <c r="I102" i="1" a="1"/>
  <c r="I102" i="1" s="1"/>
  <c r="I58" i="1" a="1"/>
  <c r="I58" i="1" s="1"/>
  <c r="I63" i="1" a="1"/>
  <c r="I63" i="1" s="1"/>
  <c r="I71" i="1" a="1"/>
  <c r="I71" i="1" s="1"/>
  <c r="I2" i="1" a="1"/>
  <c r="I2" i="1" s="1"/>
  <c r="B71" i="1" a="1"/>
  <c r="B71" i="1" s="1"/>
  <c r="F71" i="1" a="1"/>
  <c r="F71" i="1" s="1"/>
  <c r="G71" i="1" a="1"/>
  <c r="G71" i="1" s="1"/>
  <c r="H71" i="1" a="1"/>
  <c r="H71" i="1" s="1"/>
  <c r="L71" i="1" a="1"/>
  <c r="L71" i="1" s="1"/>
  <c r="B63" i="1" a="1"/>
  <c r="B63" i="1" s="1"/>
  <c r="F63" i="1" a="1"/>
  <c r="F63" i="1" s="1"/>
  <c r="G63" i="1" a="1"/>
  <c r="G63" i="1" s="1"/>
  <c r="H63" i="1" a="1"/>
  <c r="H63" i="1" s="1"/>
  <c r="L63" i="1" a="1"/>
  <c r="L63" i="1" s="1"/>
  <c r="B58" i="1" a="1"/>
  <c r="B58" i="1" s="1"/>
  <c r="F58" i="1" a="1"/>
  <c r="F58" i="1" s="1"/>
  <c r="G58" i="1" a="1"/>
  <c r="G58" i="1" s="1"/>
  <c r="H58" i="1" a="1"/>
  <c r="H58" i="1" s="1"/>
  <c r="L58" i="1" a="1"/>
  <c r="L58" i="1" s="1"/>
  <c r="B100" i="1" a="1"/>
  <c r="B100" i="1" s="1"/>
  <c r="G100" i="1" a="1"/>
  <c r="G100" i="1" s="1"/>
  <c r="H100" i="1" a="1"/>
  <c r="H100" i="1" s="1"/>
  <c r="L100" i="1" a="1"/>
  <c r="L100" i="1" s="1"/>
  <c r="B84" i="1" a="1"/>
  <c r="B84" i="1" s="1"/>
  <c r="F84" i="1" a="1"/>
  <c r="F84" i="1" s="1"/>
  <c r="G84" i="1" a="1"/>
  <c r="G84" i="1" s="1"/>
  <c r="H84" i="1" a="1"/>
  <c r="H84" i="1" s="1"/>
  <c r="L84" i="1" a="1"/>
  <c r="L84" i="1" s="1"/>
  <c r="B50" i="1" a="1"/>
  <c r="B50" i="1" s="1"/>
  <c r="F50" i="1" a="1"/>
  <c r="F50" i="1" s="1"/>
  <c r="G50" i="1" a="1"/>
  <c r="G50" i="1" s="1"/>
  <c r="H50" i="1" a="1"/>
  <c r="H50" i="1" s="1"/>
  <c r="L50" i="1" a="1"/>
  <c r="L50" i="1" s="1"/>
  <c r="B43" i="1" a="1"/>
  <c r="B43" i="1" s="1"/>
  <c r="F43" i="1" a="1"/>
  <c r="F43" i="1" s="1"/>
  <c r="G43" i="1" a="1"/>
  <c r="G43" i="1" s="1"/>
  <c r="H43" i="1" a="1"/>
  <c r="H43" i="1" s="1"/>
  <c r="L43" i="1" a="1"/>
  <c r="L43" i="1" s="1"/>
  <c r="B96" i="1" a="1"/>
  <c r="B96" i="1" s="1"/>
  <c r="F96" i="1" a="1"/>
  <c r="F96" i="1" s="1"/>
  <c r="G96" i="1" a="1"/>
  <c r="G96" i="1" s="1"/>
  <c r="H96" i="1" a="1"/>
  <c r="H96" i="1" s="1"/>
  <c r="L96" i="1" a="1"/>
  <c r="L96" i="1" s="1"/>
  <c r="B93" i="1" a="1"/>
  <c r="B93" i="1" s="1"/>
  <c r="F93" i="1" a="1"/>
  <c r="F93" i="1" s="1"/>
  <c r="G93" i="1" a="1"/>
  <c r="G93" i="1" s="1"/>
  <c r="H93" i="1" a="1"/>
  <c r="H93" i="1" s="1"/>
  <c r="L93" i="1" a="1"/>
  <c r="L93" i="1" s="1"/>
  <c r="B46" i="1" a="1"/>
  <c r="B46" i="1" s="1"/>
  <c r="F46" i="1" a="1"/>
  <c r="F46" i="1" s="1"/>
  <c r="G46" i="1" a="1"/>
  <c r="G46" i="1" s="1"/>
  <c r="H46" i="1" a="1"/>
  <c r="H46" i="1" s="1"/>
  <c r="L46" i="1" a="1"/>
  <c r="L46" i="1" s="1"/>
  <c r="B77" i="1" a="1"/>
  <c r="B77" i="1" s="1"/>
  <c r="F77" i="1" a="1"/>
  <c r="F77" i="1" s="1"/>
  <c r="G77" i="1" a="1"/>
  <c r="G77" i="1" s="1"/>
  <c r="H77" i="1" a="1"/>
  <c r="H77" i="1" s="1"/>
  <c r="L77" i="1" a="1"/>
  <c r="L77" i="1" s="1"/>
  <c r="B102" i="1" a="1"/>
  <c r="B102" i="1" s="1"/>
  <c r="G102" i="1" a="1"/>
  <c r="G102" i="1" s="1"/>
  <c r="H102" i="1" a="1"/>
  <c r="H102" i="1" s="1"/>
  <c r="L102" i="1" a="1"/>
  <c r="L102" i="1" s="1"/>
  <c r="B81" i="1" a="1"/>
  <c r="B81" i="1" s="1"/>
  <c r="F81" i="1" a="1"/>
  <c r="F81" i="1" s="1"/>
  <c r="G81" i="1" a="1"/>
  <c r="G81" i="1" s="1"/>
  <c r="H81" i="1" a="1"/>
  <c r="H81" i="1" s="1"/>
  <c r="L81" i="1" a="1"/>
  <c r="L81" i="1" s="1"/>
  <c r="B8" i="1" a="1"/>
  <c r="B8" i="1" s="1"/>
  <c r="F8" i="1" a="1"/>
  <c r="F8" i="1" s="1"/>
  <c r="G8" i="1" a="1"/>
  <c r="G8" i="1" s="1"/>
  <c r="H8" i="1" a="1"/>
  <c r="H8" i="1" s="1"/>
  <c r="L8" i="1" a="1"/>
  <c r="L8" i="1" s="1"/>
  <c r="B79" i="1" a="1"/>
  <c r="B79" i="1" s="1"/>
  <c r="F79" i="1" a="1"/>
  <c r="F79" i="1" s="1"/>
  <c r="G79" i="1" a="1"/>
  <c r="G79" i="1" s="1"/>
  <c r="H79" i="1" a="1"/>
  <c r="H79" i="1" s="1"/>
  <c r="L79" i="1" a="1"/>
  <c r="L79" i="1" s="1"/>
  <c r="B9" i="1" a="1"/>
  <c r="B9" i="1" s="1"/>
  <c r="F9" i="1" a="1"/>
  <c r="F9" i="1" s="1"/>
  <c r="G9" i="1" a="1"/>
  <c r="G9" i="1" s="1"/>
  <c r="H9" i="1" a="1"/>
  <c r="H9" i="1" s="1"/>
  <c r="L9" i="1" a="1"/>
  <c r="L9" i="1" s="1"/>
  <c r="B101" i="1" a="1"/>
  <c r="B101" i="1" s="1"/>
  <c r="G101" i="1" a="1"/>
  <c r="G101" i="1" s="1"/>
  <c r="H101" i="1" a="1"/>
  <c r="H101" i="1" s="1"/>
  <c r="L101" i="1" a="1"/>
  <c r="L101" i="1" s="1"/>
  <c r="B98" i="1" a="1"/>
  <c r="B98" i="1" s="1"/>
  <c r="G98" i="1" a="1"/>
  <c r="G98" i="1" s="1"/>
  <c r="H98" i="1" a="1"/>
  <c r="H98" i="1" s="1"/>
  <c r="L98" i="1" a="1"/>
  <c r="L98" i="1" s="1"/>
  <c r="B34" i="1" a="1"/>
  <c r="B34" i="1" s="1"/>
  <c r="G34" i="1" a="1"/>
  <c r="G34" i="1" s="1"/>
  <c r="H34" i="1" a="1"/>
  <c r="H34" i="1" s="1"/>
  <c r="L34" i="1" a="1"/>
  <c r="L34" i="1" s="1"/>
  <c r="B97" i="1" a="1"/>
  <c r="B97" i="1" s="1"/>
  <c r="G97" i="1" a="1"/>
  <c r="G97" i="1" s="1"/>
  <c r="H97" i="1" a="1"/>
  <c r="H97" i="1" s="1"/>
  <c r="L97" i="1" a="1"/>
  <c r="L97" i="1" s="1"/>
  <c r="B94" i="1" a="1"/>
  <c r="B94" i="1" s="1"/>
  <c r="F94" i="1" a="1"/>
  <c r="F94" i="1" s="1"/>
  <c r="G94" i="1" a="1"/>
  <c r="G94" i="1" s="1"/>
  <c r="H94" i="1" a="1"/>
  <c r="H94" i="1" s="1"/>
  <c r="L94" i="1" a="1"/>
  <c r="L94" i="1" s="1"/>
  <c r="B92" i="1" a="1"/>
  <c r="B92" i="1" s="1"/>
  <c r="F92" i="1" a="1"/>
  <c r="F92" i="1" s="1"/>
  <c r="G92" i="1" a="1"/>
  <c r="G92" i="1" s="1"/>
  <c r="H92" i="1" a="1"/>
  <c r="H92" i="1" s="1"/>
  <c r="L92" i="1" a="1"/>
  <c r="L92" i="1" s="1"/>
  <c r="B91" i="1" a="1"/>
  <c r="B91" i="1" s="1"/>
  <c r="F91" i="1" a="1"/>
  <c r="F91" i="1" s="1"/>
  <c r="G91" i="1" a="1"/>
  <c r="G91" i="1" s="1"/>
  <c r="H91" i="1" a="1"/>
  <c r="H91" i="1" s="1"/>
  <c r="L91" i="1" a="1"/>
  <c r="L91" i="1" s="1"/>
  <c r="B90" i="1" a="1"/>
  <c r="B90" i="1" s="1"/>
  <c r="F90" i="1" a="1"/>
  <c r="F90" i="1" s="1"/>
  <c r="G90" i="1" a="1"/>
  <c r="G90" i="1" s="1"/>
  <c r="H90" i="1" a="1"/>
  <c r="H90" i="1" s="1"/>
  <c r="L90" i="1" a="1"/>
  <c r="L90" i="1" s="1"/>
  <c r="B89" i="1" a="1"/>
  <c r="B89" i="1" s="1"/>
  <c r="F89" i="1" a="1"/>
  <c r="F89" i="1" s="1"/>
  <c r="G89" i="1" a="1"/>
  <c r="G89" i="1" s="1"/>
  <c r="H89" i="1" a="1"/>
  <c r="H89" i="1" s="1"/>
  <c r="L89" i="1" a="1"/>
  <c r="L89" i="1" s="1"/>
  <c r="B87" i="1" a="1"/>
  <c r="B87" i="1" s="1"/>
  <c r="F87" i="1" a="1"/>
  <c r="F87" i="1" s="1"/>
  <c r="G87" i="1" a="1"/>
  <c r="G87" i="1" s="1"/>
  <c r="H87" i="1" a="1"/>
  <c r="H87" i="1" s="1"/>
  <c r="L87" i="1" a="1"/>
  <c r="L87" i="1" s="1"/>
  <c r="B82" i="1" a="1"/>
  <c r="B82" i="1" s="1"/>
  <c r="F82" i="1" a="1"/>
  <c r="F82" i="1" s="1"/>
  <c r="G82" i="1" a="1"/>
  <c r="G82" i="1" s="1"/>
  <c r="H82" i="1" a="1"/>
  <c r="H82" i="1" s="1"/>
  <c r="L82" i="1" a="1"/>
  <c r="L82" i="1" s="1"/>
  <c r="B80" i="1" a="1"/>
  <c r="B80" i="1" s="1"/>
  <c r="F80" i="1" a="1"/>
  <c r="F80" i="1" s="1"/>
  <c r="G80" i="1" a="1"/>
  <c r="G80" i="1" s="1"/>
  <c r="H80" i="1" a="1"/>
  <c r="H80" i="1" s="1"/>
  <c r="L80" i="1" a="1"/>
  <c r="L80" i="1" s="1"/>
  <c r="B75" i="1" a="1"/>
  <c r="B75" i="1" s="1"/>
  <c r="F75" i="1" a="1"/>
  <c r="F75" i="1" s="1"/>
  <c r="G75" i="1" a="1"/>
  <c r="G75" i="1" s="1"/>
  <c r="H75" i="1" a="1"/>
  <c r="H75" i="1" s="1"/>
  <c r="L75" i="1" a="1"/>
  <c r="L75" i="1" s="1"/>
  <c r="B74" i="1" a="1"/>
  <c r="B74" i="1" s="1"/>
  <c r="F74" i="1" a="1"/>
  <c r="F74" i="1" s="1"/>
  <c r="G74" i="1" a="1"/>
  <c r="G74" i="1" s="1"/>
  <c r="H74" i="1" a="1"/>
  <c r="H74" i="1" s="1"/>
  <c r="L74" i="1" a="1"/>
  <c r="L74" i="1" s="1"/>
  <c r="B73" i="1" a="1"/>
  <c r="B73" i="1" s="1"/>
  <c r="F73" i="1" a="1"/>
  <c r="F73" i="1" s="1"/>
  <c r="G73" i="1" a="1"/>
  <c r="G73" i="1" s="1"/>
  <c r="H73" i="1" a="1"/>
  <c r="H73" i="1" s="1"/>
  <c r="L73" i="1" a="1"/>
  <c r="L73" i="1" s="1"/>
  <c r="B70" i="1" a="1"/>
  <c r="B70" i="1" s="1"/>
  <c r="F70" i="1" a="1"/>
  <c r="F70" i="1" s="1"/>
  <c r="G70" i="1" a="1"/>
  <c r="G70" i="1" s="1"/>
  <c r="H70" i="1" a="1"/>
  <c r="H70" i="1" s="1"/>
  <c r="L70" i="1" a="1"/>
  <c r="L70" i="1" s="1"/>
  <c r="B69" i="1" a="1"/>
  <c r="B69" i="1" s="1"/>
  <c r="F69" i="1" a="1"/>
  <c r="F69" i="1" s="1"/>
  <c r="G69" i="1" a="1"/>
  <c r="G69" i="1" s="1"/>
  <c r="H69" i="1" a="1"/>
  <c r="H69" i="1" s="1"/>
  <c r="L69" i="1" a="1"/>
  <c r="L69" i="1" s="1"/>
  <c r="B68" i="1" a="1"/>
  <c r="B68" i="1" s="1"/>
  <c r="F68" i="1" a="1"/>
  <c r="F68" i="1" s="1"/>
  <c r="G68" i="1" a="1"/>
  <c r="G68" i="1" s="1"/>
  <c r="H68" i="1" a="1"/>
  <c r="H68" i="1" s="1"/>
  <c r="L68" i="1" a="1"/>
  <c r="L68" i="1" s="1"/>
  <c r="B67" i="1" a="1"/>
  <c r="B67" i="1" s="1"/>
  <c r="F67" i="1" a="1"/>
  <c r="F67" i="1" s="1"/>
  <c r="G67" i="1" a="1"/>
  <c r="G67" i="1" s="1"/>
  <c r="H67" i="1" a="1"/>
  <c r="H67" i="1" s="1"/>
  <c r="L67" i="1" a="1"/>
  <c r="L67" i="1" s="1"/>
  <c r="B66" i="1" a="1"/>
  <c r="B66" i="1" s="1"/>
  <c r="F66" i="1" a="1"/>
  <c r="F66" i="1" s="1"/>
  <c r="G66" i="1" a="1"/>
  <c r="G66" i="1" s="1"/>
  <c r="H66" i="1" a="1"/>
  <c r="H66" i="1" s="1"/>
  <c r="L66" i="1" a="1"/>
  <c r="L66" i="1" s="1"/>
  <c r="B65" i="1" a="1"/>
  <c r="B65" i="1" s="1"/>
  <c r="F65" i="1" a="1"/>
  <c r="F65" i="1" s="1"/>
  <c r="G65" i="1" a="1"/>
  <c r="G65" i="1" s="1"/>
  <c r="H65" i="1" a="1"/>
  <c r="H65" i="1" s="1"/>
  <c r="L65" i="1" a="1"/>
  <c r="L65" i="1" s="1"/>
  <c r="B64" i="1" a="1"/>
  <c r="B64" i="1" s="1"/>
  <c r="F64" i="1" a="1"/>
  <c r="F64" i="1" s="1"/>
  <c r="G64" i="1" a="1"/>
  <c r="G64" i="1" s="1"/>
  <c r="H64" i="1" a="1"/>
  <c r="H64" i="1" s="1"/>
  <c r="L64" i="1" a="1"/>
  <c r="L64" i="1" s="1"/>
  <c r="B62" i="1" a="1"/>
  <c r="B62" i="1" s="1"/>
  <c r="F62" i="1" a="1"/>
  <c r="F62" i="1" s="1"/>
  <c r="G62" i="1" a="1"/>
  <c r="G62" i="1" s="1"/>
  <c r="H62" i="1" a="1"/>
  <c r="H62" i="1" s="1"/>
  <c r="L62" i="1" a="1"/>
  <c r="L62" i="1" s="1"/>
  <c r="B59" i="1" a="1"/>
  <c r="B59" i="1" s="1"/>
  <c r="F59" i="1" a="1"/>
  <c r="F59" i="1" s="1"/>
  <c r="G59" i="1" a="1"/>
  <c r="G59" i="1" s="1"/>
  <c r="H59" i="1" a="1"/>
  <c r="H59" i="1" s="1"/>
  <c r="L59" i="1" a="1"/>
  <c r="L59" i="1" s="1"/>
  <c r="B57" i="1" a="1"/>
  <c r="B57" i="1" s="1"/>
  <c r="F57" i="1" a="1"/>
  <c r="F57" i="1" s="1"/>
  <c r="G57" i="1" a="1"/>
  <c r="G57" i="1" s="1"/>
  <c r="H57" i="1" a="1"/>
  <c r="H57" i="1" s="1"/>
  <c r="L57" i="1" a="1"/>
  <c r="L57" i="1" s="1"/>
  <c r="B61" i="1" a="1"/>
  <c r="B61" i="1" s="1"/>
  <c r="F61" i="1" a="1"/>
  <c r="F61" i="1" s="1"/>
  <c r="G61" i="1" a="1"/>
  <c r="G61" i="1" s="1"/>
  <c r="H61" i="1" a="1"/>
  <c r="H61" i="1" s="1"/>
  <c r="L61" i="1" a="1"/>
  <c r="L61" i="1" s="1"/>
  <c r="B60" i="1" a="1"/>
  <c r="B60" i="1" s="1"/>
  <c r="F60" i="1" a="1"/>
  <c r="F60" i="1" s="1"/>
  <c r="G60" i="1" a="1"/>
  <c r="G60" i="1" s="1"/>
  <c r="H60" i="1" a="1"/>
  <c r="H60" i="1" s="1"/>
  <c r="L60" i="1" a="1"/>
  <c r="L60" i="1" s="1"/>
  <c r="B56" i="1" a="1"/>
  <c r="B56" i="1" s="1"/>
  <c r="F56" i="1" a="1"/>
  <c r="F56" i="1" s="1"/>
  <c r="G56" i="1" a="1"/>
  <c r="G56" i="1" s="1"/>
  <c r="H56" i="1" a="1"/>
  <c r="H56" i="1" s="1"/>
  <c r="L56" i="1" a="1"/>
  <c r="L56" i="1" s="1"/>
  <c r="B55" i="1" a="1"/>
  <c r="B55" i="1" s="1"/>
  <c r="F55" i="1" a="1"/>
  <c r="F55" i="1" s="1"/>
  <c r="G55" i="1" a="1"/>
  <c r="G55" i="1" s="1"/>
  <c r="H55" i="1" a="1"/>
  <c r="H55" i="1" s="1"/>
  <c r="L55" i="1" a="1"/>
  <c r="L55" i="1" s="1"/>
  <c r="B54" i="1" a="1"/>
  <c r="B54" i="1" s="1"/>
  <c r="F54" i="1" a="1"/>
  <c r="F54" i="1" s="1"/>
  <c r="G54" i="1" a="1"/>
  <c r="G54" i="1" s="1"/>
  <c r="H54" i="1" a="1"/>
  <c r="H54" i="1" s="1"/>
  <c r="L54" i="1" a="1"/>
  <c r="L54" i="1" s="1"/>
  <c r="B53" i="1" a="1"/>
  <c r="B53" i="1" s="1"/>
  <c r="F53" i="1" a="1"/>
  <c r="F53" i="1" s="1"/>
  <c r="G53" i="1" a="1"/>
  <c r="G53" i="1" s="1"/>
  <c r="H53" i="1" a="1"/>
  <c r="H53" i="1" s="1"/>
  <c r="L53" i="1" a="1"/>
  <c r="L53" i="1" s="1"/>
  <c r="B52" i="1" a="1"/>
  <c r="B52" i="1" s="1"/>
  <c r="F52" i="1" a="1"/>
  <c r="F52" i="1" s="1"/>
  <c r="G52" i="1" a="1"/>
  <c r="G52" i="1" s="1"/>
  <c r="H52" i="1" a="1"/>
  <c r="H52" i="1" s="1"/>
  <c r="L52" i="1" a="1"/>
  <c r="L52" i="1" s="1"/>
  <c r="B51" i="1" a="1"/>
  <c r="B51" i="1" s="1"/>
  <c r="F51" i="1" a="1"/>
  <c r="F51" i="1" s="1"/>
  <c r="G51" i="1" a="1"/>
  <c r="G51" i="1" s="1"/>
  <c r="H51" i="1" a="1"/>
  <c r="H51" i="1" s="1"/>
  <c r="L51" i="1" a="1"/>
  <c r="L51" i="1" s="1"/>
  <c r="B49" i="1" a="1"/>
  <c r="B49" i="1" s="1"/>
  <c r="F49" i="1" a="1"/>
  <c r="F49" i="1" s="1"/>
  <c r="G49" i="1" a="1"/>
  <c r="G49" i="1" s="1"/>
  <c r="H49" i="1" a="1"/>
  <c r="H49" i="1" s="1"/>
  <c r="L49" i="1" a="1"/>
  <c r="L49" i="1" s="1"/>
  <c r="B48" i="1" a="1"/>
  <c r="B48" i="1" s="1"/>
  <c r="F48" i="1" a="1"/>
  <c r="F48" i="1" s="1"/>
  <c r="G48" i="1" a="1"/>
  <c r="G48" i="1" s="1"/>
  <c r="H48" i="1" a="1"/>
  <c r="H48" i="1" s="1"/>
  <c r="L48" i="1" a="1"/>
  <c r="L48" i="1" s="1"/>
  <c r="B47" i="1" a="1"/>
  <c r="B47" i="1" s="1"/>
  <c r="F47" i="1" a="1"/>
  <c r="F47" i="1" s="1"/>
  <c r="G47" i="1" a="1"/>
  <c r="G47" i="1" s="1"/>
  <c r="H47" i="1" a="1"/>
  <c r="H47" i="1" s="1"/>
  <c r="L47" i="1" a="1"/>
  <c r="L47" i="1" s="1"/>
  <c r="B45" i="1" a="1"/>
  <c r="B45" i="1" s="1"/>
  <c r="F45" i="1" a="1"/>
  <c r="F45" i="1" s="1"/>
  <c r="G45" i="1" a="1"/>
  <c r="G45" i="1" s="1"/>
  <c r="H45" i="1" a="1"/>
  <c r="H45" i="1" s="1"/>
  <c r="L45" i="1" a="1"/>
  <c r="L45" i="1" s="1"/>
  <c r="B44" i="1" a="1"/>
  <c r="B44" i="1" s="1"/>
  <c r="F44" i="1" a="1"/>
  <c r="F44" i="1" s="1"/>
  <c r="G44" i="1" a="1"/>
  <c r="G44" i="1" s="1"/>
  <c r="H44" i="1" a="1"/>
  <c r="H44" i="1" s="1"/>
  <c r="L44" i="1" a="1"/>
  <c r="L44" i="1" s="1"/>
  <c r="B42" i="1" a="1"/>
  <c r="B42" i="1" s="1"/>
  <c r="F42" i="1" a="1"/>
  <c r="F42" i="1" s="1"/>
  <c r="G42" i="1" a="1"/>
  <c r="G42" i="1" s="1"/>
  <c r="H42" i="1" a="1"/>
  <c r="H42" i="1" s="1"/>
  <c r="L42" i="1" a="1"/>
  <c r="L42" i="1" s="1"/>
  <c r="B41" i="1" a="1"/>
  <c r="B41" i="1" s="1"/>
  <c r="F41" i="1" a="1"/>
  <c r="F41" i="1" s="1"/>
  <c r="G41" i="1" a="1"/>
  <c r="G41" i="1" s="1"/>
  <c r="H41" i="1" a="1"/>
  <c r="H41" i="1" s="1"/>
  <c r="L41" i="1" a="1"/>
  <c r="L41" i="1" s="1"/>
  <c r="J99" i="1" l="1"/>
  <c r="J83" i="1"/>
  <c r="K83" i="1"/>
  <c r="K99" i="1"/>
  <c r="J72" i="1"/>
  <c r="J76" i="1"/>
  <c r="K72" i="1"/>
  <c r="K76" i="1"/>
  <c r="J86" i="1"/>
  <c r="K86" i="1"/>
  <c r="K85" i="1"/>
  <c r="J88" i="1"/>
  <c r="J85" i="1"/>
  <c r="J95" i="1"/>
  <c r="K88" i="1"/>
  <c r="K95" i="1"/>
  <c r="J71" i="1"/>
  <c r="K71" i="1"/>
  <c r="J63" i="1"/>
  <c r="J58" i="1"/>
  <c r="K63" i="1"/>
  <c r="K58" i="1"/>
  <c r="J100" i="1"/>
  <c r="K100" i="1"/>
  <c r="J84" i="1"/>
  <c r="K84" i="1"/>
  <c r="J50" i="1"/>
  <c r="K50" i="1"/>
  <c r="J43" i="1"/>
  <c r="K96" i="1"/>
  <c r="K43" i="1"/>
  <c r="J96" i="1"/>
  <c r="J93" i="1"/>
  <c r="K93" i="1"/>
  <c r="J46" i="1"/>
  <c r="J77" i="1"/>
  <c r="K46" i="1"/>
  <c r="J102" i="1"/>
  <c r="K77" i="1"/>
  <c r="J81" i="1"/>
  <c r="K102" i="1"/>
  <c r="K81" i="1"/>
  <c r="J8" i="1"/>
  <c r="J79" i="1"/>
  <c r="K8" i="1"/>
  <c r="J9" i="1"/>
  <c r="K79" i="1"/>
  <c r="K9" i="1"/>
  <c r="K98" i="1"/>
  <c r="J101" i="1"/>
  <c r="K101" i="1"/>
  <c r="J98" i="1"/>
  <c r="J34" i="1"/>
  <c r="K34" i="1"/>
  <c r="J97" i="1"/>
  <c r="J94" i="1"/>
  <c r="K97" i="1"/>
  <c r="J92" i="1"/>
  <c r="K94" i="1"/>
  <c r="J91" i="1"/>
  <c r="K92" i="1"/>
  <c r="J90" i="1"/>
  <c r="K91" i="1"/>
  <c r="J89" i="1"/>
  <c r="K90" i="1"/>
  <c r="K89" i="1"/>
  <c r="J87" i="1"/>
  <c r="J82" i="1"/>
  <c r="K87" i="1"/>
  <c r="J80" i="1"/>
  <c r="K82" i="1"/>
  <c r="K80" i="1"/>
  <c r="J75" i="1"/>
  <c r="K75" i="1"/>
  <c r="J74" i="1"/>
  <c r="K73" i="1"/>
  <c r="K74" i="1"/>
  <c r="J73" i="1"/>
  <c r="J70" i="1"/>
  <c r="J69" i="1"/>
  <c r="K70" i="1"/>
  <c r="K69" i="1"/>
  <c r="J68" i="1"/>
  <c r="K68" i="1"/>
  <c r="J67" i="1"/>
  <c r="K67" i="1"/>
  <c r="J66" i="1"/>
  <c r="K65" i="1"/>
  <c r="K66" i="1"/>
  <c r="J65" i="1"/>
  <c r="J64" i="1"/>
  <c r="K64" i="1"/>
  <c r="J62" i="1"/>
  <c r="K62" i="1"/>
  <c r="J59" i="1"/>
  <c r="K59" i="1"/>
  <c r="J61" i="1"/>
  <c r="J57" i="1"/>
  <c r="K57" i="1"/>
  <c r="J60" i="1"/>
  <c r="K61" i="1"/>
  <c r="J56" i="1"/>
  <c r="K60" i="1"/>
  <c r="K56" i="1"/>
  <c r="J55" i="1"/>
  <c r="K55" i="1"/>
  <c r="K54" i="1"/>
  <c r="J54" i="1"/>
  <c r="J53" i="1"/>
  <c r="K53" i="1"/>
  <c r="J52" i="1"/>
  <c r="K52" i="1"/>
  <c r="J51" i="1"/>
  <c r="K51" i="1"/>
  <c r="J49" i="1"/>
  <c r="K49" i="1"/>
  <c r="J48" i="1"/>
  <c r="J47" i="1"/>
  <c r="K48" i="1"/>
  <c r="K47" i="1"/>
  <c r="J45" i="1"/>
  <c r="J44" i="1"/>
  <c r="K45" i="1"/>
  <c r="K44" i="1"/>
  <c r="J42" i="1"/>
  <c r="K42" i="1"/>
  <c r="K41" i="1"/>
  <c r="J41" i="1"/>
  <c r="B78" i="1" l="1" a="1"/>
  <c r="B78" i="1" s="1"/>
  <c r="F78" i="1" a="1"/>
  <c r="F78" i="1" s="1"/>
  <c r="G78" i="1" a="1"/>
  <c r="G78" i="1" s="1"/>
  <c r="H78" i="1" a="1"/>
  <c r="H78" i="1" s="1"/>
  <c r="L78" i="1" a="1"/>
  <c r="L78" i="1" s="1"/>
  <c r="B10" i="1" a="1"/>
  <c r="B10" i="1" s="1"/>
  <c r="F10" i="1" a="1"/>
  <c r="F10" i="1" s="1"/>
  <c r="G10" i="1" a="1"/>
  <c r="G10" i="1" s="1"/>
  <c r="H10" i="1" a="1"/>
  <c r="H10" i="1" s="1"/>
  <c r="L10" i="1" a="1"/>
  <c r="L10" i="1" s="1"/>
  <c r="B4" i="1" a="1"/>
  <c r="B4" i="1" s="1"/>
  <c r="F4" i="1" a="1"/>
  <c r="F4" i="1" s="1"/>
  <c r="G4" i="1" a="1"/>
  <c r="G4" i="1" s="1"/>
  <c r="H4" i="1" a="1"/>
  <c r="H4" i="1" s="1"/>
  <c r="L4" i="1" a="1"/>
  <c r="L4" i="1" s="1"/>
  <c r="F17" i="1" a="1"/>
  <c r="F17" i="1" s="1"/>
  <c r="F28" i="1" a="1"/>
  <c r="F28" i="1" s="1"/>
  <c r="F16" i="1" a="1"/>
  <c r="F16" i="1" s="1"/>
  <c r="F29" i="1" a="1"/>
  <c r="F29" i="1" s="1"/>
  <c r="F30" i="1" a="1"/>
  <c r="F30" i="1" s="1"/>
  <c r="F31" i="1" a="1"/>
  <c r="F31" i="1" s="1"/>
  <c r="F32" i="1" a="1"/>
  <c r="F32" i="1" s="1"/>
  <c r="F33" i="1" a="1"/>
  <c r="F33" i="1" s="1"/>
  <c r="F6" i="1" a="1"/>
  <c r="F6" i="1" s="1"/>
  <c r="F7" i="1" a="1"/>
  <c r="F7" i="1" s="1"/>
  <c r="F38" i="1" a="1"/>
  <c r="F38" i="1" s="1"/>
  <c r="F37" i="1" a="1"/>
  <c r="F37" i="1" s="1"/>
  <c r="L2" i="1" a="1"/>
  <c r="L2" i="1" s="1"/>
  <c r="L19" i="1" a="1"/>
  <c r="L19" i="1" s="1"/>
  <c r="L3" i="1" a="1"/>
  <c r="L3" i="1" s="1"/>
  <c r="L20" i="1" a="1"/>
  <c r="L20" i="1" s="1"/>
  <c r="L21" i="1" a="1"/>
  <c r="L21" i="1" s="1"/>
  <c r="L14" i="1" a="1"/>
  <c r="L14" i="1" s="1"/>
  <c r="L11" i="1" a="1"/>
  <c r="L11" i="1" s="1"/>
  <c r="L22" i="1" a="1"/>
  <c r="L22" i="1" s="1"/>
  <c r="L18" i="1" a="1"/>
  <c r="L18" i="1" s="1"/>
  <c r="L23" i="1" a="1"/>
  <c r="L23" i="1" s="1"/>
  <c r="L12" i="1" a="1"/>
  <c r="L12" i="1" s="1"/>
  <c r="L13" i="1" a="1"/>
  <c r="L13" i="1" s="1"/>
  <c r="L24" i="1" a="1"/>
  <c r="L24" i="1" s="1"/>
  <c r="L25" i="1" a="1"/>
  <c r="L25" i="1" s="1"/>
  <c r="L40" i="1" a="1"/>
  <c r="L40" i="1" s="1"/>
  <c r="L39" i="1" a="1"/>
  <c r="L39" i="1" s="1"/>
  <c r="L26" i="1" a="1"/>
  <c r="L26" i="1" s="1"/>
  <c r="L27" i="1" a="1"/>
  <c r="L27" i="1" s="1"/>
  <c r="L15" i="1" a="1"/>
  <c r="L15" i="1" s="1"/>
  <c r="L5" i="1" a="1"/>
  <c r="L5" i="1" s="1"/>
  <c r="L17" i="1" a="1"/>
  <c r="L17" i="1" s="1"/>
  <c r="L28" i="1" a="1"/>
  <c r="L28" i="1" s="1"/>
  <c r="L16" i="1" a="1"/>
  <c r="L16" i="1" s="1"/>
  <c r="L29" i="1" a="1"/>
  <c r="L29" i="1" s="1"/>
  <c r="L30" i="1" a="1"/>
  <c r="L30" i="1" s="1"/>
  <c r="L31" i="1" a="1"/>
  <c r="L31" i="1" s="1"/>
  <c r="L32" i="1" a="1"/>
  <c r="L32" i="1" s="1"/>
  <c r="L33" i="1" a="1"/>
  <c r="L33" i="1" s="1"/>
  <c r="L6" i="1" a="1"/>
  <c r="L6" i="1" s="1"/>
  <c r="L35" i="1" a="1"/>
  <c r="L35" i="1" s="1"/>
  <c r="L36" i="1" a="1"/>
  <c r="L36" i="1" s="1"/>
  <c r="L7" i="1" a="1"/>
  <c r="L7" i="1" s="1"/>
  <c r="L38" i="1" a="1"/>
  <c r="L38" i="1" s="1"/>
  <c r="L37" i="1" a="1"/>
  <c r="L37" i="1" s="1"/>
  <c r="H2" i="1" a="1"/>
  <c r="H2" i="1" s="1"/>
  <c r="H19" i="1" a="1"/>
  <c r="H19" i="1" s="1"/>
  <c r="H3" i="1" a="1"/>
  <c r="H3" i="1" s="1"/>
  <c r="H20" i="1" a="1"/>
  <c r="H20" i="1" s="1"/>
  <c r="H21" i="1" a="1"/>
  <c r="H21" i="1" s="1"/>
  <c r="H14" i="1" a="1"/>
  <c r="H14" i="1" s="1"/>
  <c r="H11" i="1" a="1"/>
  <c r="H11" i="1" s="1"/>
  <c r="H22" i="1" a="1"/>
  <c r="H22" i="1" s="1"/>
  <c r="H18" i="1" a="1"/>
  <c r="H18" i="1" s="1"/>
  <c r="H23" i="1" a="1"/>
  <c r="H23" i="1" s="1"/>
  <c r="H12" i="1" a="1"/>
  <c r="H12" i="1" s="1"/>
  <c r="H13" i="1" a="1"/>
  <c r="H13" i="1" s="1"/>
  <c r="H24" i="1" a="1"/>
  <c r="H24" i="1" s="1"/>
  <c r="H25" i="1" a="1"/>
  <c r="H25" i="1" s="1"/>
  <c r="H40" i="1" a="1"/>
  <c r="H40" i="1" s="1"/>
  <c r="H39" i="1" a="1"/>
  <c r="H39" i="1" s="1"/>
  <c r="H26" i="1" a="1"/>
  <c r="H26" i="1" s="1"/>
  <c r="H27" i="1" a="1"/>
  <c r="H27" i="1" s="1"/>
  <c r="H15" i="1" a="1"/>
  <c r="H15" i="1" s="1"/>
  <c r="H5" i="1" a="1"/>
  <c r="H5" i="1" s="1"/>
  <c r="H17" i="1" a="1"/>
  <c r="H17" i="1" s="1"/>
  <c r="H28" i="1" a="1"/>
  <c r="H28" i="1" s="1"/>
  <c r="H16" i="1" a="1"/>
  <c r="H16" i="1" s="1"/>
  <c r="H29" i="1" a="1"/>
  <c r="H29" i="1" s="1"/>
  <c r="H30" i="1" a="1"/>
  <c r="H30" i="1" s="1"/>
  <c r="H31" i="1" a="1"/>
  <c r="H31" i="1" s="1"/>
  <c r="H32" i="1" a="1"/>
  <c r="H32" i="1" s="1"/>
  <c r="H33" i="1" a="1"/>
  <c r="H33" i="1" s="1"/>
  <c r="H6" i="1" a="1"/>
  <c r="H6" i="1" s="1"/>
  <c r="H35" i="1" a="1"/>
  <c r="H35" i="1" s="1"/>
  <c r="H36" i="1" a="1"/>
  <c r="H36" i="1" s="1"/>
  <c r="H7" i="1" a="1"/>
  <c r="H7" i="1" s="1"/>
  <c r="H38" i="1" a="1"/>
  <c r="H38" i="1" s="1"/>
  <c r="H37" i="1" a="1"/>
  <c r="H37" i="1" s="1"/>
  <c r="G2" i="1" a="1"/>
  <c r="G2" i="1" s="1"/>
  <c r="G19" i="1" a="1"/>
  <c r="G19" i="1" s="1"/>
  <c r="G3" i="1" a="1"/>
  <c r="G3" i="1" s="1"/>
  <c r="G20" i="1" a="1"/>
  <c r="G20" i="1" s="1"/>
  <c r="G21" i="1" a="1"/>
  <c r="G21" i="1" s="1"/>
  <c r="G14" i="1" a="1"/>
  <c r="G14" i="1" s="1"/>
  <c r="G11" i="1" a="1"/>
  <c r="G11" i="1" s="1"/>
  <c r="G22" i="1" a="1"/>
  <c r="G22" i="1" s="1"/>
  <c r="G18" i="1" a="1"/>
  <c r="G18" i="1" s="1"/>
  <c r="G23" i="1" a="1"/>
  <c r="G23" i="1" s="1"/>
  <c r="G12" i="1" a="1"/>
  <c r="G12" i="1" s="1"/>
  <c r="G13" i="1" a="1"/>
  <c r="G13" i="1" s="1"/>
  <c r="G24" i="1" a="1"/>
  <c r="G24" i="1" s="1"/>
  <c r="G25" i="1" a="1"/>
  <c r="G25" i="1" s="1"/>
  <c r="G40" i="1" a="1"/>
  <c r="G40" i="1" s="1"/>
  <c r="G39" i="1" a="1"/>
  <c r="G39" i="1" s="1"/>
  <c r="G26" i="1" a="1"/>
  <c r="G26" i="1" s="1"/>
  <c r="G27" i="1" a="1"/>
  <c r="G27" i="1" s="1"/>
  <c r="G15" i="1" a="1"/>
  <c r="G15" i="1" s="1"/>
  <c r="G5" i="1" a="1"/>
  <c r="G5" i="1" s="1"/>
  <c r="G17" i="1" a="1"/>
  <c r="G17" i="1" s="1"/>
  <c r="G28" i="1" a="1"/>
  <c r="G28" i="1" s="1"/>
  <c r="G16" i="1" a="1"/>
  <c r="G16" i="1" s="1"/>
  <c r="G29" i="1" a="1"/>
  <c r="G29" i="1" s="1"/>
  <c r="G30" i="1" a="1"/>
  <c r="G30" i="1" s="1"/>
  <c r="G31" i="1" a="1"/>
  <c r="G31" i="1" s="1"/>
  <c r="G32" i="1" a="1"/>
  <c r="G32" i="1" s="1"/>
  <c r="G33" i="1" a="1"/>
  <c r="G33" i="1" s="1"/>
  <c r="G6" i="1" a="1"/>
  <c r="G6" i="1" s="1"/>
  <c r="G35" i="1" a="1"/>
  <c r="G35" i="1" s="1"/>
  <c r="G36" i="1" a="1"/>
  <c r="G36" i="1" s="1"/>
  <c r="G7" i="1" a="1"/>
  <c r="G7" i="1" s="1"/>
  <c r="G38" i="1" a="1"/>
  <c r="G38" i="1" s="1"/>
  <c r="G37" i="1" a="1"/>
  <c r="G37" i="1" s="1"/>
  <c r="F2" i="1" a="1"/>
  <c r="F2" i="1" s="1"/>
  <c r="F19" i="1" a="1"/>
  <c r="F19" i="1" s="1"/>
  <c r="F3" i="1" a="1"/>
  <c r="F3" i="1" s="1"/>
  <c r="F20" i="1" a="1"/>
  <c r="F20" i="1" s="1"/>
  <c r="F21" i="1" a="1"/>
  <c r="F21" i="1" s="1"/>
  <c r="F14" i="1" a="1"/>
  <c r="F14" i="1" s="1"/>
  <c r="F11" i="1" a="1"/>
  <c r="F11" i="1" s="1"/>
  <c r="F22" i="1" a="1"/>
  <c r="F22" i="1" s="1"/>
  <c r="F18" i="1" a="1"/>
  <c r="F18" i="1" s="1"/>
  <c r="F23" i="1" a="1"/>
  <c r="F23" i="1" s="1"/>
  <c r="F12" i="1" a="1"/>
  <c r="F12" i="1" s="1"/>
  <c r="F13" i="1" a="1"/>
  <c r="F13" i="1" s="1"/>
  <c r="F24" i="1" a="1"/>
  <c r="F24" i="1" s="1"/>
  <c r="F25" i="1" a="1"/>
  <c r="F25" i="1" s="1"/>
  <c r="F40" i="1" a="1"/>
  <c r="F40" i="1" s="1"/>
  <c r="F39" i="1" a="1"/>
  <c r="F39" i="1" s="1"/>
  <c r="F26" i="1" a="1"/>
  <c r="F26" i="1" s="1"/>
  <c r="F27" i="1" a="1"/>
  <c r="F27" i="1" s="1"/>
  <c r="F15" i="1" a="1"/>
  <c r="F15" i="1" s="1"/>
  <c r="F5" i="1" a="1"/>
  <c r="F5" i="1" s="1"/>
  <c r="B37" i="1" a="1"/>
  <c r="B37" i="1" s="1"/>
  <c r="B38" i="1" a="1"/>
  <c r="B38" i="1" s="1"/>
  <c r="B7" i="1" a="1"/>
  <c r="B7" i="1" s="1"/>
  <c r="B36" i="1" a="1"/>
  <c r="B36" i="1" s="1"/>
  <c r="B35" i="1" a="1"/>
  <c r="B35" i="1" s="1"/>
  <c r="B6" i="1" a="1"/>
  <c r="B6" i="1" s="1"/>
  <c r="B33" i="1" a="1"/>
  <c r="B33" i="1" s="1"/>
  <c r="B32" i="1" a="1"/>
  <c r="B32" i="1" s="1"/>
  <c r="B31" i="1" a="1"/>
  <c r="B31" i="1" s="1"/>
  <c r="B30" i="1" a="1"/>
  <c r="B30" i="1" s="1"/>
  <c r="B29" i="1" a="1"/>
  <c r="B29" i="1" s="1"/>
  <c r="B16" i="1" a="1"/>
  <c r="B16" i="1" s="1"/>
  <c r="B28" i="1" a="1"/>
  <c r="B28" i="1" s="1"/>
  <c r="B17" i="1" a="1"/>
  <c r="B17" i="1" s="1"/>
  <c r="B5" i="1" a="1"/>
  <c r="B5" i="1" s="1"/>
  <c r="B15" i="1" a="1"/>
  <c r="B15" i="1" s="1"/>
  <c r="B27" i="1" a="1"/>
  <c r="B27" i="1" s="1"/>
  <c r="B26" i="1" a="1"/>
  <c r="B26" i="1" s="1"/>
  <c r="B39" i="1" a="1"/>
  <c r="B39" i="1" s="1"/>
  <c r="B40" i="1" a="1"/>
  <c r="B40" i="1" s="1"/>
  <c r="B25" i="1" a="1"/>
  <c r="B25" i="1" s="1"/>
  <c r="B24" i="1" a="1"/>
  <c r="B24" i="1" s="1"/>
  <c r="B13" i="1" a="1"/>
  <c r="B13" i="1" s="1"/>
  <c r="B12" i="1" a="1"/>
  <c r="B12" i="1" s="1"/>
  <c r="B23" i="1" a="1"/>
  <c r="B23" i="1" s="1"/>
  <c r="B18" i="1" a="1"/>
  <c r="B18" i="1" s="1"/>
  <c r="B22" i="1" a="1"/>
  <c r="B22" i="1" s="1"/>
  <c r="B11" i="1" a="1"/>
  <c r="B11" i="1" s="1"/>
  <c r="B14" i="1" a="1"/>
  <c r="B14" i="1" s="1"/>
  <c r="B21" i="1" a="1"/>
  <c r="B21" i="1" s="1"/>
  <c r="B20" i="1" a="1"/>
  <c r="B20" i="1" s="1"/>
  <c r="B3" i="1" a="1"/>
  <c r="B3" i="1" s="1"/>
  <c r="B19" i="1" a="1"/>
  <c r="B19" i="1" s="1"/>
  <c r="B2" i="1" a="1"/>
  <c r="B2" i="1" s="1"/>
  <c r="J78" i="1" l="1"/>
  <c r="J10" i="1"/>
  <c r="K78" i="1"/>
  <c r="K10" i="1"/>
  <c r="J4" i="1"/>
  <c r="K4" i="1"/>
  <c r="K25" i="1"/>
  <c r="K21" i="1"/>
  <c r="K37" i="1"/>
  <c r="K29" i="1"/>
  <c r="K35" i="1"/>
  <c r="K5" i="1"/>
  <c r="K19" i="1"/>
  <c r="J32" i="1"/>
  <c r="J26" i="1"/>
  <c r="J22" i="1"/>
  <c r="K23" i="1"/>
  <c r="K31" i="1"/>
  <c r="K39" i="1"/>
  <c r="J11" i="1"/>
  <c r="K6" i="1"/>
  <c r="K15" i="1"/>
  <c r="K2" i="1"/>
  <c r="K30" i="1"/>
  <c r="K38" i="1"/>
  <c r="K16" i="1"/>
  <c r="K24" i="1"/>
  <c r="K20" i="1"/>
  <c r="K3" i="1"/>
  <c r="J33" i="1"/>
  <c r="J27" i="1"/>
  <c r="K7" i="1"/>
  <c r="K28" i="1"/>
  <c r="K13" i="1"/>
  <c r="J18" i="1"/>
  <c r="K40" i="1"/>
  <c r="K14" i="1"/>
  <c r="K36" i="1"/>
  <c r="K17" i="1"/>
  <c r="K12" i="1"/>
  <c r="K33" i="1"/>
  <c r="K27" i="1"/>
  <c r="K18" i="1"/>
  <c r="K32" i="1"/>
  <c r="K26" i="1"/>
  <c r="K22" i="1"/>
  <c r="J2" i="1"/>
  <c r="K11" i="1"/>
  <c r="J31" i="1"/>
  <c r="J39" i="1"/>
  <c r="J25" i="1"/>
  <c r="J37" i="1"/>
  <c r="J29" i="1"/>
  <c r="J21" i="1"/>
  <c r="J6" i="1"/>
  <c r="J15" i="1"/>
  <c r="J23" i="1"/>
  <c r="J35" i="1"/>
  <c r="J5" i="1"/>
  <c r="J19" i="1"/>
  <c r="J30" i="1"/>
  <c r="J40" i="1"/>
  <c r="J14" i="1"/>
  <c r="J38" i="1"/>
  <c r="J16" i="1"/>
  <c r="J24" i="1"/>
  <c r="J20" i="1"/>
  <c r="J28" i="1"/>
  <c r="J13" i="1"/>
  <c r="J3" i="1"/>
  <c r="J7" i="1"/>
  <c r="J36" i="1"/>
  <c r="J17" i="1"/>
  <c r="J1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8"/>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6"/>
        </ext>
      </extLst>
    </bk>
    <bk>
      <extLst>
        <ext uri="{3e2802c4-a4d2-4d8b-9148-e3be6c30e623}">
          <xlrd:rvb i="169"/>
        </ext>
      </extLst>
    </bk>
    <bk>
      <extLst>
        <ext uri="{3e2802c4-a4d2-4d8b-9148-e3be6c30e623}">
          <xlrd:rvb i="172"/>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bk>
      <extLst>
        <ext uri="{3e2802c4-a4d2-4d8b-9148-e3be6c30e623}">
          <xlrd:rvb i="205"/>
        </ext>
      </extLst>
    </bk>
    <bk>
      <extLst>
        <ext uri="{3e2802c4-a4d2-4d8b-9148-e3be6c30e623}">
          <xlrd:rvb i="208"/>
        </ext>
      </extLst>
    </bk>
    <bk>
      <extLst>
        <ext uri="{3e2802c4-a4d2-4d8b-9148-e3be6c30e623}">
          <xlrd:rvb i="211"/>
        </ext>
      </extLst>
    </bk>
    <bk>
      <extLst>
        <ext uri="{3e2802c4-a4d2-4d8b-9148-e3be6c30e623}">
          <xlrd:rvb i="214"/>
        </ext>
      </extLst>
    </bk>
    <bk>
      <extLst>
        <ext uri="{3e2802c4-a4d2-4d8b-9148-e3be6c30e623}">
          <xlrd:rvb i="217"/>
        </ext>
      </extLst>
    </bk>
    <bk>
      <extLst>
        <ext uri="{3e2802c4-a4d2-4d8b-9148-e3be6c30e623}">
          <xlrd:rvb i="220"/>
        </ext>
      </extLst>
    </bk>
    <bk>
      <extLst>
        <ext uri="{3e2802c4-a4d2-4d8b-9148-e3be6c30e623}">
          <xlrd:rvb i="223"/>
        </ext>
      </extLst>
    </bk>
    <bk>
      <extLst>
        <ext uri="{3e2802c4-a4d2-4d8b-9148-e3be6c30e623}">
          <xlrd:rvb i="226"/>
        </ext>
      </extLst>
    </bk>
    <bk>
      <extLst>
        <ext uri="{3e2802c4-a4d2-4d8b-9148-e3be6c30e623}">
          <xlrd:rvb i="229"/>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futureMetadata>
  <cellMetadata count="1">
    <bk>
      <rc t="1" v="0"/>
    </bk>
  </cellMetadata>
  <valueMetadata count="10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valueMetadata>
</metadata>
</file>

<file path=xl/sharedStrings.xml><?xml version="1.0" encoding="utf-8"?>
<sst xmlns="http://schemas.openxmlformats.org/spreadsheetml/2006/main" count="12" uniqueCount="12">
  <si>
    <t>Ticker</t>
  </si>
  <si>
    <t>DataField</t>
  </si>
  <si>
    <t>S&amp;P</t>
  </si>
  <si>
    <t>Price</t>
  </si>
  <si>
    <t>P/E</t>
  </si>
  <si>
    <t>52High</t>
  </si>
  <si>
    <t>52Low</t>
  </si>
  <si>
    <t>Watch</t>
  </si>
  <si>
    <t>Alert</t>
  </si>
  <si>
    <t>MarketCap</t>
  </si>
  <si>
    <t>Grp</t>
  </si>
  <si>
    <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</si>
</sst>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409]* #,##0.00_);_([$$-409]* \(#,##0.00\);_([$$-409]* &quot;-&quot;??_);_(@_)"/>
    <numFmt numFmtId="165" formatCode="_(* #,##0_);_(* \(#,##0\);_(* &quot;-&quot;??_);_(@_)"/>
    <numFmt numFmtId="166" formatCode="_(&quot;$&quot;* #,##0_);_(&quot;$&quot;* \(#,##0\);_(&quot;$&quot;* &quot;-&quot;??_);_(@_)"/>
  </numFmts>
  <fonts count="4" x14ac:knownFonts="1">
    <font>
      <sz val="12"/>
      <color theme="1"/>
      <name val="Aptos Narrow"/>
      <family val="2"/>
      <scheme val="minor"/>
    </font>
    <font>
      <sz val="12"/>
      <color theme="0"/>
      <name val="Aptos Narrow"/>
      <family val="2"/>
      <scheme val="minor"/>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8">
    <xf numFmtId="0" fontId="0" fillId="0" borderId="0" xfId="0"/>
    <xf numFmtId="0" fontId="1" fillId="2" borderId="0" xfId="0" applyFont="1" applyFill="1"/>
    <xf numFmtId="164" fontId="0" fillId="0" borderId="0" xfId="0" applyNumberFormat="1"/>
    <xf numFmtId="165" fontId="1" fillId="2" borderId="0" xfId="1" applyNumberFormat="1" applyFont="1" applyFill="1"/>
    <xf numFmtId="165" fontId="0" fillId="0" borderId="0" xfId="1" applyNumberFormat="1" applyFont="1"/>
    <xf numFmtId="166" fontId="1" fillId="2" borderId="0" xfId="0" applyNumberFormat="1" applyFont="1" applyFill="1"/>
    <xf numFmtId="166" fontId="0" fillId="0" borderId="0" xfId="0" applyNumberFormat="1"/>
    <xf numFmtId="164" fontId="0" fillId="0" borderId="0" xfId="1" applyNumberFormat="1" applyFont="1"/>
  </cellXfs>
  <cellStyles count="2">
    <cellStyle name="Comma" xfId="1" builtinId="3"/>
    <cellStyle name="Normal" xfId="0" builtinId="0"/>
  </cellStyles>
  <dxfs count="10">
    <dxf>
      <font>
        <color rgb="FF006100"/>
      </font>
      <fill>
        <patternFill>
          <bgColor rgb="FFC6EFCE"/>
        </patternFill>
      </fill>
    </dxf>
    <dxf>
      <font>
        <color rgb="FF9C0006"/>
      </font>
      <fill>
        <patternFill>
          <bgColor rgb="FFFFC7CE"/>
        </patternFill>
      </fill>
    </dxf>
    <dxf>
      <numFmt numFmtId="166" formatCode="_(&quot;$&quot;* #,##0_);_(&quot;$&quot;* \(#,##0\);_(&quot;$&quot;* &quot;-&quot;??_);_(@_)"/>
    </dxf>
    <dxf>
      <numFmt numFmtId="164" formatCode="_([$$-409]* #,##0.00_);_([$$-409]* \(#,##0.00\);_([$$-409]* &quot;-&quot;??_);_(@_)"/>
    </dxf>
    <dxf>
      <numFmt numFmtId="164" formatCode="_([$$-409]* #,##0.00_);_([$$-409]* \(#,##0.00\);_([$$-409]* &quot;-&quot;??_);_(@_)"/>
    </dxf>
    <dxf>
      <numFmt numFmtId="165" formatCode="_(* #,##0_);_(* \(#,##0\);_(* &quot;-&quot;??_);_(@_)"/>
    </dxf>
    <dxf>
      <numFmt numFmtId="164" formatCode="_([$$-409]* #,##0.00_);_([$$-409]* \(#,##0.00\);_([$$-409]* &quot;-&quot;??_);_(@_)"/>
    </dxf>
    <dxf>
      <numFmt numFmtId="164" formatCode="_([$$-409]* #,##0.00_);_([$$-409]* \(#,##0.00\);_([$$-409]* &quot;-&quot;??_);_(@_)"/>
    </dxf>
    <dxf>
      <numFmt numFmtId="164" formatCode="_([$$-409]* #,##0.00_);_([$$-409]* \(#,##0.00\);_([$$-409]* &quot;-&quot;??_);_(@_)"/>
    </dxf>
    <dxf>
      <font>
        <strike val="0"/>
        <outline val="0"/>
        <shadow val="0"/>
        <u val="none"/>
        <vertAlign val="baseline"/>
        <sz val="12"/>
        <color theme="0"/>
        <name val="Aptos Narrow"/>
        <family val="2"/>
        <scheme val="minor"/>
      </font>
      <fill>
        <patternFill patternType="solid">
          <fgColor indexed="64"/>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20">
  <rv s="0">
    <v>https://www.bing.com/financeapi/forcetrigger?t=a1mou2&amp;q=XNAS%3aAAPL&amp;form=skydnc</v>
    <v>Learn more on Bing</v>
  </rv>
  <rv s="1">
    <v>0</v>
    <v>APPLE INC. (XNAS:AAPL)</v>
    <v>2</v>
    <v>3</v>
    <v>Finance</v>
    <v>4</v>
    <v>en-US</v>
    <v>a1mou2</v>
    <v>268435456</v>
    <v>1</v>
    <v>Powered by Refinitiv</v>
    <v>288.62</v>
    <v>169.21010000000001</v>
    <v>1.1186</v>
    <v>-0.97</v>
    <v>-3.8960000000000002E-3</v>
    <v>1.78</v>
    <v>7.1780000000000004E-3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249.19990000000001</v>
    <v>Computers, Phones &amp; Household Electronics</v>
    <v>Stock</v>
    <v>46101.999966238283</v>
    <v>0</v>
    <v>246</v>
    <v>3646122573000</v>
    <v>APPLE INC.</v>
    <v>APPLE INC.</v>
    <v>247.97499999999999</v>
    <v>31.506399999999999</v>
    <v>248.96</v>
    <v>247.99</v>
    <v>249.77</v>
    <v>14702700000</v>
    <v>AAPL</v>
    <v>APPLE INC. (XNAS:AAPL)</v>
    <v>88331081</v>
    <v>41779741</v>
    <v>1977</v>
  </rv>
  <rv s="2">
    <v>1</v>
  </rv>
  <rv s="0">
    <v>https://www.bing.com/financeapi/forcetrigger?t=a1nhlh&amp;q=XNAS%3aAMZN&amp;form=skydnc</v>
    <v>Learn more on Bing</v>
  </rv>
  <rv s="1">
    <v>0</v>
    <v>AMAZON.COM, INC. (XNAS:AMZN)</v>
    <v>2</v>
    <v>3</v>
    <v>Finance</v>
    <v>4</v>
    <v>en-US</v>
    <v>a1nhlh</v>
    <v>268435456</v>
    <v>1</v>
    <v>Powered by Refinitiv</v>
    <v>258.60000000000002</v>
    <v>161.38</v>
    <v>1.3867</v>
    <v>-3.39</v>
    <v>-1.6239E-2</v>
    <v>1.73</v>
    <v>8.4240000000000009E-3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207.54</v>
    <v>Diversified Retail</v>
    <v>Stock</v>
    <v>46101.999975115628</v>
    <v>3</v>
    <v>204.316</v>
    <v>2204630520400</v>
    <v>AMAZON.COM, INC.</v>
    <v>AMAZON.COM, INC.</v>
    <v>207.4</v>
    <v>28.6342</v>
    <v>208.76</v>
    <v>205.37</v>
    <v>207.1</v>
    <v>10734920000</v>
    <v>AMZN</v>
    <v>AMAZON.COM, INC. (XNAS:AMZN)</v>
    <v>63694603</v>
    <v>49439508</v>
    <v>1996</v>
  </rv>
  <rv s="2">
    <v>4</v>
  </rv>
  <rv s="0">
    <v>https://www.bing.com/financeapi/forcetrigger?t=a1u3rw&amp;q=XNAS%3aGOOGL&amp;form=skydnc</v>
    <v>Learn more on Bing</v>
  </rv>
  <rv s="1">
    <v>0</v>
    <v>ALPHABET INC. (XNAS:GOOGL)</v>
    <v>2</v>
    <v>3</v>
    <v>Finance</v>
    <v>4</v>
    <v>en-US</v>
    <v>a1u3rw</v>
    <v>268435456</v>
    <v>1</v>
    <v>Powered by Refinitiv</v>
    <v>349</v>
    <v>140.53</v>
    <v>1.1034999999999999</v>
    <v>-6.13</v>
    <v>-1.9959000000000001E-2</v>
    <v>1.6</v>
    <v>5.3159999999999995E-3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306</v>
    <v>Software &amp; IT Services</v>
    <v>Stock</v>
    <v>46101.999817082811</v>
    <v>6</v>
    <v>298.27</v>
    <v>3641197000000</v>
    <v>ALPHABET INC.</v>
    <v>ALPHABET INC.</v>
    <v>305.45999999999998</v>
    <v>27.8446</v>
    <v>307.13</v>
    <v>301</v>
    <v>302.60000000000002</v>
    <v>12097000000</v>
    <v>GOOGL</v>
    <v>ALPHABET INC. (XNAS:GOOGL)</v>
    <v>44364079</v>
    <v>31124882</v>
    <v>2015</v>
  </rv>
  <rv s="2">
    <v>7</v>
  </rv>
  <rv s="0">
    <v>http://en.wikipedia.org/wiki/Public_domain</v>
    <v>Public domain</v>
  </rv>
  <rv s="0">
    <v>https://en.wikipedia.org/wiki/Microsoft</v>
    <v>Wikipedia</v>
  </rv>
  <rv s="3">
    <v>9</v>
    <v>10</v>
  </rv>
  <rv s="4">
    <v>9</v>
    <v>https://www.bing.com/th?id=AMMS_e6e837c7bf3a77408619758b7447855a&amp;qlt=95</v>
    <v>11</v>
    <v>0</v>
    <v>https://www.bing.com/images/search?form=xlimg&amp;q=microsoft</v>
    <v>Image of MICROSOFT CORPORATION</v>
  </rv>
  <rv s="0">
    <v>https://www.bing.com/financeapi/forcetrigger?t=a1xzim&amp;q=XNAS%3aMSFT&amp;form=skydnc</v>
    <v>Learn more on Bing</v>
  </rv>
  <rv s="5">
    <v>5</v>
    <v>MICROSOFT CORPORATION (XNAS:MSFT)</v>
    <v>7</v>
    <v>8</v>
    <v>Finance</v>
    <v>4</v>
    <v>en-US</v>
    <v>a1xzim</v>
    <v>268435456</v>
    <v>1</v>
    <v>Powered by Refinitiv</v>
    <v>555.45000000000005</v>
    <v>344.79</v>
    <v>1.0891999999999999</v>
    <v>-7.15</v>
    <v>-1.8380000000000001E-2</v>
    <v>1.7</v>
    <v>4.4520000000000002E-3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387</v>
    <v>12</v>
    <v>Software &amp; IT Services</v>
    <v>Stock</v>
    <v>46101.999993981248</v>
    <v>13</v>
    <v>380.12</v>
    <v>2835624946230</v>
    <v>MICROSOFT CORPORATION</v>
    <v>MICROSOFT CORPORATION</v>
    <v>386.79</v>
    <v>23.8932</v>
    <v>389.02</v>
    <v>381.87</v>
    <v>383.57</v>
    <v>7425629000</v>
    <v>MSFT</v>
    <v>MICROSOFT CORPORATION (XNAS:MSFT)</v>
    <v>50853154</v>
    <v>33001826</v>
    <v>1993</v>
  </rv>
  <rv s="2">
    <v>14</v>
  </rv>
  <rv s="0">
    <v>https://www.bing.com/financeapi/forcetrigger?t=a24p1h&amp;q=XNAS%3aTXN&amp;form=skydnc</v>
    <v>Learn more on Bing</v>
  </rv>
  <rv s="1">
    <v>0</v>
    <v>TEXAS INSTRUMENTS INCORPORATED (XNAS:TXN)</v>
    <v>2</v>
    <v>3</v>
    <v>Finance</v>
    <v>4</v>
    <v>en-US</v>
    <v>a24p1h</v>
    <v>268435456</v>
    <v>1</v>
    <v>Powered by Refinitiv</v>
    <v>231.32</v>
    <v>139.94999999999999</v>
    <v>1.0118</v>
    <v>-1.1000000000000001</v>
    <v>-5.8420000000000008E-3</v>
    <v>2.09</v>
    <v>1.1165000000000001E-2</v>
    <v>USD</v>
    <v>Texas Instruments Incorporated is a global semiconductor company that designs, manufactures, tests, and sells analog and embedded processing chips for markets, such as industrial, automotive, personal electronics, communications equipment, and enterprise systems. Its Analog segment includes product lines, such as Power and Signal Chain. Power includes products that help customers manage power in electronic systems. Its portfolio is designed to manage power requirements across different voltage levels, including battery-management solutions, DC/DC switching regulators, AC/DC and isolated DC/DC switching regulators, power switches, linear and low-dropout regulators, voltage references, and others. Signal Chain includes products that sense, condition, and measure real-world signals to allow information to be transferred or converted for further processing and control. The Embedded Processing segment includes microcontrollers, digital signal processors (DSPs) and applications processors.</v>
    <v>33000</v>
    <v>Nasdaq Stock Market</v>
    <v>XNAS</v>
    <v>XNAS</v>
    <v>12500 T I Blvd, DALLAS, TX, 75243-0592 US</v>
    <v>190.33</v>
    <v>Semiconductors &amp; Semiconductor Equipment</v>
    <v>Stock</v>
    <v>46101.999860532029</v>
    <v>16</v>
    <v>185.84</v>
    <v>170429643846</v>
    <v>TEXAS INSTRUMENTS INCORPORATED</v>
    <v>TEXAS INSTRUMENTS INCORPORATED</v>
    <v>188.52</v>
    <v>34.158099999999997</v>
    <v>188.29</v>
    <v>187.19</v>
    <v>189.28</v>
    <v>910463400</v>
    <v>TXN</v>
    <v>TEXAS INSTRUMENTS INCORPORATED (XNAS:TXN)</v>
    <v>15025199</v>
    <v>6369425</v>
    <v>1938</v>
  </rv>
  <rv s="2">
    <v>17</v>
  </rv>
  <rv s="0">
    <v>https://www.bing.com/financeapi/forcetrigger?t=a1x4f2&amp;q=XNAS%3aLRCX&amp;form=skydnc</v>
    <v>Learn more on Bing</v>
  </rv>
  <rv s="1">
    <v>0</v>
    <v>LAM RESEARCH CORPORATION (XNAS:LRCX)</v>
    <v>2</v>
    <v>3</v>
    <v>Finance</v>
    <v>4</v>
    <v>en-US</v>
    <v>a1x4f2</v>
    <v>268435456</v>
    <v>1</v>
    <v>Powered by Refinitiv</v>
    <v>256.68</v>
    <v>56.32</v>
    <v>1.7527999999999999</v>
    <v>-5.63</v>
    <v>-2.4060999999999999E-2</v>
    <v>1.04</v>
    <v>4.5539999999999999E-3</v>
    <v>USD</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such as nanoscale applications enablement, chemistry, plasma and fluidics, and others.</v>
    <v>19000</v>
    <v>Nasdaq Stock Market</v>
    <v>XNAS</v>
    <v>XNAS</v>
    <v>4650 Cushing Blvd, FREMONT, CA, 94538 US</v>
    <v>236.84</v>
    <v>Semiconductors &amp; Semiconductor Equipment</v>
    <v>Stock</v>
    <v>46101.999898159374</v>
    <v>19</v>
    <v>222.04499999999999</v>
    <v>285169345560</v>
    <v>LAM RESEARCH CORPORATION</v>
    <v>LAM RESEARCH CORPORATION</v>
    <v>234.32</v>
    <v>47.956000000000003</v>
    <v>233.99</v>
    <v>228.36</v>
    <v>229.4</v>
    <v>1248771000</v>
    <v>LRCX</v>
    <v>LAM RESEARCH CORPORATION (XNAS:LRCX)</v>
    <v>26176384</v>
    <v>10103368</v>
    <v>1989</v>
  </rv>
  <rv s="2">
    <v>20</v>
  </rv>
  <rv s="0">
    <v>https://www.bing.com/financeapi/forcetrigger?t=a1ndww&amp;q=XNAS%3aAMD&amp;form=skydnc</v>
    <v>Learn more on Bing</v>
  </rv>
  <rv s="1">
    <v>0</v>
    <v>ADVANCED MICRO DEVICES, INC. (XNAS:AMD)</v>
    <v>2</v>
    <v>3</v>
    <v>Finance</v>
    <v>4</v>
    <v>en-US</v>
    <v>a1ndww</v>
    <v>268435456</v>
    <v>1</v>
    <v>Powered by Refinitiv</v>
    <v>267.07990000000001</v>
    <v>76.48</v>
    <v>1.9796</v>
    <v>-3.94</v>
    <v>-1.9193999999999999E-2</v>
    <v>1.1468</v>
    <v>5.6959999999999997E-3</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206.3</v>
    <v>Semiconductors &amp; Semiconductor Equipment</v>
    <v>Stock</v>
    <v>46101.999758946091</v>
    <v>22</v>
    <v>198.26</v>
    <v>328250646630</v>
    <v>ADVANCED MICRO DEVICES, INC.</v>
    <v>ADVANCED MICRO DEVICES, INC.</v>
    <v>204.88499999999999</v>
    <v>77.303799999999995</v>
    <v>205.27</v>
    <v>201.33</v>
    <v>202.4768</v>
    <v>1630411000</v>
    <v>AMD</v>
    <v>ADVANCED MICRO DEVICES, INC. (XNAS:AMD)</v>
    <v>37265103</v>
    <v>34178804</v>
    <v>1969</v>
  </rv>
  <rv s="2">
    <v>23</v>
  </rv>
  <rv s="0">
    <v>https://www.bing.com/financeapi/forcetrigger?t=a1ntlh&amp;q=XNAS%3aASML&amp;form=skydnc</v>
    <v>Learn more on Bing</v>
  </rv>
  <rv s="1">
    <v>0</v>
    <v>ASML Holding NV (XNAS:ASML)</v>
    <v>2</v>
    <v>10</v>
    <v>Finance</v>
    <v>4</v>
    <v>en-US</v>
    <v>a1ntlh</v>
    <v>268435456</v>
    <v>1</v>
    <v>Powered by Refinitiv</v>
    <v>1547.22</v>
    <v>578.51</v>
    <v>2.2174999999999998</v>
    <v>-49.14</v>
    <v>-3.5962999999999995E-2</v>
    <v>5.7</v>
    <v>4.3270000000000001E-3</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43520</v>
    <v>Nasdaq Stock Market</v>
    <v>XNAS</v>
    <v>XNAS</v>
    <v>De Run 6501, VELDHOVEN, NOORD-BRABANT, 5504 DR NL</v>
    <v>1370</v>
    <v>Semiconductors &amp; Semiconductor Equipment</v>
    <v>Stock</v>
    <v>46101.999539918746</v>
    <v>25</v>
    <v>1291.0999999999999</v>
    <v>533920450212</v>
    <v>ASML Holding NV</v>
    <v>ASML Holding NV</v>
    <v>1357.2550000000001</v>
    <v>45.381700000000002</v>
    <v>1366.39</v>
    <v>1317.25</v>
    <v>1322.95</v>
    <v>388147700</v>
    <v>ASML</v>
    <v>ASML Holding NV (XNAS:ASML)</v>
    <v>2645128</v>
    <v>1473943</v>
    <v>1994</v>
  </rv>
  <rv s="2">
    <v>26</v>
  </rv>
  <rv s="0">
    <v>https://www.bing.com/financeapi/forcetrigger?t=a1yv52&amp;q=XNAS%3aNVDA&amp;form=skydnc</v>
    <v>Learn more on Bing</v>
  </rv>
  <rv s="1">
    <v>0</v>
    <v>NVIDIA CORPORATION (XNAS:NVDA)</v>
    <v>2</v>
    <v>3</v>
    <v>Finance</v>
    <v>4</v>
    <v>en-US</v>
    <v>a1yv52</v>
    <v>268435456</v>
    <v>1</v>
    <v>Powered by Refinitiv</v>
    <v>212.18989999999999</v>
    <v>86.62</v>
    <v>2.3338999999999999</v>
    <v>-5.86</v>
    <v>-3.2818E-2</v>
    <v>2.19</v>
    <v>1.2681E-2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178.26</v>
    <v>Semiconductors &amp; Semiconductor Equipment</v>
    <v>Stock</v>
    <v>46101.999998749998</v>
    <v>28</v>
    <v>171.72</v>
    <v>4196609999999</v>
    <v>NVIDIA CORPORATION</v>
    <v>NVIDIA CORPORATION</v>
    <v>178</v>
    <v>36.427799999999998</v>
    <v>178.56</v>
    <v>172.7</v>
    <v>174.89</v>
    <v>24300000000</v>
    <v>NVDA</v>
    <v>NVIDIA CORPORATION (XNAS:NVDA)</v>
    <v>241323528</v>
    <v>190086453</v>
    <v>1998</v>
  </rv>
  <rv s="2">
    <v>29</v>
  </rv>
  <rv s="0">
    <v>https://www.bing.com/financeapi/forcetrigger?t=a1pwqh&amp;q=XNAS%3aCMCSA&amp;form=skydnc</v>
    <v>Learn more on Bing</v>
  </rv>
  <rv s="1">
    <v>0</v>
    <v>COMCAST CORPORATION (XNAS:CMCSA)</v>
    <v>2</v>
    <v>3</v>
    <v>Finance</v>
    <v>4</v>
    <v>en-US</v>
    <v>a1pwqh</v>
    <v>268435456</v>
    <v>1</v>
    <v>Powered by Refinitiv</v>
    <v>35.337299999999999</v>
    <v>24.1234</v>
    <v>0.78590000000000004</v>
    <v>0.04</v>
    <v>1.3800000000000002E-3</v>
    <v>0.04</v>
    <v>1.3780000000000001E-3</v>
    <v>USD</v>
    <v>Comcast Corporation is a global media and technology company. The Company delivers broadband, wireless, and video through Xfinity, Comcast Business, and Sky; produces, distributes, and streams entertainment, sports, and news through brands, including NBC, Telemundo, Universal, Peacock, and Sky; and brings theme parks and attractions to life through Universal Destinations &amp; Experiences. The Company operates through two primary businesses: Connectivity &amp; Platforms and Content &amp; Experiences. The Connectivity &amp; Platforms business includes two segments: Residential Connectivity &amp; Platforms, and Business Services. Its Connectivity and Content &amp; Experiences business include three segments: Media, Studios and Theme Parks. Sky provides connectivity services to customers across Europe through Sky Broadband, Sky Mobile, and Sky Business. Sky Business extends broadband services and purpose-built products to businesses in Europe.</v>
    <v>179000</v>
    <v>Nasdaq Stock Market</v>
    <v>XNAS</v>
    <v>XNAS</v>
    <v>One Comcast Center, PHILADELPHIA, PA, 19103-2838 US</v>
    <v>29.515000000000001</v>
    <v>Telecommunications Services</v>
    <v>Stock</v>
    <v>46101.998706921091</v>
    <v>31</v>
    <v>28.84</v>
    <v>104409490920</v>
    <v>COMCAST CORPORATION</v>
    <v>COMCAST CORPORATION</v>
    <v>28.925000000000001</v>
    <v>5.3983999999999996</v>
    <v>28.98</v>
    <v>29.02</v>
    <v>29.06</v>
    <v>3597846000</v>
    <v>CMCSA</v>
    <v>COMCAST CORPORATION (XNAS:CMCSA)</v>
    <v>246107119</v>
    <v>26901389</v>
    <v>2001</v>
  </rv>
  <rv s="2">
    <v>32</v>
  </rv>
  <rv s="0">
    <v>https://www.bing.com/financeapi/forcetrigger?t=a1tppr&amp;q=XNYS%3aGD&amp;form=skydnc</v>
    <v>Learn more on Bing</v>
  </rv>
  <rv s="1">
    <v>0</v>
    <v>GENERAL DYNAMICS CORPORATION (XNYS:GD)</v>
    <v>2</v>
    <v>3</v>
    <v>Finance</v>
    <v>4</v>
    <v>en-US</v>
    <v>a1tppr</v>
    <v>268435456</v>
    <v>1</v>
    <v>Powered by Refinitiv</v>
    <v>369.7</v>
    <v>239.2</v>
    <v>0.37859999999999999</v>
    <v>-3.85</v>
    <v>-1.1011999999999999E-2</v>
    <v>0.67</v>
    <v>1.9380000000000001E-3</v>
    <v>USD</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New York Stock Exchange</v>
    <v>XNYS</v>
    <v>XNYS</v>
    <v>11011 Sunset Hills Rd, RESTON, VA, 20190 US</v>
    <v>352.04989999999998</v>
    <v>Aerospace &amp; Defense</v>
    <v>Stock</v>
    <v>46101.999763344531</v>
    <v>34</v>
    <v>343.08</v>
    <v>93495385044</v>
    <v>GENERAL DYNAMICS CORPORATION</v>
    <v>GENERAL DYNAMICS CORPORATION</v>
    <v>349.01</v>
    <v>22.3751</v>
    <v>349.63</v>
    <v>345.78</v>
    <v>346.45</v>
    <v>270389800</v>
    <v>GD</v>
    <v>GENERAL DYNAMICS CORPORATION (XNYS:GD)</v>
    <v>2894137</v>
    <v>1233422</v>
    <v>1952</v>
  </rv>
  <rv s="2">
    <v>35</v>
  </rv>
  <rv s="0">
    <v>https://www.bing.com/financeapi/forcetrigger?t=a1uj52&amp;q=XNYS%3aHD&amp;form=skydnc</v>
    <v>Learn more on Bing</v>
  </rv>
  <rv s="1">
    <v>0</v>
    <v>THE HOME DEPOT, INC. (XNYS:HD)</v>
    <v>2</v>
    <v>3</v>
    <v>Finance</v>
    <v>4</v>
    <v>en-US</v>
    <v>a1uj52</v>
    <v>268435456</v>
    <v>1</v>
    <v>Powered by Refinitiv</v>
    <v>426.75</v>
    <v>320.2645</v>
    <v>1.0841000000000001</v>
    <v>-7.46</v>
    <v>-2.2728999999999999E-2</v>
    <v>3.1030000000000002</v>
    <v>9.6740000000000003E-3</v>
    <v>USD</v>
    <v>The Home Depot, Inc. is a home improvement specialty retailer. The Company offers an assortment of building materials, home improvement products, lawn and garden products, decor products, and facilities maintenance, repair, and operations products, in stores and online. It also provides various services, including home improvement installation services, and tool and equipment rental. The Company operates approximately 2,353 retail stores, over 800 branches and more than 325 distribution centers that directly fulfill customer orders across all 50 states, the District of Columbia, Puerto Rico, the U.S. Virgin Islands, Guam, 10 Canadian provinces and Mexico. Its stores average approximately 105,000 square feet of enclosed space, with approximately 24,000 additional square feet of outside garden area. The Company serves two primary customer groups, including both do-it-yourself (DIY) and Do-It-For-Me (DIFM) customers and Professional Customers (Pros).</v>
    <v>472400</v>
    <v>New York Stock Exchange</v>
    <v>XNYS</v>
    <v>XNYS</v>
    <v>2455 Paces Ferry Road, ATLANTA, GA, 30339 US</v>
    <v>330.23</v>
    <v>Specialty Retailers</v>
    <v>Stock</v>
    <v>46101.999583193749</v>
    <v>37</v>
    <v>320.2645</v>
    <v>319470688625</v>
    <v>THE HOME DEPOT, INC.</v>
    <v>THE HOME DEPOT, INC.</v>
    <v>327.75</v>
    <v>23.0562</v>
    <v>328.21</v>
    <v>320.75</v>
    <v>323.85300000000001</v>
    <v>996011500</v>
    <v>HD</v>
    <v>THE HOME DEPOT, INC. (XNYS:HD)</v>
    <v>9672177</v>
    <v>3886969</v>
    <v>1978</v>
  </rv>
  <rv s="2">
    <v>38</v>
  </rv>
  <rv s="0">
    <v>https://www.bing.com/financeapi/forcetrigger?t=a1pvu2&amp;q=XNYS%3aCLX&amp;form=skydnc</v>
    <v>Learn more on Bing</v>
  </rv>
  <rv s="1">
    <v>0</v>
    <v>THE CLOROX COMPANY (XNYS:CLX)</v>
    <v>2</v>
    <v>3</v>
    <v>Finance</v>
    <v>4</v>
    <v>en-US</v>
    <v>a1pvu2</v>
    <v>268435456</v>
    <v>1</v>
    <v>Powered by Refinitiv</v>
    <v>150.84</v>
    <v>96.6601</v>
    <v>0.624</v>
    <v>-0.47</v>
    <v>-4.4080000000000005E-3</v>
    <v>0.26</v>
    <v>2.4490000000000002E-3</v>
    <v>USD</v>
    <v>The Clorox Company is a multinational manufacturer and marketer of consumer and professional products. The Company operates through four segments: Health and Wellness, Household, Lifestyle, and International. Its Health and Wellness segment consists of cleaning, disinfecting and professional products marketed and sold under the Clorox, Clorox2, Pine-Sol, Scentiva, Tilex, Liquid-Plumr and Formula 409 brands, CloroxPro, Clorox Healthcare brands, and Hidden Valley brand in the United States. Its Household segment consists of bags and wraps, cat litter and grilling products marketed and sold under the Glad, Fresh Step and Scoop Away, and Kingsford brands in the United States. The Lifestyle segment consists of food, water-filtration and natural personal care products marketed and sold under the Hidden Valley, Brita and Burt’s Bees brands. International consists of products sold outside the United States. Its international brands include Chux, Clorinda and Poett.</v>
    <v>7600</v>
    <v>New York Stock Exchange</v>
    <v>XNYS</v>
    <v>XNYS</v>
    <v>1221 Broadway, OAKLAND, CA, 94612-1888 US</v>
    <v>107.4</v>
    <v>Personal &amp; Household Products &amp; Services</v>
    <v>Stock</v>
    <v>46101.99987925859</v>
    <v>40</v>
    <v>105.62</v>
    <v>12834798185</v>
    <v>THE CLOROX COMPANY</v>
    <v>THE CLOROX COMPANY</v>
    <v>107.21</v>
    <v>17.4209</v>
    <v>106.62</v>
    <v>106.15</v>
    <v>106.41</v>
    <v>120911900</v>
    <v>CLX</v>
    <v>THE CLOROX COMPANY (XNYS:CLX)</v>
    <v>4823269</v>
    <v>1980257</v>
    <v>1986</v>
  </rv>
  <rv s="2">
    <v>41</v>
  </rv>
  <rv s="0">
    <v>http://zh.wikipedia.org/wiki/味可美</v>
    <v>Wikipedia</v>
  </rv>
  <rv s="3">
    <v>9</v>
    <v>43</v>
  </rv>
  <rv s="4">
    <v>9</v>
    <v>https://www.bing.com/th?id=AMMS_8d96836a886471f7120ce0135f3ca8bd&amp;qlt=95</v>
    <v>44</v>
    <v>0</v>
    <v>https://www.bing.com/images/search?form=xlimg&amp;q=mccormick+%26+company</v>
    <v>Image of MCCORMICK &amp; COMPANY, INCORPORATED</v>
  </rv>
  <rv s="0">
    <v>https://www.bing.com/financeapi/forcetrigger?t=a1xof2&amp;q=XNYS%3aMKC.V&amp;form=skydnc</v>
    <v>Learn more on Bing</v>
  </rv>
  <rv s="6">
    <v>11</v>
    <v>MCCORMICK &amp; COMPANY, INCORPORATED (XNYS:MKC.V)</v>
    <v>7</v>
    <v>12</v>
    <v>Finance</v>
    <v>4</v>
    <v>en-US</v>
    <v>a1xof2</v>
    <v>268435456</v>
    <v>1</v>
    <v>Powered by Refinitiv</v>
    <v>82.53</v>
    <v>53.25</v>
    <v>0.66420000000000001</v>
    <v>-0.89800000000000002</v>
    <v>-1.6584000000000002E-2</v>
    <v>0.01</v>
    <v>1.8780000000000001E-4</v>
    <v>USD</v>
    <v>McCormick &amp; Company, Incorporated manufactures, markets, and distributes herbs, spices, seasonings, condiments and flavors to the entire food and beverage industry, including retailers, food manufacturers and foodservice businesses. It operates through two segments: consumer and flavor solutions. The consumer segment sells to retail channels, including grocery, mass merchandise, warehouse clubs, discount and drug stores, and e-commerce under the McCormick brand and a variety of brands around the world, including French's, Frank's RedHot, Lawry’s, Zatarain’s, Simply Asia, Thai Kitchen, Ducros, Vahine, Cholula, Schwartz, Club House, Kamis, DaQiao, La Drogheria, Stubb's, OLD BAY, Gourmet Garden, and others. In its flavor solutions segment, it provides a range of products to multinational food manufacturers and foodservice customers. The foodservice customers are supplied with branded, packaged products both directly by the Company and indirectly through distributors.</v>
    <v>14100</v>
    <v>New York Stock Exchange</v>
    <v>XNYS</v>
    <v>XNYS</v>
    <v>24 Schilling Road, Suite 1, HUNT VALLEY, MD, 21031 US</v>
    <v>54.18</v>
    <v>45</v>
    <v>Food &amp; Tobacco</v>
    <v>Stock</v>
    <v>46101.987290856247</v>
    <v>46</v>
    <v>53.25</v>
    <v>14294334150</v>
    <v>MCCORMICK &amp; COMPANY, INCORPORATED</v>
    <v>MCCORMICK &amp; COMPANY, INCORPORATED</v>
    <v>53.75</v>
    <v>54.148000000000003</v>
    <v>53.25</v>
    <v>53.26</v>
    <v>268438200</v>
    <v>MKC.V</v>
    <v>MCCORMICK &amp; COMPANY, INCORPORATED (XNYS:MKC.V)</v>
    <v>14449</v>
    <v>7439</v>
    <v>1915</v>
  </rv>
  <rv s="2">
    <v>47</v>
  </rv>
  <rv s="7">
    <v>12</v>
    <v>P/E</v>
    <v>0</v>
  </rv>
  <rv s="0">
    <v>https://www.bing.com/financeapi/forcetrigger?t=axyhnm&amp;q=XNAS%3aPEP&amp;form=skydnc</v>
    <v>Learn more on Bing</v>
  </rv>
  <rv s="1">
    <v>0</v>
    <v>Pepsico, Inc. (XNAS:PEP)</v>
    <v>2</v>
    <v>3</v>
    <v>Finance</v>
    <v>4</v>
    <v>en-US</v>
    <v>axyhnm</v>
    <v>268435456</v>
    <v>1</v>
    <v>Powered by Refinitiv</v>
    <v>171.48</v>
    <v>127.6</v>
    <v>0.41210000000000002</v>
    <v>-2.7</v>
    <v>-1.7677000000000002E-2</v>
    <v>1.478</v>
    <v>9.8510000000000004E-3</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306000</v>
    <v>Nasdaq Stock Market</v>
    <v>XNAS</v>
    <v>XNAS</v>
    <v>700 ANDERSON HILL RD, PURCHASE, NY, 10577 US</v>
    <v>153.41</v>
    <v>Beverages</v>
    <v>Stock</v>
    <v>46101.998094767972</v>
    <v>50</v>
    <v>149.34</v>
    <v>205052015960</v>
    <v>Pepsico, Inc.</v>
    <v>Pepsico, Inc.</v>
    <v>152.44999999999999</v>
    <v>25.450500000000002</v>
    <v>152.74</v>
    <v>150.04</v>
    <v>151.518</v>
    <v>1366649000</v>
    <v>PEP</v>
    <v>Pepsico, Inc. (XNAS:PEP)</v>
    <v>14480711</v>
    <v>6601107</v>
    <v>1986</v>
  </rv>
  <rv s="2">
    <v>51</v>
  </rv>
  <rv s="0">
    <v>https://www.bing.com/financeapi/forcetrigger?t=a1yjxm&amp;q=XNYS%3aNKE&amp;form=skydnc</v>
    <v>Learn more on Bing</v>
  </rv>
  <rv s="1">
    <v>0</v>
    <v>NIKE, INC. (XNYS:NKE)</v>
    <v>2</v>
    <v>3</v>
    <v>Finance</v>
    <v>4</v>
    <v>en-US</v>
    <v>a1yjxm</v>
    <v>268435456</v>
    <v>1</v>
    <v>Powered by Refinitiv</v>
    <v>80.165000000000006</v>
    <v>52.174999999999997</v>
    <v>1.3153999999999999</v>
    <v>-1.07</v>
    <v>-2.0022000000000002E-2</v>
    <v>0.56000000000000005</v>
    <v>1.0692999999999999E-2</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53.61</v>
    <v>Textiles &amp; Apparel</v>
    <v>Stock</v>
    <v>46101.999906620309</v>
    <v>53</v>
    <v>52.174999999999997</v>
    <v>77527657710</v>
    <v>NIKE, INC.</v>
    <v>NIKE, INC.</v>
    <v>52.94</v>
    <v>31.335599999999999</v>
    <v>53.44</v>
    <v>52.37</v>
    <v>52.93</v>
    <v>1480383000</v>
    <v>NKE</v>
    <v>NIKE, INC. (XNYS:NKE)</v>
    <v>19566100</v>
    <v>15907513</v>
    <v>1969</v>
  </rv>
  <rv s="2">
    <v>54</v>
  </rv>
  <rv s="0">
    <v>https://www.bing.com/financeapi/forcetrigger?t=a1qlz2&amp;q=XNYS%3aCVX&amp;form=skydnc</v>
    <v>Learn more on Bing</v>
  </rv>
  <rv s="1">
    <v>0</v>
    <v>CHEVRON CORPORATION (XNYS:CVX)</v>
    <v>2</v>
    <v>3</v>
    <v>Finance</v>
    <v>4</v>
    <v>en-US</v>
    <v>a1qlz2</v>
    <v>268435456</v>
    <v>1</v>
    <v>Powered by Refinitiv</v>
    <v>205.08</v>
    <v>132.04</v>
    <v>0.61570000000000003</v>
    <v>0.28999999999999998</v>
    <v>1.4399999999999999E-3</v>
    <v>0.27</v>
    <v>1.338E-3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205.08</v>
    <v>Oil &amp; Gas</v>
    <v>Stock</v>
    <v>46101.999984027345</v>
    <v>56</v>
    <v>201</v>
    <v>402529016050</v>
    <v>CHEVRON CORPORATION</v>
    <v>CHEVRON CORPORATION</v>
    <v>201.4</v>
    <v>30.354099999999999</v>
    <v>201.44</v>
    <v>201.73</v>
    <v>202</v>
    <v>1995385000</v>
    <v>CVX</v>
    <v>CHEVRON CORPORATION (XNYS:CVX)</v>
    <v>35849471</v>
    <v>12251235</v>
    <v>1926</v>
  </rv>
  <rv s="2">
    <v>57</v>
  </rv>
  <rv s="0">
    <v>https://www.bing.com/financeapi/forcetrigger?t=a1mvm7&amp;q=XNYS%3aADM&amp;form=skydnc</v>
    <v>Learn more on Bing</v>
  </rv>
  <rv s="1">
    <v>0</v>
    <v>ARCHER-DANIELS-MIDLAND COMPANY. (XNYS:ADM)</v>
    <v>2</v>
    <v>3</v>
    <v>Finance</v>
    <v>4</v>
    <v>en-US</v>
    <v>a1mvm7</v>
    <v>268435456</v>
    <v>1</v>
    <v>Powered by Refinitiv</v>
    <v>73.72</v>
    <v>40.98</v>
    <v>0.67330000000000001</v>
    <v>-2.4700000000000002</v>
    <v>-3.5985000000000003E-2</v>
    <v>0.27</v>
    <v>4.0799999999999994E-3</v>
    <v>USD</v>
    <v>Archer-Daniels-Midland Company is a global agricultural supply chain manager and processor, providing food security by connecting local needs with global capabilities. It is a human and animal nutrition provider. Its Ag Services and Oilseeds segment includes global activities related to the origination, merchandising, transportation, and storage of agricultural raw materials, and the crushing and further processing of oilseeds, such as soybeans and soft seeds into vegetable oils and protein meals. Carbohydrate Solutions segment is engaged in corn and wheat wet and dry milling and other activities. Nutrition segment is engaged in the creation, manufacturing, sale, and distribution of a wide array of ingredients and solutions, including plant-based proteins, flavors and colors derived from nature, flavor systems, emulsifiers, soluble fiber, polyols, hydrocolloids, probiotics, prebiotics, postbiotics, enzymes, botanical extracts, and other specialty food and feed ingredients and systems.</v>
    <v>40798</v>
    <v>New York Stock Exchange</v>
    <v>XNYS</v>
    <v>XNYS</v>
    <v>77 W. Wacker Dr., CHICAGO, IL, 60601 US</v>
    <v>68.819999999999993</v>
    <v>Food &amp; Tobacco</v>
    <v>Stock</v>
    <v>46101.979712360939</v>
    <v>59</v>
    <v>65.069999999999993</v>
    <v>31841123106</v>
    <v>ARCHER-DANIELS-MIDLAND COMPANY.</v>
    <v>ARCHER-DANIELS-MIDLAND COMPANY.</v>
    <v>68.819999999999993</v>
    <v>29.692599999999999</v>
    <v>68.64</v>
    <v>66.17</v>
    <v>66.44</v>
    <v>481201800</v>
    <v>ADM</v>
    <v>ARCHER-DANIELS-MIDLAND COMPANY. (XNYS:ADM)</v>
    <v>16669302</v>
    <v>3647753</v>
    <v>1923</v>
  </rv>
  <rv s="2">
    <v>60</v>
  </rv>
  <rv s="0">
    <v>https://www.bing.com/financeapi/forcetrigger?t=a1om4c&amp;q=XNYS%3aBLK&amp;form=skydnc</v>
    <v>Learn more on Bing</v>
  </rv>
  <rv s="1">
    <v>0</v>
    <v>BLACKROCK, INC. (XNYS:BLK)</v>
    <v>2</v>
    <v>3</v>
    <v>Finance</v>
    <v>4</v>
    <v>en-US</v>
    <v>a1om4c</v>
    <v>268435456</v>
    <v>1</v>
    <v>Powered by Refinitiv</v>
    <v>1219.9399000000001</v>
    <v>773.74009999999998</v>
    <v>1.4962</v>
    <v>-11.69</v>
    <v>-1.2057E-2</v>
    <v>8.39</v>
    <v>8.7589999999999994E-3</v>
    <v>USD</v>
    <v>BlackRock, Inc. is an investment management company. The Company provides a range of investment management and technology services to institutional and retail clients. Its diverse platform of alpha-seeking active, private markets, index and cash management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24900</v>
    <v>New York Stock Exchange</v>
    <v>XNYS</v>
    <v>XNYS</v>
    <v>50 Hudson Yards, NEW YORK, NY, 10001 US</v>
    <v>971.79</v>
    <v>Investment Banking &amp; Investment Services</v>
    <v>Stock</v>
    <v>46101.999200277343</v>
    <v>62</v>
    <v>945.52</v>
    <v>148994758265</v>
    <v>BLACKROCK, INC.</v>
    <v>BLACKROCK, INC.</v>
    <v>970.26</v>
    <v>27.64</v>
    <v>969.6</v>
    <v>957.91</v>
    <v>966.3</v>
    <v>155541500</v>
    <v>BLK</v>
    <v>BLACKROCK, INC. (XNYS:BLK)</v>
    <v>1410189</v>
    <v>960684</v>
    <v>2024</v>
  </rv>
  <rv s="2">
    <v>63</v>
  </rv>
  <rv s="0">
    <v>https://www.bing.com/financeapi/forcetrigger?t=a1ook2&amp;q=XNYS%3aBMY&amp;form=skydnc</v>
    <v>Learn more on Bing</v>
  </rv>
  <rv s="1">
    <v>0</v>
    <v>BRISTOL-MYERS SQUIBB COMPANY (XNYS:BMY)</v>
    <v>2</v>
    <v>3</v>
    <v>Finance</v>
    <v>4</v>
    <v>en-US</v>
    <v>a1ook2</v>
    <v>268435456</v>
    <v>1</v>
    <v>Powered by Refinitiv</v>
    <v>62.886400000000002</v>
    <v>42.52</v>
    <v>0.29070000000000001</v>
    <v>-0.63</v>
    <v>-1.0842000000000001E-2</v>
    <v>0.17</v>
    <v>2.9580000000000001E-3</v>
    <v>USD</v>
    <v>Bristol-Myers Squibb Company is a global biopharmaceutical company. It is engaged in the discovery, development and delivery of transformational medicines for patients facing serious diseases in areas: oncology, hematology, immunology, cardiovascular, neuroscience and other areas. Its growth portfolio includes Opdivo (nivolumab), Opdivo Qvantig (nivolumab and hyaluronidase-nvhy), Yervoy (ipilimumab), Reblozyl (luspatercept-aamt), Opdualag (nivolumab and relatlimab-rmbw), Breyanzi (lisocabtagene maraleucel), Camzyos (mavacamten), Zeposia (ozanimod), Abecma (idecabtagene vicleucel), and Sotyktu (deucravacitinib). Its other growth products include Onureg, Inrebic, and Empliciti. Its legacy portfolio includes Eliquis (apixaban), Revlimid (lenalidomide), Pomalyst/Imnovid (pomalidomide), Sprycel (dasatinib), and Abraxane (paclitaxel albumin-bound particles for injectable suspension). Opdivo (nivolumab) is a fully human monoclonal antibody that binds to the PD-1 on T and NKT cells.</v>
    <v>32500</v>
    <v>New York Stock Exchange</v>
    <v>XNYS</v>
    <v>XNYS</v>
    <v>Route 206 And Province Line Road, PRINCETON, NJ, 08543 US</v>
    <v>58.545000000000002</v>
    <v>Pharmaceuticals</v>
    <v>Stock</v>
    <v>46101.998452858592</v>
    <v>65</v>
    <v>56.91</v>
    <v>117056525520</v>
    <v>BRISTOL-MYERS SQUIBB COMPANY</v>
    <v>BRISTOL-MYERS SQUIBB COMPANY</v>
    <v>58.26</v>
    <v>16.828399999999998</v>
    <v>58.11</v>
    <v>57.48</v>
    <v>57.65</v>
    <v>2036474000</v>
    <v>BMY</v>
    <v>BRISTOL-MYERS SQUIBB COMPANY (XNYS:BMY)</v>
    <v>65847757</v>
    <v>12318723</v>
    <v>1933</v>
  </rv>
  <rv s="2">
    <v>66</v>
  </rv>
  <rv s="0">
    <v>https://www.bing.com/financeapi/forcetrigger?t=a1qlnm&amp;q=XNYS%3aCVS&amp;form=skydnc</v>
    <v>Learn more on Bing</v>
  </rv>
  <rv s="1">
    <v>0</v>
    <v>CVS HEALTH CORPORATION (XNYS:CVS)</v>
    <v>2</v>
    <v>3</v>
    <v>Finance</v>
    <v>4</v>
    <v>en-US</v>
    <v>a1qlnm</v>
    <v>268435456</v>
    <v>1</v>
    <v>Powered by Refinitiv</v>
    <v>85.15</v>
    <v>58.35</v>
    <v>0.49980000000000002</v>
    <v>-0.38</v>
    <v>-5.2880000000000002E-3</v>
    <v>0.48180000000000001</v>
    <v>6.7400000000000003E-3</v>
    <v>USD</v>
    <v>CVS Health Corporation is a health solutions company. The Company's segments include Health Care Benefits, Health Services, Pharmacy &amp; Consumer Wellness and Corporate/Other. The Health Care Benefits segment offers a broad range of traditional, voluntary and consumer-directed health insurance products and related services, including medical, pharmacy, dental and behavioral health plans, PDPs and Medicaid health care management services. The Health Services segment provides a full range of pharmacy benefit management (PBM) solutions through its CVS Caremark operations and delivers health care services in its medical clinics, virtually, and in the home. The Pharmacy &amp; Consumer Wellness segment dispenses prescriptions in its CVS Pharmacy retail locations and, through its infusion operations, provides ancillary pharmacy services including pharmacy patient care programs, and vaccination administration, and sells a wide assortment of health and wellness products and general merchandise.</v>
    <v>300000</v>
    <v>New York Stock Exchange</v>
    <v>XNYS</v>
    <v>XNYS</v>
    <v>One Cvs Dr., WOONSOCKET, RI, 02895 US</v>
    <v>71.73</v>
    <v>Healthcare Providers &amp; Services</v>
    <v>Stock</v>
    <v>46101.985265532028</v>
    <v>68</v>
    <v>70.209999999999994</v>
    <v>90937642280</v>
    <v>CVS HEALTH CORPORATION</v>
    <v>CVS HEALTH CORPORATION</v>
    <v>71.5</v>
    <v>52.270600000000002</v>
    <v>71.86</v>
    <v>71.48</v>
    <v>71.961799999999997</v>
    <v>1272211000</v>
    <v>CVS</v>
    <v>CVS HEALTH CORPORATION (XNYS:CVS)</v>
    <v>18871390</v>
    <v>7591022</v>
    <v>1996</v>
  </rv>
  <rv s="2">
    <v>69</v>
  </rv>
  <rv s="0">
    <v>https://www.bing.com/financeapi/forcetrigger?t=a1rxu2&amp;q=XNYS%3aEMN&amp;form=skydnc</v>
    <v>Learn more on Bing</v>
  </rv>
  <rv s="1">
    <v>0</v>
    <v>EASTMAN CHEMICAL COMPANY (XNYS:EMN)</v>
    <v>2</v>
    <v>3</v>
    <v>Finance</v>
    <v>4</v>
    <v>en-US</v>
    <v>a1rxu2</v>
    <v>268435456</v>
    <v>1</v>
    <v>Powered by Refinitiv</v>
    <v>91.27</v>
    <v>56.11</v>
    <v>1.2499</v>
    <v>-3.43</v>
    <v>-4.9884000000000005E-2</v>
    <v>1.08</v>
    <v>1.6531000000000001E-2</v>
    <v>USD</v>
    <v>Eastman Chemical Company is a global specialty materials company that produces a range of products found in items people use every day. Its segments include Advanced Materials (AM), Additives &amp; Functional Products (AFP), Chemical Intermediates (CI), and Fibers. The AM segment produces and markets polymers, films, and plastics with differentiated performance properties for value-added end-uses in transportation; durables and electronics; building and construction; medical and pharma, and consumables end-markets. AFP segment manufactures materials for products in food, feed, and agriculture; transportation; water treatment and energy; personal care and wellness; building and construction; consumables, and durables and electronics end-markets. The CI segment sells intermediates for end-markets, such as industrial chemicals and processing, building and construction, health and wellness, and food and feed. Its Fibers segment manufactures and sells acetate tow and triacetin plasticizers.</v>
    <v>13000</v>
    <v>New York Stock Exchange</v>
    <v>XNYS</v>
    <v>XNYS</v>
    <v>Po Box 511, 200 South Wilcox Drive, KINGSPORT, TN, 37660 US</v>
    <v>69.17</v>
    <v>Chemicals</v>
    <v>Stock</v>
    <v>46101.997421550783</v>
    <v>71</v>
    <v>64.59</v>
    <v>7453976609</v>
    <v>EASTMAN CHEMICAL COMPANY</v>
    <v>EASTMAN CHEMICAL COMPANY</v>
    <v>68.86</v>
    <v>17.1754</v>
    <v>68.760000000000005</v>
    <v>65.33</v>
    <v>66.41</v>
    <v>114097300</v>
    <v>EMN</v>
    <v>EASTMAN CHEMICAL COMPANY (XNYS:EMN)</v>
    <v>5098217</v>
    <v>1586132</v>
    <v>1993</v>
  </rv>
  <rv s="2">
    <v>72</v>
  </rv>
  <rv s="0">
    <v>https://www.bing.com/financeapi/forcetrigger?t=a1uwu2&amp;q=XNYS%3aHSY&amp;form=skydnc</v>
    <v>Learn more on Bing</v>
  </rv>
  <rv s="1">
    <v>0</v>
    <v>THE HERSHEY COMPANY (XNYS:HSY)</v>
    <v>2</v>
    <v>3</v>
    <v>Finance</v>
    <v>4</v>
    <v>en-US</v>
    <v>a1uwu2</v>
    <v>268435456</v>
    <v>1</v>
    <v>Powered by Refinitiv</v>
    <v>239.48</v>
    <v>150.04</v>
    <v>0.16</v>
    <v>-0.44</v>
    <v>-2.0890000000000001E-3</v>
    <v>-3.3877000000000002</v>
    <v>-1.6121E-2</v>
    <v>USD</v>
    <v>The Hershey Company is a snacks company. The Company's segments include North America Confectionery, North America Salty Snacks and International. The North America Confectionery segment is responsible for its traditional chocolate and non-chocolate confectionery market position in the United States and Canada. This includes its business in chocolate and non-chocolate confectionery, gum and refreshment products, protein bars, spreads, snack bites and mixes, as well as pantry and food service lines. This segment also includes its retail operations. The North America Salty Snacks segment is responsible for its salty snacking products in the United States. This includes ready-to-eat popcorn, baked and trans fat free snacks, pretzels and other snacks. The Company's portfolio includes chocolate and confectionery brands such as Hershey's, Reese's, Kisses, Kit Kat, Jolly Rancher, Ice Breakers, LesserEvil, Shaq-a-licious alongside salty snacks, including SkinnyPop and Dot's Homestyle Pretzels.</v>
    <v>17550</v>
    <v>New York Stock Exchange</v>
    <v>XNYS</v>
    <v>XNYS</v>
    <v>19 East Chocolate Avenue, External Rptg &amp; Compliance, HERSHEY, PA, 17033 US</v>
    <v>212.37</v>
    <v>Food &amp; Tobacco</v>
    <v>Stock</v>
    <v>46101.992799733591</v>
    <v>74</v>
    <v>208.98</v>
    <v>42593465726</v>
    <v>THE HERSHEY COMPANY</v>
    <v>THE HERSHEY COMPANY</v>
    <v>211.69</v>
    <v>48.400399999999998</v>
    <v>210.58</v>
    <v>210.14</v>
    <v>206.75229999999999</v>
    <v>202690900</v>
    <v>HSY</v>
    <v>THE HERSHEY COMPANY (XNYS:HSY)</v>
    <v>5666597</v>
    <v>1754045</v>
    <v>1927</v>
  </rv>
  <rv s="2">
    <v>75</v>
  </rv>
  <rv s="0">
    <v>https://www.bing.com/financeapi/forcetrigger?t=a1w8ec&amp;q=XNYS%3aJNJ&amp;form=skydnc</v>
    <v>Learn more on Bing</v>
  </rv>
  <rv s="1">
    <v>0</v>
    <v>JOHNSON &amp; JOHNSON (XNYS:JNJ)</v>
    <v>2</v>
    <v>3</v>
    <v>Finance</v>
    <v>4</v>
    <v>en-US</v>
    <v>a1w8ec</v>
    <v>268435456</v>
    <v>1</v>
    <v>Powered by Refinitiv</v>
    <v>251.71</v>
    <v>141.5</v>
    <v>0.34189999999999998</v>
    <v>-2.23</v>
    <v>-9.3860000000000002E-3</v>
    <v>1.68</v>
    <v>7.1380000000000002E-3</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138200</v>
    <v>New York Stock Exchange</v>
    <v>XNYS</v>
    <v>XNYS</v>
    <v>One Johnson &amp; Johnson Plaza, NEW BRUNSWICK, NJ, 08933 US</v>
    <v>238.29</v>
    <v>Pharmaceuticals</v>
    <v>Stock</v>
    <v>46101.99500958281</v>
    <v>77</v>
    <v>234.5</v>
    <v>566915241810</v>
    <v>JOHNSON &amp; JOHNSON</v>
    <v>JOHNSON &amp; JOHNSON</v>
    <v>236.83</v>
    <v>21.517499999999998</v>
    <v>237.6</v>
    <v>235.37</v>
    <v>237.05</v>
    <v>2408613000</v>
    <v>JNJ</v>
    <v>JOHNSON &amp; JOHNSON (XNYS:JNJ)</v>
    <v>17156623</v>
    <v>8659328</v>
    <v>1887</v>
  </rv>
  <rv s="2">
    <v>78</v>
  </rv>
  <rv s="0">
    <v>https://www.bing.com/financeapi/forcetrigger?t=a1x8c7&amp;q=XNYS%3aLYB&amp;form=skydnc</v>
    <v>Learn more on Bing</v>
  </rv>
  <rv s="8">
    <v>13</v>
    <v>LyondellBasell Industries NV (XNYS:LYB)</v>
    <v>2</v>
    <v>14</v>
    <v>Finance</v>
    <v>4</v>
    <v>en-US</v>
    <v>a1x8c7</v>
    <v>268435456</v>
    <v>1</v>
    <v>Powered by Refinitiv</v>
    <v>77.36</v>
    <v>41.58</v>
    <v>0.49769999999999998</v>
    <v>-1.25</v>
    <v>-1.6763E-2</v>
    <v>-7.0000000000000007E-2</v>
    <v>-9.5469999999999995E-4</v>
    <v>USD</v>
    <v>LyondellBasell Industries N.V. is a global, independent chemical company creating solutions for everyday sustainable living. The Company's segments include Olefins and Polyolefins-Americas (O&amp;P-Americas), Olefins and Polyolefins-Europe, Asia, International (O&amp;P-EAI), Intermediates and Derivatives (I&amp;D), Advanced Polymer Solutions (APS), and Technology. The O&amp;P-Americas and O&amp;P-EAI segments produces and markets olefins and co-products, polyethylene, and polypropylene. The I&amp;D segment produces and markets propylene oxide (PO) and its derivatives, oxyfuels and related products, and intermediate chemicals, such as styrene monomer (SM), and acetyls. The APS segment produces and markets compounding and solutions, such as polypropylene compounds, engineered plastics, masterbatches, engineered composites, colors, and powders. The Technology segment develops and licenses chemical and polyolefin process technologies and manufactures and sells polyolefin catalysts.</v>
    <v>18970</v>
    <v>New York Stock Exchange</v>
    <v>XNYS</v>
    <v>XNYS</v>
    <v>4th Floor, One Vine Street, LONDON, W1J 0AH GB</v>
    <v>75.745000000000005</v>
    <v>Chemicals</v>
    <v>Stock</v>
    <v>46101.999480902341</v>
    <v>80</v>
    <v>72.819999999999993</v>
    <v>23621504399</v>
    <v>LyondellBasell Industries NV</v>
    <v>LyondellBasell Industries NV</v>
    <v>74.819999999999993</v>
    <v>74.569999999999993</v>
    <v>73.319999999999993</v>
    <v>73.25</v>
    <v>322170000</v>
    <v>LYB</v>
    <v>LyondellBasell Industries NV (XNYS:LYB)</v>
    <v>23437406</v>
    <v>9010155</v>
    <v>2009</v>
  </rv>
  <rv s="2">
    <v>81</v>
  </rv>
  <rv s="0">
    <v>https://www.bing.com/financeapi/forcetrigger?t=a1xg3m&amp;q=XNYS%3aMDT&amp;form=skydnc</v>
    <v>Learn more on Bing</v>
  </rv>
  <rv s="1">
    <v>0</v>
    <v>MEDTRONIC PUBLIC LIMITED COMPANY (XNYS:MDT)</v>
    <v>2</v>
    <v>3</v>
    <v>Finance</v>
    <v>4</v>
    <v>en-US</v>
    <v>a1xg3m</v>
    <v>268435456</v>
    <v>1</v>
    <v>Powered by Refinitiv</v>
    <v>106.33</v>
    <v>79.55</v>
    <v>0.76729999999999998</v>
    <v>-0.71</v>
    <v>-8.1729999999999997E-3</v>
    <v>0.51880000000000004</v>
    <v>6.0209999999999994E-3</v>
    <v>USD</v>
    <v>Medtronic Public Limited Company is an Ireland-based company, which provides healthcare technology solutions. The Company’s products category includes Advanced Surgical Technology; Cardiac Rhythm; Cardiovascular; Digestive &amp; Gastrointestinal; Ear, Nose &amp; Throat; General Surgery; Gynecological; Neurological; Oral &amp; Maxillofacial; Patient Monitoring; Renal Care; Respiratory; Spinal &amp; Orthopedic; Surgical Navigation &amp; Imaging; Urological; Product Manuals; Product Ordering &amp; Inquiries; and Product Performance &amp; Advisories. Its products include Cardiac Implantable Electronic Device (CIED) Stabilization, Aortic Stent Graft Products, CareLink Personal Therapy Management Software, CareLink Pro Therapy Management Software. Its services and solutions include Ambulatory Surgery Center Resources, Care Management Services, Digital Connectivity Information Technology (IT) Support, Equipment Services and Support, Innovation Lab, Medtronic Healthcare Consulting, and Office-Based Sinus Surgery.</v>
    <v>95000</v>
    <v>New York Stock Exchange</v>
    <v>XNYS</v>
    <v>XNYS</v>
    <v>Building Two Parkmore Business Park West, GALWAY, CONNACHT, H91 4K49 IE</v>
    <v>87.275000000000006</v>
    <v>Healthcare Equipment &amp; Supplies</v>
    <v>Stock</v>
    <v>46101.98250918906</v>
    <v>83</v>
    <v>85.78</v>
    <v>110619531600</v>
    <v>MEDTRONIC PUBLIC LIMITED COMPANY</v>
    <v>MEDTRONIC PUBLIC LIMITED COMPANY</v>
    <v>86.83</v>
    <v>24.059000000000001</v>
    <v>86.87</v>
    <v>86.16</v>
    <v>86.678799999999995</v>
    <v>1283885000</v>
    <v>MDT</v>
    <v>MEDTRONIC PUBLIC LIMITED COMPANY (XNYS:MDT)</v>
    <v>11113868</v>
    <v>8591337</v>
    <v>2014</v>
  </rv>
  <rv s="2">
    <v>84</v>
  </rv>
  <rv s="0">
    <v>https://www.bing.com/financeapi/forcetrigger?t=a1z11h&amp;q=XNYS%3aO&amp;form=skydnc</v>
    <v>Learn more on Bing</v>
  </rv>
  <rv s="1">
    <v>0</v>
    <v>REALTY INCOME CORPORATION (XNYS:O)</v>
    <v>2</v>
    <v>3</v>
    <v>Finance</v>
    <v>4</v>
    <v>en-US</v>
    <v>a1z11h</v>
    <v>268435456</v>
    <v>1</v>
    <v>Powered by Refinitiv</v>
    <v>67.935000000000002</v>
    <v>50.71</v>
    <v>0.78200000000000003</v>
    <v>-1.69</v>
    <v>-2.6980000000000001E-2</v>
    <v>0.24</v>
    <v>3.9379999999999997E-3</v>
    <v>USD</v>
    <v>Realty Income Corporation is a real estate investment trust. The Company is engaged in the acquisition, ownership, and management of freestanding commercial properties leased under long‑term net lease agreements to a diversified base of operators, including a blend of investment grade, investment grade equivalent, and other clients. It owns a portfolio of over 15,500 properties in all 50 United States (U.S.) states, the United Kingdom, and eight other countries in Europe. It is engaged in a single business activity, which is the leasing of property to clients, generally on a net basis. That business activity spans various geographic boundaries and includes property types and clients engaged in various industries. Its property types include retail, industrial, gaming, and other. Its industry concentrations include grocery, convenience stores, home improvement, dollar stores, restaurants-quick service, health and fitness, drug stores, automotive service, among others.</v>
    <v>544</v>
    <v>New York Stock Exchange</v>
    <v>XNYS</v>
    <v>XNYS</v>
    <v>11995 El Camino Real, SAN DIEGO, CA, 92130 US</v>
    <v>62.6</v>
    <v>Residential &amp; Commercial REIT</v>
    <v>Stock</v>
    <v>46101.998865358597</v>
    <v>86</v>
    <v>60.6</v>
    <v>56832230190</v>
    <v>REALTY INCOME CORPORATION</v>
    <v>REALTY INCOME CORPORATION</v>
    <v>62.3</v>
    <v>52.3491</v>
    <v>62.64</v>
    <v>60.95</v>
    <v>61.19</v>
    <v>932440200</v>
    <v>O</v>
    <v>REALTY INCOME CORPORATION (XNYS:O)</v>
    <v>10257281</v>
    <v>6864723</v>
    <v>1997</v>
  </rv>
  <rv s="2">
    <v>87</v>
  </rv>
  <rv s="0">
    <v>https://www.bing.com/financeapi/forcetrigger?t=a2319c&amp;q=XNYS%3aSJM&amp;form=skydnc</v>
    <v>Learn more on Bing</v>
  </rv>
  <rv s="8">
    <v>13</v>
    <v>THE J. M. SMUCKER COMPANY (XNYS:SJM)</v>
    <v>2</v>
    <v>14</v>
    <v>Finance</v>
    <v>4</v>
    <v>en-US</v>
    <v>a2319c</v>
    <v>268435456</v>
    <v>1</v>
    <v>Powered by Refinitiv</v>
    <v>120.76</v>
    <v>93.3</v>
    <v>0.23039999999999999</v>
    <v>-1.04</v>
    <v>-1.0358000000000001E-2</v>
    <v>0.93</v>
    <v>9.3589999999999993E-3</v>
    <v>USD</v>
    <v>The J. M. Smucker Company is engaged in the manufacturing and marketing of branded food and beverage products on a worldwide basis. The Company’s branded food and beverage products include a portfolio of brands that are sold to consumers primarily through retail outlets in North America. The Company operates through four segments: U.S. Retail Coffee, U.S. Retail Frozen Handheld and Spreads, and U.S. Retail Pet Foods, and Sweet Baked Snacks. The U.S. Retail Coffee segment primarily includes the domestic sales of Folgers, Dunkin’, and Cafe Bustelo branded coffee. The U.S. Retail Frozen Handheld and Spreads segment primarily includes the domestic sales of Uncrustables, Jif, and Smucker’s branded products. The U.S. Retail Pet Foods segment primarily includes the domestic sales of Meow Mix, Milk-Bone, Pup-Peroni, and Canine Carry Outs branded products. The Sweet Baked Snacks segment primarily includes all domestic and foreign sales of Hostess branded products across all channels.</v>
    <v>8000</v>
    <v>New York Stock Exchange</v>
    <v>XNYS</v>
    <v>XNYS</v>
    <v>One Strawberry Lane, ORRVILLE, OH, 44667-1241 US</v>
    <v>100.89</v>
    <v>Food &amp; Tobacco</v>
    <v>Stock</v>
    <v>46101.980223147657</v>
    <v>89</v>
    <v>98.8</v>
    <v>10597641571</v>
    <v>THE J. M. SMUCKER COMPANY</v>
    <v>THE J. M. SMUCKER COMPANY</v>
    <v>100.86</v>
    <v>100.41</v>
    <v>99.37</v>
    <v>100.3</v>
    <v>106648300</v>
    <v>SJM</v>
    <v>THE J. M. SMUCKER COMPANY (XNYS:SJM)</v>
    <v>2968641</v>
    <v>2686927</v>
    <v>1921</v>
  </rv>
  <rv s="2">
    <v>90</v>
  </rv>
  <rv s="0">
    <v>https://www.bing.com/financeapi/forcetrigger?t=a23d6h&amp;q=XNYS%3aSPG&amp;form=skydnc</v>
    <v>Learn more on Bing</v>
  </rv>
  <rv s="1">
    <v>0</v>
    <v>SIMON PROPERTY GROUP, INC. (XNYS:SPG)</v>
    <v>2</v>
    <v>3</v>
    <v>Finance</v>
    <v>4</v>
    <v>en-US</v>
    <v>a23d6h</v>
    <v>268435456</v>
    <v>1</v>
    <v>Powered by Refinitiv</v>
    <v>205.11500000000001</v>
    <v>136.34</v>
    <v>1.3983000000000001</v>
    <v>-6.79</v>
    <v>-3.5491999999999996E-2</v>
    <v>3.18</v>
    <v>1.7233999999999999E-2</v>
    <v>USD</v>
    <v>Simon Property Group, Inc. is a self-administered and self-managed real estate investment trust. The Company owns, develops and manages premier shopping, dining, entertainment and mixed-use destinations, which consist primarily of malls, Premium Outlets, The Mills, and International Properties. It owns approximately 250 plus global properties. Its properties include Apple Blossom Mall, Auburn Mall, Barton Creek Square, Battlefield Mall, Bay Park Square, Brea Mall, Briarwood Mall, Brickell City Centre, Broadway Square, Burlington Mall, Cape Cod Mall, Castleton Square, Cielo Vista Mall, Coconut Point, College Mall, Columbia Center, Copley Place, Coral Square, Cordova Mall, Dadeland Mall, Del Amo Fashion Center, Empire Mall, Firewheel Town Center, Greenwood Park Mall, Haywood Mall, King of Prussia, La Plaza, Lakeline Mall, Lenox Square, Mall of Georgia, Meadowood Mall, Menlo Park Mall, Miami International Mall, North East Mall, Ocean County Mall, Pheasant Lane Mall, and Phillips Place.</v>
    <v>3100</v>
    <v>New York Stock Exchange</v>
    <v>XNYS</v>
    <v>XNYS</v>
    <v>225 West Washington Street, INDIANAPOLIS, IN, 46204-3438 US</v>
    <v>191.94</v>
    <v>Residential &amp; Commercial REIT</v>
    <v>Stock</v>
    <v>46101.999986921095</v>
    <v>92</v>
    <v>183.21</v>
    <v>59960382916</v>
    <v>SIMON PROPERTY GROUP, INC.</v>
    <v>SIMON PROPERTY GROUP, INC.</v>
    <v>191.71</v>
    <v>13.018800000000001</v>
    <v>191.31</v>
    <v>184.52</v>
    <v>187.7</v>
    <v>324953300</v>
    <v>SPG</v>
    <v>SIMON PROPERTY GROUP, INC. (XNYS:SPG)</v>
    <v>3861093</v>
    <v>1578170</v>
    <v>2025</v>
  </rv>
  <rv s="2">
    <v>93</v>
  </rv>
  <rv s="0">
    <v>https://www.bing.com/financeapi/forcetrigger?t=a23www&amp;q=XNYS%3aT&amp;form=skydnc</v>
    <v>Learn more on Bing</v>
  </rv>
  <rv s="1">
    <v>0</v>
    <v>AT&amp;T INC. (XNYS:T)</v>
    <v>2</v>
    <v>3</v>
    <v>Finance</v>
    <v>4</v>
    <v>en-US</v>
    <v>a23www</v>
    <v>268435456</v>
    <v>1</v>
    <v>Powered by Refinitiv</v>
    <v>29.79</v>
    <v>22.95</v>
    <v>0.34499999999999997</v>
    <v>0.56999999999999995</v>
    <v>2.0548E-2</v>
    <v>0.01</v>
    <v>3.5319999999999997E-4</v>
    <v>USD</v>
    <v>AT&amp;T Inc. is a holding company. The Company is a provider of telecommunications and technology services globally. The Company’s segments include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Internet Protocol (IP) Voice and managed professional services, as well as legacy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133030</v>
    <v>New York Stock Exchange</v>
    <v>XNYS</v>
    <v>XNYS</v>
    <v>208 S. Akard St, DALLAS, TX, 75202 US</v>
    <v>28.63</v>
    <v>Telecommunications Services</v>
    <v>Stock</v>
    <v>46101.999662407034</v>
    <v>95</v>
    <v>27.835000000000001</v>
    <v>198186334870</v>
    <v>AT&amp;T INC.</v>
    <v>AT&amp;T INC.</v>
    <v>27.835000000000001</v>
    <v>9.2771000000000008</v>
    <v>27.74</v>
    <v>28.31</v>
    <v>28.32</v>
    <v>7000577000</v>
    <v>T</v>
    <v>AT&amp;T INC. (XNYS:T)</v>
    <v>128734186</v>
    <v>40444052</v>
    <v>1983</v>
  </rv>
  <rv s="2">
    <v>96</v>
  </rv>
  <rv s="0">
    <v>http://it.wikipedia.org/wiki/T._Rowe_Price</v>
    <v>Wikipedia</v>
  </rv>
  <rv s="3">
    <v>9</v>
    <v>98</v>
  </rv>
  <rv s="4">
    <v>9</v>
    <v>https://www.bing.com/th?id=AMMS_4c600be848f66590834841f27e6f786d&amp;qlt=95</v>
    <v>99</v>
    <v>0</v>
    <v>https://www.bing.com/images/search?form=xlimg&amp;q=t.+rowe+price</v>
    <v>Image of T. ROWE PRICE GROUP, INC.</v>
  </rv>
  <rv s="0">
    <v>https://www.bing.com/financeapi/forcetrigger?t=a24i3m&amp;q=XNAS%3aTROW&amp;form=skydnc</v>
    <v>Learn more on Bing</v>
  </rv>
  <rv s="5">
    <v>5</v>
    <v>T. ROWE PRICE GROUP, INC. (XNAS:TROW)</v>
    <v>7</v>
    <v>8</v>
    <v>Finance</v>
    <v>4</v>
    <v>en-US</v>
    <v>a24i3m</v>
    <v>268435456</v>
    <v>1</v>
    <v>Powered by Refinitiv</v>
    <v>118.22</v>
    <v>77.849999999999994</v>
    <v>1.5442</v>
    <v>-0.9</v>
    <v>-1.0334000000000001E-2</v>
    <v>0.63</v>
    <v>7.3089999999999995E-3</v>
    <v>USD</v>
    <v>T. Rowe Price Group, Inc. is a financial services holding company that provides global investment advisory services to investors. It provides a range of investment solutions across equity, fixed income, multi-asset, and alternative capabilities for clients from individuals to advisors to institutions to retirement plan sponsors. It also provides certain investment advisory clients with related administrative services, including distribution, mutual fund transfer agent, accounting, and shareholder services; participant recordkeeping and transfer agent services for defined contribution retirement plans; brokerage; trust services, and non-discretionary advisory services through model delivery. It distributes its array of active investment solutions through a diverse set of distribution channels and vehicles. These vehicles include an array of U.S. mutual funds, collective investment trusts, exchange-traded funds, subadvised funds, separately managed accounts, and other sponsored products.</v>
    <v>7773</v>
    <v>Nasdaq Stock Market</v>
    <v>XNAS</v>
    <v>XNAS</v>
    <v>Harbor Point, 1307 Point Street, BALTIMORE, MD, 21231 US</v>
    <v>87.46</v>
    <v>100</v>
    <v>Investment Banking &amp; Investment Services</v>
    <v>Stock</v>
    <v>46101.996807881253</v>
    <v>101</v>
    <v>85.22</v>
    <v>18755452521</v>
    <v>T. ROWE PRICE GROUP, INC.</v>
    <v>T. ROWE PRICE GROUP, INC.</v>
    <v>86.95</v>
    <v>9.3231000000000002</v>
    <v>87.09</v>
    <v>86.19</v>
    <v>86.82</v>
    <v>217605900</v>
    <v>TROW</v>
    <v>T. ROWE PRICE GROUP, INC. (XNAS:TROW)</v>
    <v>9438661</v>
    <v>2206536</v>
    <v>2000</v>
  </rv>
  <rv s="2">
    <v>102</v>
  </rv>
  <rv s="0">
    <v>https://www.bing.com/financeapi/forcetrigger?t=a24km7&amp;q=XNYS%3aTSN&amp;form=skydnc</v>
    <v>Learn more on Bing</v>
  </rv>
  <rv s="1">
    <v>0</v>
    <v>TYSON FOODS, INCORPORATED (XNYS:TSN)</v>
    <v>2</v>
    <v>3</v>
    <v>Finance</v>
    <v>4</v>
    <v>en-US</v>
    <v>a24km7</v>
    <v>268435456</v>
    <v>1</v>
    <v>Powered by Refinitiv</v>
    <v>66.41</v>
    <v>50.56</v>
    <v>0.47089999999999999</v>
    <v>-0.94</v>
    <v>-1.5900000000000001E-2</v>
    <v>1.1599999999999999</v>
    <v>1.9938000000000001E-2</v>
    <v>USD</v>
    <v>Tyson Foods, Inc. is a food company. The Company has a portfolio of iconic products and brands, including Tyson, Jimmy Dean, Hillshire Farm, Ball Park, Wright, State Fair, Aidells and ibp. Its segments include Beef, Pork, Chicken and Prepared Foods. The Beef segment includes operations related to processing live-fed cattle and fabricating dressed beef carcasses into primal and sub-primal meat cuts and case-ready products. Its Pork segment includes operations related to processing live market hogs and fabricating pork carcasses into primal and sub-primal cuts and case-ready products. The Chicken segment includes domestic operations related to raising and processing live chickens into, and purchasing raw materials for fresh, frozen and value-added chicken products and sales from specialty products. The Prepared Foods segment includes operations related to manufacturing and marketing frozen and refrigerated food products and logistics operations to move products through the supply chain.</v>
    <v>133000</v>
    <v>New York Stock Exchange</v>
    <v>XNYS</v>
    <v>XNYS</v>
    <v>2200 DON TYSON PARKWAY, SPRINGDALE, AR, 72762-6999 US</v>
    <v>59.48</v>
    <v>Food &amp; Tobacco</v>
    <v>Stock</v>
    <v>46101.958333344533</v>
    <v>104</v>
    <v>57.96</v>
    <v>20483956220</v>
    <v>TYSON FOODS, INCORPORATED</v>
    <v>TYSON FOODS, INCORPORATED</v>
    <v>59.08</v>
    <v>103.672</v>
    <v>59.12</v>
    <v>58.18</v>
    <v>59.34</v>
    <v>352079000</v>
    <v>TSN</v>
    <v>TYSON FOODS, INCORPORATED (XNYS:TSN)</v>
    <v>5879814</v>
    <v>3188367</v>
    <v>1986</v>
  </rv>
  <rv s="2">
    <v>105</v>
  </rv>
  <rv s="0">
    <v>https://www.bing.com/financeapi/forcetrigger?t=a24xlh&amp;q=XNYS%3aUNH&amp;form=skydnc</v>
    <v>Learn more on Bing</v>
  </rv>
  <rv s="1">
    <v>0</v>
    <v>UNITEDHEALTH GROUP INCORPORATED (XNYS:UNH)</v>
    <v>2</v>
    <v>3</v>
    <v>Finance</v>
    <v>4</v>
    <v>en-US</v>
    <v>a24xlh</v>
    <v>268435456</v>
    <v>1</v>
    <v>Powered by Refinitiv</v>
    <v>606.36</v>
    <v>234.6</v>
    <v>0.39090000000000003</v>
    <v>-4.8499999999999996</v>
    <v>-1.7294E-2</v>
    <v>2.5211000000000001</v>
    <v>9.1479999999999999E-3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283.10000000000002</v>
    <v>Healthcare Providers &amp; Services</v>
    <v>Stock</v>
    <v>46101.999454675781</v>
    <v>107</v>
    <v>275</v>
    <v>250146373721</v>
    <v>UNITEDHEALTH GROUP INCORPORATED</v>
    <v>UNITEDHEALTH GROUP INCORPORATED</v>
    <v>278.99</v>
    <v>20.887799999999999</v>
    <v>280.44</v>
    <v>275.58999999999997</v>
    <v>278.11110000000002</v>
    <v>907675800</v>
    <v>UNH</v>
    <v>UNITEDHEALTH GROUP INCORPORATED (XNYS:UNH)</v>
    <v>38893036</v>
    <v>7598119</v>
    <v>2015</v>
  </rv>
  <rv s="2">
    <v>108</v>
  </rv>
  <rv s="0">
    <v>https://www.bing.com/financeapi/forcetrigger?t=a24ynm&amp;q=XNYS%3aUPS&amp;form=skydnc</v>
    <v>Learn more on Bing</v>
  </rv>
  <rv s="1">
    <v>0</v>
    <v>UNITED PARCEL SERVICE, INC. (XNYS:UPS)</v>
    <v>2</v>
    <v>3</v>
    <v>Finance</v>
    <v>4</v>
    <v>en-US</v>
    <v>a24ynm</v>
    <v>268435456</v>
    <v>1</v>
    <v>Powered by Refinitiv</v>
    <v>122.41</v>
    <v>82</v>
    <v>1.1024</v>
    <v>-0.7</v>
    <v>-7.2490000000000002E-3</v>
    <v>0.69</v>
    <v>7.1979999999999995E-3</v>
    <v>USD</v>
    <v>United Parcel Service, Inc. provides a range of integrated logistics solutions for customers in more than 200 countries and territories. Its U.S. Domestic Package segment offers a range of United States domestic air and ground package transportation services. Its air portfolio offers time-definite, same-day, next-day, two-day and three-day delivery alternatives as well as air cargo services. Its ground network enables customers to ship using its day-definite ground service. UPS SurePost provides residential ground service for customers with non-urgent, lightweight residential shipments. Its International Package segment consists of small package operations in Europe, Indian sub-continent, Middle East and Africa, Canada and Latin America and Asia. It offers a selection of guaranteed day- and time-definite international shipping services. Its supply chain solutions consist of forwarding, logistics, customized third-party logistics and specialized cold chain transportation solutions.</v>
    <v>460000</v>
    <v>New York Stock Exchange</v>
    <v>XNYS</v>
    <v>XNYS</v>
    <v>55 Glenlake Parkway Ne, ATLANTA, GA, 30328 US</v>
    <v>97.64</v>
    <v>Freight &amp; Logistics Services</v>
    <v>Stock</v>
    <v>46101.999865983591</v>
    <v>110</v>
    <v>95.17</v>
    <v>81394888962</v>
    <v>UNITED PARCEL SERVICE, INC.</v>
    <v>UNITED PARCEL SERVICE, INC.</v>
    <v>97.09</v>
    <v>14.6119</v>
    <v>96.56</v>
    <v>95.86</v>
    <v>96.55</v>
    <v>849101700</v>
    <v>UPS</v>
    <v>UNITED PARCEL SERVICE, INC. (XNYS:UPS)</v>
    <v>34639778</v>
    <v>6022114</v>
    <v>1999</v>
  </rv>
  <rv s="2">
    <v>111</v>
  </rv>
  <rv s="0">
    <v>https://www.bing.com/financeapi/forcetrigger?t=a25obh&amp;q=XNYS%3aVZ&amp;form=skydnc</v>
    <v>Learn more on Bing</v>
  </rv>
  <rv s="1">
    <v>0</v>
    <v>VERIZON COMMUNICATIONS INC. (XNYS:VZ)</v>
    <v>2</v>
    <v>3</v>
    <v>Finance</v>
    <v>4</v>
    <v>en-US</v>
    <v>a25obh</v>
    <v>268435456</v>
    <v>1</v>
    <v>Powered by Refinitiv</v>
    <v>51.664999999999999</v>
    <v>38.39</v>
    <v>0.28039999999999998</v>
    <v>0.5</v>
    <v>1.0104999999999999E-2</v>
    <v>0.16</v>
    <v>3.2009999999999999E-3</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89900</v>
    <v>New York Stock Exchange</v>
    <v>XNYS</v>
    <v>XNYS</v>
    <v>1095 Avenue Of The Americas, NEW YORK, NY, 10036 US</v>
    <v>50.454999999999998</v>
    <v>Telecommunications Services</v>
    <v>Stock</v>
    <v>46101.998630532034</v>
    <v>113</v>
    <v>49.49</v>
    <v>210799846320</v>
    <v>VERIZON COMMUNICATIONS INC.</v>
    <v>VERIZON COMMUNICATIONS INC.</v>
    <v>49.74</v>
    <v>12.3103</v>
    <v>49.48</v>
    <v>49.98</v>
    <v>50.14</v>
    <v>4217684000</v>
    <v>VZ</v>
    <v>VERIZON COMMUNICATIONS INC. (XNYS:VZ)</v>
    <v>67321764</v>
    <v>27347291</v>
    <v>1983</v>
  </rv>
  <rv s="2">
    <v>114</v>
  </rv>
  <rv s="0">
    <v>https://www.bing.com/financeapi/forcetrigger?t=a1wjz2&amp;q=XNYS%3aKMB&amp;form=skydnc</v>
    <v>Learn more on Bing</v>
  </rv>
  <rv s="1">
    <v>0</v>
    <v>KIMBERLY-CLARK CORPORATION (XNAS:KMB)</v>
    <v>2</v>
    <v>3</v>
    <v>Finance</v>
    <v>4</v>
    <v>en-US</v>
    <v>a1wjz2</v>
    <v>268435456</v>
    <v>1</v>
    <v>Powered by Refinitiv</v>
    <v>147.12</v>
    <v>96.26</v>
    <v>0.27779999999999999</v>
    <v>-0.38</v>
    <v>-3.8549999999999999E-3</v>
    <v>1</v>
    <v>1.0182999999999999E-2</v>
    <v>USD</v>
    <v>Kimberly-Clark Corporation is a global company focused on delivering products and solutions that provide better care. The Company's segments include North America and International Personal Care. The North America segment consists of products encompassing each of its five global daily-need categories across consumer and professional channels including disposable diapers, training and youth pants, swim pants, baby wipes, feminine and incontinence care products, reusable underwear, facial and bathroom tissue, paper towels, napkins, wipers, tissue, towels, soaps and sanitizers and other related products. International Personal Care segment consists of three core categories: Baby &amp; Child Care, Adult Care and Feminine Care, including disposable diapers, training and youth pants, swim pants, baby wipes, feminine and incontinence care products, reusable underwear and other related products. Its portfolio of brands includes Huggies, Kleenex, Scott, Kotex, Cottonelle, Depend, and Pull-Ups.</v>
    <v>36000</v>
    <v>Nasdaq Stock Market</v>
    <v>XNAS</v>
    <v>XNAS</v>
    <v>351 Phelps Dr, IRVING, TX, 75038 US</v>
    <v>99.6</v>
    <v>Personal &amp; Household Products &amp; Services</v>
    <v>Stock</v>
    <v>46101.992759710156</v>
    <v>116</v>
    <v>97.795000000000002</v>
    <v>32594779680</v>
    <v>KIMBERLY-CLARK CORPORATION</v>
    <v>KIMBERLY-CLARK CORPORATION</v>
    <v>98.93</v>
    <v>20.101099999999999</v>
    <v>98.58</v>
    <v>98.2</v>
    <v>99.2</v>
    <v>331922400</v>
    <v>KMB</v>
    <v>KIMBERLY-CLARK CORPORATION (XNAS:KMB)</v>
    <v>13109726</v>
    <v>4823540</v>
    <v>1928</v>
  </rv>
  <rv s="2">
    <v>117</v>
  </rv>
  <rv s="0">
    <v>http://en.wikipedia.org/wiki/McDonald's</v>
    <v>Wikipedia</v>
  </rv>
  <rv s="3">
    <v>9</v>
    <v>119</v>
  </rv>
  <rv s="4">
    <v>9</v>
    <v>https://www.bing.com/th?id=AMMS_7d8255243964a8970376f8dd41121106&amp;qlt=95</v>
    <v>120</v>
    <v>0</v>
    <v>https://www.bing.com/images/search?form=xlimg&amp;q=mcdonald%27s</v>
    <v>Image of MCDONALD'S CORPORATION</v>
  </rv>
  <rv s="0">
    <v>https://www.bing.com/financeapi/forcetrigger?t=a1xdec&amp;q=XNYS%3aMCD&amp;form=skydnc</v>
    <v>Learn more on Bing</v>
  </rv>
  <rv s="5">
    <v>5</v>
    <v>MCDONALD'S CORPORATION (XNYS:MCD)</v>
    <v>7</v>
    <v>8</v>
    <v>Finance</v>
    <v>4</v>
    <v>en-US</v>
    <v>a1xdec</v>
    <v>268435456</v>
    <v>1</v>
    <v>Powered by Refinitiv</v>
    <v>341.75</v>
    <v>283.47000000000003</v>
    <v>0.52910000000000001</v>
    <v>-0.73</v>
    <v>-2.3580000000000003E-3</v>
    <v>1.02</v>
    <v>3.3029999999999999E-3</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311.37</v>
    <v>121</v>
    <v>Hotels &amp; Entertainment Services</v>
    <v>Stock</v>
    <v>46101.999665312498</v>
    <v>122</v>
    <v>307.62</v>
    <v>219406607610</v>
    <v>MCDONALD'S CORPORATION</v>
    <v>MCDONALD'S CORPORATION</v>
    <v>309.8</v>
    <v>25.837800000000001</v>
    <v>309.58</v>
    <v>308.85000000000002</v>
    <v>309.87</v>
    <v>710398600</v>
    <v>MCD</v>
    <v>MCDONALD'S CORPORATION (XNYS:MCD)</v>
    <v>6436566</v>
    <v>3326990</v>
    <v>1964</v>
  </rv>
  <rv s="2">
    <v>123</v>
  </rv>
  <rv s="0">
    <v>https://www.bing.com/financeapi/forcetrigger?t=a1x2ur&amp;q=XNYS%3aLOW&amp;form=skydnc</v>
    <v>Learn more on Bing</v>
  </rv>
  <rv s="1">
    <v>0</v>
    <v>LOWE'S COMPANIES, INC. (XNYS:LOW)</v>
    <v>2</v>
    <v>3</v>
    <v>Finance</v>
    <v>4</v>
    <v>en-US</v>
    <v>a1x2ur</v>
    <v>268435456</v>
    <v>1</v>
    <v>Powered by Refinitiv</v>
    <v>293.06</v>
    <v>206.38499999999999</v>
    <v>0.97560000000000002</v>
    <v>-5.08</v>
    <v>-2.2114999999999999E-2</v>
    <v>1.8698999999999999</v>
    <v>8.3239999999999998E-3</v>
    <v>USD</v>
    <v>Lowe's Companies, Inc. is a home improvement company. The Company offers a complete line of products for construction, maintenance, repair, remodeling, and decorating. It offers home improvement products in various categories, including appliances, seasonal and outdoor living, lumber, lawn and garden, kitchens and bath, hardware, building materials, millwork, paint, rough plumbing, tools, electrical, flooring, and decor. It is focused on offering a wide selection of national brand-name merchandise complemented by its selection of private brands. Its services include installed sales and Lowe's Protection Plans and Repair Services. The Company offers installation services through independent contractors in many of its product categories. It offers extended protection plans for certain products within the appliances, kitchens and bath, decor, millwork, rough plumbing, electrical, seasonal and outdoor living, tools, and hardware categories. It operates over 1,700 home improvement stores.</v>
    <v>161000</v>
    <v>New York Stock Exchange</v>
    <v>XNYS</v>
    <v>XNYS</v>
    <v>1000 Lowes Blvd, MOORESVILLE, NC, 28117-8520 US</v>
    <v>229.85890000000001</v>
    <v>Specialty Retailers</v>
    <v>Stock</v>
    <v>46101.99975993047</v>
    <v>125</v>
    <v>224.15</v>
    <v>126017430000</v>
    <v>LOWE'S COMPANIES, INC.</v>
    <v>LOWE'S COMPANIES, INC.</v>
    <v>229.23500000000001</v>
    <v>18.961200000000002</v>
    <v>229.71</v>
    <v>224.63</v>
    <v>226.4999</v>
    <v>561000000</v>
    <v>LOW</v>
    <v>LOWE'S COMPANIES, INC. (XNYS:LOW)</v>
    <v>3643980</v>
    <v>2831459</v>
    <v>1952</v>
  </rv>
  <rv s="2">
    <v>126</v>
  </rv>
  <rv s="0">
    <v>https://www.bing.com/financeapi/forcetrigger?t=a1wzw7&amp;q=XNYS%3aLMT&amp;form=skydnc</v>
    <v>Learn more on Bing</v>
  </rv>
  <rv s="1">
    <v>0</v>
    <v>LOCKHEED MARTIN CORPORATION (XNYS:LMT)</v>
    <v>2</v>
    <v>3</v>
    <v>Finance</v>
    <v>4</v>
    <v>en-US</v>
    <v>a1wzw7</v>
    <v>268435456</v>
    <v>1</v>
    <v>Powered by Refinitiv</v>
    <v>692</v>
    <v>410.11</v>
    <v>0.2117</v>
    <v>-10.08</v>
    <v>-1.5812E-2</v>
    <v>-2.12</v>
    <v>-3.3789999999999996E-3</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638.50990000000002</v>
    <v>Aerospace &amp; Defense</v>
    <v>Stock</v>
    <v>46101.999681503905</v>
    <v>128</v>
    <v>622.37</v>
    <v>144359219886</v>
    <v>LOCKHEED MARTIN CORPORATION</v>
    <v>LOCKHEED MARTIN CORPORATION</v>
    <v>635.86</v>
    <v>29.6708</v>
    <v>637.51</v>
    <v>627.42999999999995</v>
    <v>625.30999999999995</v>
    <v>230080200</v>
    <v>LMT</v>
    <v>LOCKHEED MARTIN CORPORATION (XNYS:LMT)</v>
    <v>6511253</v>
    <v>1613175</v>
    <v>1994</v>
  </rv>
  <rv s="2">
    <v>129</v>
  </rv>
  <rv s="0">
    <v>https://www.bing.com/financeapi/forcetrigger?t=a1mpqh&amp;q=XNYS%3aABBV&amp;form=skydnc</v>
    <v>Learn more on Bing</v>
  </rv>
  <rv s="1">
    <v>0</v>
    <v>ABBVIE INC. (XNYS:ABBV)</v>
    <v>2</v>
    <v>3</v>
    <v>Finance</v>
    <v>4</v>
    <v>en-US</v>
    <v>a1mpqh</v>
    <v>268435456</v>
    <v>1</v>
    <v>Powered by Refinitiv</v>
    <v>244.81</v>
    <v>164.39</v>
    <v>0.3821</v>
    <v>-1.1599999999999999</v>
    <v>-5.6249999999999998E-3</v>
    <v>1.18</v>
    <v>5.7540000000000004E-3</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57000</v>
    <v>New York Stock Exchange</v>
    <v>XNYS</v>
    <v>XNYS</v>
    <v>1 N Waukegan Rd, NORTH CHICAGO, IL, 60064 US</v>
    <v>207.78</v>
    <v>Pharmaceuticals</v>
    <v>Stock</v>
    <v>46101.999836041403</v>
    <v>131</v>
    <v>203.06</v>
    <v>362598416830</v>
    <v>ABBVIE INC.</v>
    <v>ABBVIE INC.</v>
    <v>206.26499999999999</v>
    <v>87.374499999999998</v>
    <v>206.23</v>
    <v>205.07</v>
    <v>206.25</v>
    <v>1768169000</v>
    <v>ABBV</v>
    <v>ABBVIE INC. (XNYS:ABBV)</v>
    <v>27982356</v>
    <v>6523811</v>
    <v>2012</v>
  </rv>
  <rv s="2">
    <v>132</v>
  </rv>
  <rv s="0">
    <v>https://www.bing.com/financeapi/forcetrigger?t=a1mw4c&amp;q=XNAS%3aADP&amp;form=skydnc</v>
    <v>Learn more on Bing</v>
  </rv>
  <rv s="1">
    <v>0</v>
    <v>AUTOMATIC DATA PROCESSING, INC. (XNAS:ADP)</v>
    <v>2</v>
    <v>3</v>
    <v>Finance</v>
    <v>4</v>
    <v>en-US</v>
    <v>a1mw4c</v>
    <v>268435456</v>
    <v>1</v>
    <v>Powered by Refinitiv</v>
    <v>329.92950000000002</v>
    <v>203.26</v>
    <v>0.84050000000000002</v>
    <v>-1.97</v>
    <v>-9.3520000000000009E-3</v>
    <v>2.7416999999999998</v>
    <v>1.3138E-2</v>
    <v>USD</v>
    <v>Automatic Data Processing, Inc. is a provider of cloud-based human capital management (HCM) solutions. Its segments include Employer Services and Professional Employer Organization (PEO). Its Employer Services segment serves clients ranging from single-employee small businesses to large enterprises with tens of thousands of employees around the world, offering a range of technology-based HCM solutions, including its cloud-based platforms, and human resource outsourcing (HRO) (other than PEO) solutions. Its offerings include Payroll Services, Benefits Administration, Talent Management, HR Management, Workforce Management, Compliance Services, Insurance Services and Retirement Services. Its PEO business, called ADP TotalSource, provides clients with guidance, technology, comprehensive employee benefits, risk management, safety, and workers’ compensation program. Its compensation management software supports the compensation planning needs.</v>
    <v>67000</v>
    <v>Nasdaq Stock Market</v>
    <v>XNAS</v>
    <v>XNAS</v>
    <v>One ADP Boulevard, ROSELAND, NJ, 07068 US</v>
    <v>212.79</v>
    <v>Software &amp; IT Services</v>
    <v>Stock</v>
    <v>46101.99415630781</v>
    <v>134</v>
    <v>208.56</v>
    <v>84027838967</v>
    <v>AUTOMATIC DATA PROCESSING, INC.</v>
    <v>AUTOMATIC DATA PROCESSING, INC.</v>
    <v>211.27</v>
    <v>20.047499999999999</v>
    <v>210.66</v>
    <v>208.69</v>
    <v>211.43170000000001</v>
    <v>402644300</v>
    <v>ADP</v>
    <v>AUTOMATIC DATA PROCESSING, INC. (XNAS:ADP)</v>
    <v>19084187</v>
    <v>4045412</v>
    <v>1961</v>
  </rv>
  <rv s="2">
    <v>135</v>
  </rv>
  <rv s="0">
    <v>https://www.bing.com/financeapi/forcetrigger?t=a1ngur&amp;q=XNYS%3aAMT&amp;form=skydnc</v>
    <v>Learn more on Bing</v>
  </rv>
  <rv s="1">
    <v>0</v>
    <v>AMERICAN TOWER CORPORATION (XNYS:AMT)</v>
    <v>2</v>
    <v>3</v>
    <v>Finance</v>
    <v>4</v>
    <v>en-US</v>
    <v>a1ngur</v>
    <v>268435456</v>
    <v>1</v>
    <v>Powered by Refinitiv</v>
    <v>234.33</v>
    <v>166.88</v>
    <v>0.90759999999999996</v>
    <v>-5.97</v>
    <v>-3.2666000000000001E-2</v>
    <v>0.51</v>
    <v>2.885E-3</v>
    <v>USD</v>
    <v>American Tower Corporation is a global real estate investment trust (REIT) and an independent owner, operator and developer of multitenant communications real estate with a portfolio of nearly 150,000 communications sites and a highly interconnected footprint of United States data center facilities. The Company's segments include U.S. &amp; Canada property, Africa &amp; APAC property, Europe property, Latin America property, Data Centers and Services. The Company’s primary business is leasing space on multitenant communications sites to wireless service providers, radio and television broadcast companies, wireless data providers, government agencies and municipalities and tenants in a number of other industries. The Company’s Data Centers segment relates to data center facilities and related assets that it owns and operates in the United States. Its Services segment offers tower-related services in the United States, including AZP, structural and mount analyses, and construction management.</v>
    <v>4866</v>
    <v>New York Stock Exchange</v>
    <v>XNYS</v>
    <v>XNYS</v>
    <v>116 Huntington Ave, BOSTON, MA, 02116 US</v>
    <v>185.72</v>
    <v>Residential &amp; Commercial REIT</v>
    <v>Stock</v>
    <v>46101.992355335155</v>
    <v>137</v>
    <v>175.6</v>
    <v>82399131792</v>
    <v>AMERICAN TOWER CORPORATION</v>
    <v>AMERICAN TOWER CORPORATION</v>
    <v>184.02</v>
    <v>32.758899999999997</v>
    <v>182.76</v>
    <v>176.79</v>
    <v>177.3</v>
    <v>466084800</v>
    <v>AMT</v>
    <v>AMERICAN TOWER CORPORATION (XNYS:AMT)</v>
    <v>6368009</v>
    <v>3075264</v>
    <v>1996</v>
  </rv>
  <rv s="2">
    <v>138</v>
  </rv>
  <rv s="0">
    <v>https://www.bing.com/financeapi/forcetrigger?t=a1nkm7&amp;q=XNYS%3aAOS&amp;form=skydnc</v>
    <v>Learn more on Bing</v>
  </rv>
  <rv s="1">
    <v>0</v>
    <v>A. O. SMITH CORPORATION (XNYS:AOS)</v>
    <v>2</v>
    <v>3</v>
    <v>Finance</v>
    <v>4</v>
    <v>en-US</v>
    <v>a1nkm7</v>
    <v>268435456</v>
    <v>1</v>
    <v>Powered by Refinitiv</v>
    <v>81.864999999999995</v>
    <v>58.83</v>
    <v>1.3592</v>
    <v>-0.45</v>
    <v>-6.9720000000000008E-3</v>
    <v>0.5</v>
    <v>7.8019999999999999E-3</v>
    <v>USD</v>
    <v>A. O. Smith Corporation applies technologies and solutions to products manufactured and marketed worldwide. The Company operates through two segments: North America and Rest of World. Both the segments manufacture and market a comprehensive line of residential and commercial gas and electric water heaters, boilers, tanks, and water treatment products. Its Rest of World segment is primarily comprised of China, Europe, and India. The North America segment serves residential and commercial end markets with a range of products, including water heaters, boilers, water treatment products, and others. The Company also manufactures expansion tanks, commercial solar water heating systems, swimming pool and spa heaters, related products and parts. Its Lochinvar brand is a residential and commercial boiler brand in the United States. Its water softener branded products and problem well water solutions include the Hague, Water-Right, Master Water, Atlantic Filter, Impact, and Water Tec brands.</v>
    <v>11500</v>
    <v>New York Stock Exchange</v>
    <v>XNYS</v>
    <v>XNYS</v>
    <v>11270 W Park Pl, MILWAUKEE, WI, 53224-3623 US</v>
    <v>64.91</v>
    <v>Machinery, Equipment &amp; Components</v>
    <v>Stock</v>
    <v>46101.99403393516</v>
    <v>140</v>
    <v>63.34</v>
    <v>8859788782</v>
    <v>A. O. SMITH CORPORATION</v>
    <v>A. O. SMITH CORPORATION</v>
    <v>64.430000000000007</v>
    <v>16.6584</v>
    <v>64.540000000000006</v>
    <v>64.09</v>
    <v>64.59</v>
    <v>138239800</v>
    <v>AOS</v>
    <v>A. O. SMITH CORPORATION (XNYS:AOS)</v>
    <v>2863534</v>
    <v>1299863</v>
    <v>1986</v>
  </rv>
  <rv s="2">
    <v>141</v>
  </rv>
  <rv s="0">
    <v>https://www.bing.com/financeapi/forcetrigger?t=a1nz8m&amp;q=XNAS%3aAVGO&amp;form=skydnc</v>
    <v>Learn more on Bing</v>
  </rv>
  <rv s="1">
    <v>0</v>
    <v>BROADCOM INC. (XNAS:AVGO)</v>
    <v>2</v>
    <v>3</v>
    <v>Finance</v>
    <v>4</v>
    <v>en-US</v>
    <v>a1nz8m</v>
    <v>268435456</v>
    <v>1</v>
    <v>Powered by Refinitiv</v>
    <v>414.61</v>
    <v>138.1</v>
    <v>1.2487999999999999</v>
    <v>-9.33</v>
    <v>-2.9170999999999999E-2</v>
    <v>2.5901000000000001</v>
    <v>8.3409999999999995E-3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321.51</v>
    <v>Semiconductors &amp; Semiconductor Equipment</v>
    <v>Stock</v>
    <v>46101.999965971874</v>
    <v>143</v>
    <v>309.92</v>
    <v>1470161760680</v>
    <v>BROADCOM INC.</v>
    <v>BROADCOM INC.</v>
    <v>320.12</v>
    <v>67.052400000000006</v>
    <v>319.83999999999997</v>
    <v>310.51</v>
    <v>313.1001</v>
    <v>4734668000</v>
    <v>AVGO</v>
    <v>BROADCOM INC. (XNAS:AVGO)</v>
    <v>43325937</v>
    <v>26776804</v>
    <v>2018</v>
  </rv>
  <rv s="2">
    <v>144</v>
  </rv>
  <rv s="0">
    <v>https://www.bing.com/financeapi/forcetrigger?t=a1o1jc&amp;q=XNYS%3aAWK&amp;form=skydnc</v>
    <v>Learn more on Bing</v>
  </rv>
  <rv s="1">
    <v>0</v>
    <v>AMERICAN WATER WORKS COMPANY, INC. (XNYS:AWK)</v>
    <v>2</v>
    <v>3</v>
    <v>Finance</v>
    <v>4</v>
    <v>en-US</v>
    <v>a1o1jc</v>
    <v>268435456</v>
    <v>1</v>
    <v>Powered by Refinitiv</v>
    <v>155.5</v>
    <v>121.27500000000001</v>
    <v>0.73309999999999997</v>
    <v>-1.31</v>
    <v>-9.555000000000001E-3</v>
    <v>1.29</v>
    <v>9.4999999999999998E-3</v>
    <v>USD</v>
    <v>American Water Works Company, Inc. is a water and wastewater utility company. The Company's primary business involves the ownership of utilities that provide water and wastewater services to residential, commercial, industrial, public authority, fire service and sale for resale customers. It also operates other businesses that provide water and wastewater services to the United States government on military installations, as well as municipalities. The Company operates its business through the Regulated Businesses segment. The Regulated Businesses segment includes subsidiaries that provide water and wastewater services to customers in approximately 14 states. The Company's utilities operate in states such as Pennsylvania, Georgia, Hawaii, Indiana, Iowa, Kentucky, Maryland, Tennessee, Virginia and West Virginia. The Company also serves commercial customers, fire service customers, industrial customers, public authorities, other utilities and community water and wastewater systems.</v>
    <v>7000</v>
    <v>New York Stock Exchange</v>
    <v>XNYS</v>
    <v>XNYS</v>
    <v>1 Water Street, CAMDEN, NJ, 08102-1658 US</v>
    <v>137.74</v>
    <v>Water Utilities</v>
    <v>Stock</v>
    <v>46101.959152638279</v>
    <v>146</v>
    <v>135.13999999999999</v>
    <v>26507389373</v>
    <v>AMERICAN WATER WORKS COMPANY, INC.</v>
    <v>AMERICAN WATER WORKS COMPANY, INC.</v>
    <v>137.09</v>
    <v>24.063500000000001</v>
    <v>137.1</v>
    <v>135.79</v>
    <v>137.08000000000001</v>
    <v>195208700</v>
    <v>AWK</v>
    <v>AMERICAN WATER WORKS COMPANY, INC. (XNYS:AWK)</v>
    <v>4091888</v>
    <v>2012663</v>
    <v>1936</v>
  </rv>
  <rv s="2">
    <v>147</v>
  </rv>
  <rv s="0">
    <v>https://www.bing.com/financeapi/forcetrigger?t=a1o9gh&amp;q=XNYS%3aBBY&amp;form=skydnc</v>
    <v>Learn more on Bing</v>
  </rv>
  <rv s="1">
    <v>0</v>
    <v>Best Buy Co., Inc. (XNYS:BBY)</v>
    <v>2</v>
    <v>3</v>
    <v>Finance</v>
    <v>4</v>
    <v>en-US</v>
    <v>a1o9gh</v>
    <v>268435456</v>
    <v>1</v>
    <v>Powered by Refinitiv</v>
    <v>84.99</v>
    <v>54.99</v>
    <v>1.3935999999999999</v>
    <v>-1.39</v>
    <v>-2.1654E-2</v>
    <v>0.4</v>
    <v>6.3690000000000005E-3</v>
    <v>USD</v>
    <v>Best Buy Co., Inc. is engaged in personalizing and humanizing technology solutions. The Company has two segments: Domestic and International. The Domestic segment comprises its operations in all states, districts and territories of the United States and its Best Buy Health business and includes the brand names Best Buy, Best Buy Ads, Best Buy Business, Best Buy Essentials, Best Buy Health, Geek Squad, Imagine That, Insignia, Lively, My Best Buy, My Best Buy Memberships, Pacific Kitchen and Home, TechLiquidators and Yardbird; and the domain names bestbuy.com, lively.com, techliquidators.com and yardbird.com. The International segment comprises all its operations in Canada under the brand names Best Buy, Best Buy Express, Best Buy Mobile, Geek Squad and TechLiquidators and the domain names bestbuy.ca and techliquidators.ca. The Company’s product categories include computing and mobile phones, consumer electronics, appliances, entertainment, services and others.</v>
    <v>82000</v>
    <v>New York Stock Exchange</v>
    <v>XNYS</v>
    <v>XNYS</v>
    <v>7601 Penn Ave S, RICHFIELD, MN, 55423 US</v>
    <v>64.099999999999994</v>
    <v>Specialty Retailers</v>
    <v>Stock</v>
    <v>46101.999465601562</v>
    <v>149</v>
    <v>62.1</v>
    <v>13132271280</v>
    <v>Best Buy Co., Inc.</v>
    <v>Best Buy Co., Inc.</v>
    <v>64</v>
    <v>12.717599999999999</v>
    <v>64.19</v>
    <v>62.8</v>
    <v>63.2</v>
    <v>209112600</v>
    <v>BBY</v>
    <v>Best Buy Co., Inc. (XNYS:BBY)</v>
    <v>9930406</v>
    <v>5208049</v>
    <v>1966</v>
  </rv>
  <rv s="2">
    <v>150</v>
  </rv>
  <rv s="0">
    <v>https://www.bing.com/financeapi/forcetrigger?t=a1odur&amp;q=XNYS%3aBF.A&amp;form=skydnc</v>
    <v>Learn more on Bing</v>
  </rv>
  <rv s="8">
    <v>13</v>
    <v>BROWN-FORMAN CORPORATION (XNYS:BF.A)</v>
    <v>2</v>
    <v>14</v>
    <v>Finance</v>
    <v>4</v>
    <v>en-US</v>
    <v>a1odur</v>
    <v>268435456</v>
    <v>1</v>
    <v>Powered by Refinitiv</v>
    <v>35.954999999999998</v>
    <v>23.01</v>
    <v>0.47039999999999998</v>
    <v>-0.26</v>
    <v>-1.1022000000000001E-2</v>
    <v>0</v>
    <v>0</v>
    <v>USD</v>
    <v>Brown-Forman Corporation manufactures, distills, bottles, imports, exports, markets, and sells a variety of beverage alcohol products under brands. It has built a portfolio of more than 40 spirit, ready-to-drink (RTD) cocktails, and wine brands. Its brands include Jack Daniel’s Family of Brands, Woodford Reserve, Herradura, el Jimador, Korbel, New Mix, Old Forester, The Glendronach, Glenglassaugh, Benriach, Diplomatico Rum, Chambord, Gin Mare, Fords Gin, Slane, and Coopers’ Craft. Its Jack Daniel’s Family of Brands include Jack Daniel’s Tennessee Whiskey, Jack Daniel’s RTD, Jack Daniel’s Tennessee Honey, Gentleman Jack Rare Tennessee Whiskey, Jack Daniel’s Tennessee Apple, Jack Daniel’s Tennessee Fire, Jack Daniel’s Single Barrel Collection, Jack Daniel’s Bonded Tennessee Whiskey, Jack Daniel’s Bonded Tennessee Rye, Jack Daniel’s Triple Mash Blended Straight Whiskey, Jack Daniel’s American Single Malt, and Jack Daniel’s 12 Year Old. It sells its products in over 170 countries.</v>
    <v>5000</v>
    <v>New York Stock Exchange</v>
    <v>XNYS</v>
    <v>XNYS</v>
    <v>850 DIXIE HWY, LOUISVILLE, KY, 40210 US</v>
    <v>23.75</v>
    <v>Beverages</v>
    <v>Stock</v>
    <v>46101.958333356248</v>
    <v>152</v>
    <v>23.01</v>
    <v>10701554988</v>
    <v>BROWN-FORMAN CORPORATION</v>
    <v>BROWN-FORMAN CORPORATION</v>
    <v>23.75</v>
    <v>23.59</v>
    <v>23.33</v>
    <v>23.33</v>
    <v>458703600</v>
    <v>BF.A</v>
    <v>BROWN-FORMAN CORPORATION (XNYS:BF.A)</v>
    <v>627477</v>
    <v>247857</v>
    <v>1933</v>
  </rv>
  <rv s="2">
    <v>153</v>
  </rv>
  <rv s="0">
    <v>https://www.bing.com/financeapi/forcetrigger?t=a1p7zr&amp;q=XNYS%3aCAT&amp;form=skydnc</v>
    <v>Learn more on Bing</v>
  </rv>
  <rv s="1">
    <v>0</v>
    <v>CATERPILLAR INC. (XNYS:CAT)</v>
    <v>2</v>
    <v>3</v>
    <v>Finance</v>
    <v>4</v>
    <v>en-US</v>
    <v>a1p7zr</v>
    <v>268435456</v>
    <v>1</v>
    <v>Powered by Refinitiv</v>
    <v>789.81</v>
    <v>267.3</v>
    <v>1.5402</v>
    <v>-7.77</v>
    <v>-1.1283000000000001E-2</v>
    <v>4.62</v>
    <v>6.7850000000000002E-3</v>
    <v>USD</v>
    <v>Caterpillar Inc. is a manufacturer of construction and mining equipment, off-highway diesel and natural gas engines, industrial gas turbines and diesel-electric locomotives. Its segments include Construction Industries, Resource Industries and Power &amp; Energy. It also provides financing and related services through its Financial Products segment. Construction Industries segment is responsible for supporting customers using machinery in infrastructure and building construction applications. Resource Industries segment develops and manufactures high productivity equipment for both surface and underground mining operations around the world, and provides select work tools, machinery components, wear and maintenance components and related parts. Power &amp; Energy segment supports customers in oil and gas, power generation, marine, rail and industrial applications, including Caterpillar machines. It is engaged in the provision and development of mining software solutions to the mining industry.</v>
    <v>118000</v>
    <v>New York Stock Exchange</v>
    <v>XNYS</v>
    <v>XNYS</v>
    <v>5205 N. O'connor Boulevard, Suite 100, IRVING, TX, 75039 US</v>
    <v>694.06</v>
    <v>Machinery, Equipment &amp; Components</v>
    <v>Stock</v>
    <v>46101.997483251565</v>
    <v>155</v>
    <v>670.44</v>
    <v>316804816824</v>
    <v>CATERPILLAR INC.</v>
    <v>CATERPILLAR INC.</v>
    <v>686.63</v>
    <v>36.165999999999997</v>
    <v>688.65</v>
    <v>680.88</v>
    <v>685.5</v>
    <v>465287300</v>
    <v>CAT</v>
    <v>CATERPILLAR INC. (XNYS:CAT)</v>
    <v>5131128</v>
    <v>2850763</v>
    <v>1986</v>
  </rv>
  <rv s="2">
    <v>156</v>
  </rv>
  <rv s="0">
    <v>https://www.bing.com/financeapi/forcetrigger?t=a1pcf2&amp;q=XNYS%3aCCI&amp;form=skydnc</v>
    <v>Learn more on Bing</v>
  </rv>
  <rv s="1">
    <v>0</v>
    <v>CROWN CASTLE INC. (XNYS:CCI)</v>
    <v>2</v>
    <v>3</v>
    <v>Finance</v>
    <v>4</v>
    <v>en-US</v>
    <v>a1pcf2</v>
    <v>268435456</v>
    <v>1</v>
    <v>Powered by Refinitiv</v>
    <v>115.76</v>
    <v>77.010000000000005</v>
    <v>0.94879999999999998</v>
    <v>-2.71</v>
    <v>-3.1856000000000002E-2</v>
    <v>0.68799999999999994</v>
    <v>8.3540000000000003E-3</v>
    <v>USD</v>
    <v>Crown Castle Inc. owns, operates and leases more than 40,000 cell towers and approximately 90,000 route miles of fiber supporting small cells and fiber solutions across every United States market. Its core business is providing access, including space or capacity, to its shared communications infrastructure via long-term tenant contracts in various forms, including lease, license, sublease and service agreements in the United States. Its segments include Towers and Fiber, which includes both small cells and fiber solutions. The Towers segment provides access, including space or capacity, to the Company's more than 40,000 towers throughout the United States. The Towers segment also provides ancillary services relating to the Company's towers, consisting of site development services and installation services. The Fiber segment consists of communications infrastructure offerings of small cells and fiber solutions.</v>
    <v>4000</v>
    <v>New York Stock Exchange</v>
    <v>XNYS</v>
    <v>XNYS</v>
    <v>8020 Katy Freeway, HOUSTON, TX, 77024 US</v>
    <v>86.015000000000001</v>
    <v>Residential &amp; Commercial REIT</v>
    <v>Stock</v>
    <v>46101.996133830471</v>
    <v>158</v>
    <v>81.7</v>
    <v>35914758144</v>
    <v>CROWN CASTLE INC.</v>
    <v>CROWN CASTLE INC.</v>
    <v>85.13</v>
    <v>32.630699999999997</v>
    <v>85.07</v>
    <v>82.36</v>
    <v>83.048000000000002</v>
    <v>436070400</v>
    <v>CCI</v>
    <v>CROWN CASTLE INC. (XNYS:CCI)</v>
    <v>5086834</v>
    <v>3186224</v>
    <v>2014</v>
  </rv>
  <rv s="2">
    <v>159</v>
  </rv>
  <rv s="0">
    <v>https://www.bing.com/financeapi/forcetrigger?t=a1pshw&amp;q=XNYS%3aCL&amp;form=skydnc</v>
    <v>Learn more on Bing</v>
  </rv>
  <rv s="1">
    <v>0</v>
    <v>COLGATE-PALMOLIVE COMPANY (XNYS:CL)</v>
    <v>2</v>
    <v>3</v>
    <v>Finance</v>
    <v>4</v>
    <v>en-US</v>
    <v>a1pshw</v>
    <v>268435456</v>
    <v>1</v>
    <v>Powered by Refinitiv</v>
    <v>99.33</v>
    <v>74.545000000000002</v>
    <v>0.31979999999999997</v>
    <v>-0.38</v>
    <v>-4.444E-3</v>
    <v>0.35</v>
    <v>4.1120000000000002E-3</v>
    <v>USD</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33600</v>
    <v>New York Stock Exchange</v>
    <v>XNYS</v>
    <v>XNYS</v>
    <v>300 PARK AVE, NEW YORK, NY, 10022 US</v>
    <v>86.144999999999996</v>
    <v>Personal &amp; Household Products &amp; Services</v>
    <v>Stock</v>
    <v>46101.972977950783</v>
    <v>161</v>
    <v>84.07</v>
    <v>68227765760</v>
    <v>COLGATE-PALMOLIVE COMPANY</v>
    <v>COLGATE-PALMOLIVE COMPANY</v>
    <v>86.025000000000006</v>
    <v>32.616199999999999</v>
    <v>85.5</v>
    <v>85.12</v>
    <v>85.47</v>
    <v>801548000</v>
    <v>CL</v>
    <v>COLGATE-PALMOLIVE COMPANY (XNYS:CL)</v>
    <v>12313738</v>
    <v>6411886</v>
    <v>1923</v>
  </rv>
  <rv s="2">
    <v>162</v>
  </rv>
  <rv s="0">
    <v>https://www.bing.com/financeapi/forcetrigger?t=a1q19c&amp;q=XNYS%3aCNI&amp;form=skydnc</v>
    <v>Learn more on Bing</v>
  </rv>
  <rv s="1">
    <v>0</v>
    <v>Canadian National Railway Company (XNYS:CNI)</v>
    <v>2</v>
    <v>15</v>
    <v>Finance</v>
    <v>4</v>
    <v>en-US</v>
    <v>a1q19c</v>
    <v>268435456</v>
    <v>1</v>
    <v>Powered by Refinitiv</v>
    <v>113.08499999999999</v>
    <v>90.74</v>
    <v>0.99199999999999999</v>
    <v>-0.69</v>
    <v>-6.9630000000000004E-3</v>
    <v>-1.3609</v>
    <v>-1.3829000000000001E-2</v>
    <v>USD</v>
    <v>Canadian National Railway Company is a transportation and logistics company. The Company's services include rail, intermodal, trucking, and supply chain services. The Company’s rail services offer equipment, customs brokerage services, transloading and distribution, private car storage and others. Its intermodal container services help shippers expand their door-to-door market reach with about 23 strategically placed intermodal terminals. Its intermodal services include temperature-controlled cargo, port partnerships, logistics park, custom brokerage, transloading and distribution, and others. Its trucking services include door-to-door service, import and export dray, interline services, and specialized services. Its supply chain services offer comprehensive services across a range of industries and product types. The Company transports more than 300 million tons of natural resources, manufactured products, and finished goods throughout North America every year.</v>
    <v>23839</v>
    <v>New York Stock Exchange</v>
    <v>XNYS</v>
    <v>XNYS</v>
    <v>935 de la Gauchetiere Street West, MONTREAL, QC, H3B 2M9 CA</v>
    <v>100.22</v>
    <v>Freight &amp; Logistics Services</v>
    <v>Stock</v>
    <v>46101.973349189066</v>
    <v>164</v>
    <v>97.98</v>
    <v>64942908000</v>
    <v>Canadian National Railway Company</v>
    <v>Canadian National Railway Company</v>
    <v>98.93</v>
    <v>17.846699999999998</v>
    <v>99.1</v>
    <v>98.41</v>
    <v>97.049099999999996</v>
    <v>611400000</v>
    <v>CNI</v>
    <v>Canadian National Railway Company (XNYS:CNI)</v>
    <v>2168865</v>
    <v>2045373</v>
    <v>1995</v>
  </rv>
  <rv s="2">
    <v>165</v>
  </rv>
  <rv s="0">
    <v>https://www.bing.com/financeapi/forcetrigger?t=a1q6k2&amp;q=XNAS%3aCOST&amp;form=skydnc</v>
    <v>Learn more on Bing</v>
  </rv>
  <rv s="1">
    <v>0</v>
    <v>COSTCO WHOLESALE CORPORATION (XNAS:COST)</v>
    <v>2</v>
    <v>3</v>
    <v>Finance</v>
    <v>4</v>
    <v>en-US</v>
    <v>a1q6k2</v>
    <v>268435456</v>
    <v>1</v>
    <v>Powered by Refinitiv</v>
    <v>1067.08</v>
    <v>844.06</v>
    <v>0.997</v>
    <v>-2.4500000000000002</v>
    <v>-2.513E-3</v>
    <v>1.8271999999999999</v>
    <v>1.879E-3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980.76</v>
    <v>Diversified Retail</v>
    <v>Stock</v>
    <v>46101.999650890626</v>
    <v>167</v>
    <v>970.54</v>
    <v>431376635325</v>
    <v>COSTCO WHOLESALE CORPORATION</v>
    <v>COSTCO WHOLESALE CORPORATION</v>
    <v>975.08</v>
    <v>52.084800000000001</v>
    <v>974.78</v>
    <v>972.33</v>
    <v>974.15719999999999</v>
    <v>443652500</v>
    <v>COST</v>
    <v>COSTCO WHOLESALE CORPORATION (XNAS:COST)</v>
    <v>2621555</v>
    <v>1918915</v>
    <v>1987</v>
  </rv>
  <rv s="2">
    <v>168</v>
  </rv>
  <rv s="0">
    <v>https://www.bing.com/financeapi/forcetrigger?t=a1q7jc&amp;q=XNYS%3aCPB&amp;form=skydnc</v>
    <v>Learn more on Bing</v>
  </rv>
  <rv s="1">
    <v>0</v>
    <v>THE CAMPBELL'S COMPANY (XNAS:CPB)</v>
    <v>2</v>
    <v>3</v>
    <v>Finance</v>
    <v>4</v>
    <v>en-US</v>
    <v>a1q7jc</v>
    <v>268435456</v>
    <v>1</v>
    <v>Powered by Refinitiv</v>
    <v>40.590000000000003</v>
    <v>20.8</v>
    <v>2.8899999999999999E-2</v>
    <v>0.04</v>
    <v>1.902E-3</v>
    <v>0.04</v>
    <v>1.8979999999999999E-3</v>
    <v>USD</v>
    <v>The Campbell's Company, formerly Campbell Soup Company, provides affordable food and beverages. The Company is focused on brand powerhouse, across two divisions: Meals &amp; Beverages and Snacks. The Company’s portfolio of approximately 16 brands includes Campbell’s, Cape Cod, Chunky, Goldfish, Kettle Brand, Lance, Late July, Pace, Pacific Foods, Pepperidge Farm, Prego, Rao’s, Snack Factory Pretzel Crisps, Snyder’s of Hanover, Swanson and V8. It offers nutritious, convenient food for Canadian families. Its North American Foodservice division offers food, recipes, and tailored solutions for a wide range of segments, including healthcare facilities, restaurants and specialty coffee shops, schools, vending and micro-markets, and lodging throughout North America. Pacific Foods is a producer of organic broth and soup. Offering a wide range of tasty organic and plant-based options, soups include Creamy Roasted Red Pepper &amp; Tomato and new ready-to-serve canned soups.</v>
    <v>13700</v>
    <v>Nasdaq Stock Market</v>
    <v>XNAS</v>
    <v>XNAS</v>
    <v>Campbell Pl, CAMDEN, NJ, 08103 US</v>
    <v>21.21</v>
    <v>Food &amp; Tobacco</v>
    <v>Stock</v>
    <v>46101.999807256252</v>
    <v>170</v>
    <v>20.8</v>
    <v>6281946755</v>
    <v>THE CAMPBELL'S COMPANY</v>
    <v>THE CAMPBELL'S COMPANY</v>
    <v>20.98</v>
    <v>10.909700000000001</v>
    <v>21.03</v>
    <v>21.07</v>
    <v>21.11</v>
    <v>298146500</v>
    <v>CPB</v>
    <v>THE CAMPBELL'S COMPANY (XNAS:CPB)</v>
    <v>11692495</v>
    <v>9515639</v>
    <v>1922</v>
  </rv>
  <rv s="2">
    <v>171</v>
  </rv>
  <rv s="0">
    <v>https://www.bing.com/financeapi/forcetrigger?t=a1qpw7&amp;q=XNYS%3aD&amp;form=skydnc</v>
    <v>Learn more on Bing</v>
  </rv>
  <rv s="1">
    <v>0</v>
    <v>Dominion Energy, Inc. (XNYS:D)</v>
    <v>2</v>
    <v>3</v>
    <v>Finance</v>
    <v>4</v>
    <v>en-US</v>
    <v>a1qpw7</v>
    <v>268435456</v>
    <v>1</v>
    <v>Powered by Refinitiv</v>
    <v>67.569900000000004</v>
    <v>48.07</v>
    <v>0.66930000000000001</v>
    <v>-1.64</v>
    <v>-2.6876000000000001E-2</v>
    <v>0.57999999999999996</v>
    <v>9.7680000000000006E-3</v>
    <v>USD</v>
    <v>Dominion Energy, Inc. provides regulated electricity service to about 3.6 million homes and businesses in Virginia, North Carolina, and South Carolina, and regulated natural gas service to 500,000 customers in South Carolina. It is a developer and operator of regulated offshore wind and solar power and the producer of carbon-free electricity in New England. Its Dominion Energy Virginia segment is composed of Virginia Power’s regulated electric transmission, distribution, and generation operations, which serve homes and businesses in Virginia and North Carolina. Its Dominion Energy South Carolina segment consists of DESC’s generation, transmission, and distribution of electricity to customers in the central, southern and southwestern portions of South Carolina and the distribution of natural gas to residential, commercial and industrial customers in South Carolina. Its Contracted Energy segment includes non-regulated electric generation fleet and renewable natural gas operations.</v>
    <v>15200</v>
    <v>New York Stock Exchange</v>
    <v>XNYS</v>
    <v>XNYS</v>
    <v>600 EAST CANAL STREET, RICHMOND, VA, 23219 US</v>
    <v>61.26</v>
    <v>Electrical Utilities &amp; IPPs</v>
    <v>Stock</v>
    <v>46101.998282812499</v>
    <v>173</v>
    <v>59.09</v>
    <v>52182288928</v>
    <v>Dominion Energy, Inc.</v>
    <v>Dominion Energy, Inc.</v>
    <v>61.1</v>
    <v>17.1996</v>
    <v>61.02</v>
    <v>59.38</v>
    <v>59.96</v>
    <v>878785600</v>
    <v>D</v>
    <v>Dominion Energy, Inc. (XNYS:D)</v>
    <v>7784767</v>
    <v>5857336</v>
    <v>1983</v>
  </rv>
  <rv s="2">
    <v>174</v>
  </rv>
  <rv s="0">
    <v>https://www.bing.com/financeapi/forcetrigger?t=a1qvjc&amp;q=XNYS%3aDE&amp;form=skydnc</v>
    <v>Learn more on Bing</v>
  </rv>
  <rv s="1">
    <v>0</v>
    <v>DEERE &amp; COMPANY (XNYS:DE)</v>
    <v>2</v>
    <v>3</v>
    <v>Finance</v>
    <v>4</v>
    <v>en-US</v>
    <v>a1qvjc</v>
    <v>268435456</v>
    <v>1</v>
    <v>Powered by Refinitiv</v>
    <v>674.18989999999997</v>
    <v>404.42</v>
    <v>0.9879</v>
    <v>-7.85</v>
    <v>-1.3831E-2</v>
    <v>6.27</v>
    <v>1.1202E-2</v>
    <v>USD</v>
    <v>Deere &amp; Company is engaged in the delivery of agricultural, construction and forestry equipment. Its segments include production and precision agriculture (PPA), small agriculture and turf (SAT), construction and forestry (CF), and financial services (FS). PPA segment defines, develops and delivers global equipment and technology solutions for production-scale growers of large grains, small grains, cotton and sugarcane. SAT segment defines, develops and delivers global equipment and technology solutions for dairy and livestock producers, high-value and small acreage crop producers, and turf and utility customers. CF segment defines, develops and delivers a range of machines and technology solutions organized along the earthmoving, forestry and roadbuilding production systems. FS segment finances sales and leases by John Deere dealers of new and used production and precision agriculture equipment and others. Its products include John Deere Autonomous 8R Tractor and E-Power Backhoe.</v>
    <v>73100</v>
    <v>New York Stock Exchange</v>
    <v>XNYS</v>
    <v>XNYS</v>
    <v>One John Deere Place, MOLINE, IL, 61265 US</v>
    <v>573.71</v>
    <v>Machinery, Equipment &amp; Components</v>
    <v>Stock</v>
    <v>46101.999283321093</v>
    <v>176</v>
    <v>551.27499999999998</v>
    <v>151187159029</v>
    <v>DEERE &amp; COMPANY</v>
    <v>DEERE &amp; COMPANY</v>
    <v>568.57000000000005</v>
    <v>31.557700000000001</v>
    <v>567.58000000000004</v>
    <v>559.73</v>
    <v>566</v>
    <v>270107300</v>
    <v>DE</v>
    <v>DEERE &amp; COMPANY (XNYS:DE)</v>
    <v>2727249</v>
    <v>1819850</v>
    <v>1958</v>
  </rv>
  <rv s="2">
    <v>177</v>
  </rv>
  <rv s="0">
    <v>https://www.bing.com/financeapi/forcetrigger?t=a1qwoc&amp;q=XNYS%3aDEO&amp;form=skydnc</v>
    <v>Learn more on Bing</v>
  </rv>
  <rv s="1">
    <v>0</v>
    <v>DIAGEO PLC (XNYS:DEO)</v>
    <v>2</v>
    <v>16</v>
    <v>Finance</v>
    <v>4</v>
    <v>en-US</v>
    <v>a1qwoc</v>
    <v>268435456</v>
    <v>1</v>
    <v>Powered by Refinitiv</v>
    <v>116.69</v>
    <v>73.64</v>
    <v>0.37990000000000002</v>
    <v>-0.73</v>
    <v>-9.7859999999999996E-3</v>
    <v>0.16</v>
    <v>2.166E-3</v>
    <v>USD</v>
    <v>Diageo plc is a United Kingdom-based international manufacturer and distributor of premium drinks. The Company offers beverage alcohol with a collection of brands across spirits and beer categories. Its segments include North America, Europe, Asia Pacific, Latin America and Caribbean, Africa, and Corporate and other. The SC&amp;P segment manufactures products and includes production sites in the United Kingdom, Ireland, Italy, Guatemala and Mexico, as well as comprises the global procurement function. Its principal products include scotch whisky, whisk(e)y, vodka, tequila, gin, rum, liqueurs, beer, wine, and non-alcoholic spirits. Its collection of brands includes Johnnie Walker, J&amp;B and Buchanan's whiskies, Smirnoff, Ciroc and Ketel One vodkas, Captain Morgan, Don Julio, Guinness, and Tanqueray, among others. It offers Ritual Zero Proof Non-Alcoholic Spirits (Ritual). It owns manufacturing production facilities across the globe, including distilleries, breweries, and packaging plants.</v>
    <v>29632</v>
    <v>New York Stock Exchange</v>
    <v>XNYS</v>
    <v>XNYS</v>
    <v>16 Great Marlborough Street, LONDON, W1F 7HS GB</v>
    <v>74.88</v>
    <v>Beverages</v>
    <v>Stock</v>
    <v>46101.982422997658</v>
    <v>179</v>
    <v>73.64</v>
    <v>42803539700</v>
    <v>DIAGEO PLC</v>
    <v>DIAGEO PLC</v>
    <v>74.66</v>
    <v>17.063600000000001</v>
    <v>74.599999999999994</v>
    <v>73.87</v>
    <v>74.03</v>
    <v>2226452000</v>
    <v>DEO</v>
    <v>DIAGEO PLC (XNYS:DEO)</v>
    <v>2525907</v>
    <v>2269088</v>
    <v>1886</v>
  </rv>
  <rv s="2">
    <v>180</v>
  </rv>
  <rv s="0">
    <v>https://www.bing.com/financeapi/forcetrigger?t=a1r5fr&amp;q=XNYS%3aDLR&amp;form=skydnc</v>
    <v>Learn more on Bing</v>
  </rv>
  <rv s="1">
    <v>0</v>
    <v>DIGITAL REALTY TRUST, INC. (XNYS:DLR)</v>
    <v>2</v>
    <v>3</v>
    <v>Finance</v>
    <v>4</v>
    <v>en-US</v>
    <v>a1r5fr</v>
    <v>268435456</v>
    <v>1</v>
    <v>Powered by Refinitiv</v>
    <v>184.79</v>
    <v>129.94999999999999</v>
    <v>1.1084000000000001</v>
    <v>-6.55</v>
    <v>-3.6419E-2</v>
    <v>1.71</v>
    <v>9.8670000000000008E-3</v>
    <v>USD</v>
    <v>Digital Realty Trust, Inc. is a real estate investment trust. The Company owns, acquires, develops, and operates data centers through its operating partnership subsidiary, Digital Realty Trust, L.P.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It provides its customers with access to the connected data communities with a global data center footprint of 300+ facilities in 55+ metros across 30+ countries on six continents. The Company’s PlatformDIGITAL is a global data center platform for scaling digital business which enables customers to deploy critical infrastructure with a global data center provider.</v>
    <v>4282</v>
    <v>New York Stock Exchange</v>
    <v>XNYS</v>
    <v>XNYS</v>
    <v>2323 Bryan Street, Suite 1800, DALLAS, TX, 75201 US</v>
    <v>180.27500000000001</v>
    <v>Residential &amp; Commercial REIT</v>
    <v>Stock</v>
    <v>46101.968814617969</v>
    <v>182</v>
    <v>173.08</v>
    <v>59548548820</v>
    <v>DIGITAL REALTY TRUST, INC.</v>
    <v>DIGITAL REALTY TRUST, INC.</v>
    <v>179.99</v>
    <v>48.407800000000002</v>
    <v>179.85</v>
    <v>173.3</v>
    <v>175.01</v>
    <v>343615400</v>
    <v>DLR</v>
    <v>DIGITAL REALTY TRUST, INC. (XNYS:DLR)</v>
    <v>3062728</v>
    <v>2067524</v>
    <v>2004</v>
  </rv>
  <rv s="2">
    <v>183</v>
  </rv>
  <rv s="0">
    <v>https://www.bing.com/financeapi/forcetrigger?t=bpifbh&amp;q=XNYS%3aDOW&amp;form=skydnc</v>
    <v>Learn more on Bing</v>
  </rv>
  <rv s="8">
    <v>13</v>
    <v>Dow Inc. (XNYS:DOW)</v>
    <v>2</v>
    <v>14</v>
    <v>Finance</v>
    <v>4</v>
    <v>en-US</v>
    <v>bpifbh</v>
    <v>268435456</v>
    <v>1</v>
    <v>Powered by Refinitiv</v>
    <v>38.58</v>
    <v>20.401900000000001</v>
    <v>0.59530000000000005</v>
    <v>-0.84</v>
    <v>-2.2406000000000002E-2</v>
    <v>-0.46</v>
    <v>-1.2551000000000001E-2</v>
    <v>USD</v>
    <v>Dow Inc. serves as a holding company for The Dow Chemical Company and its subsidiaries. The Company conducts its operations through six global businesses, which are organized into segments, such as Packaging &amp; Specialty Plastics, Industrial Intermediates &amp; Infrastructure and Performance Materials &amp; Coatings. Packaging &amp; Specialty Plastics segment consists of two integrated global businesses: Hydrocarbons &amp; Energy and Packaging and Specialty Plastics. This segment employs a polyolefin product portfolio. Industrial Intermediates &amp; Infrastructure segment consists of two customer-centric global businesses: Industrial Solutions and Polyurethanes &amp; Construction Chemicals that develop intermediate chemicals that are essential to manufacturing processes, as well as downstream, customized materials and formulations that use advanced development technologies. Performance Materials &amp; Coatings segment consists of two global businesses: Coatings &amp; Performance Monomers and Consumer Solutions.</v>
    <v>34600</v>
    <v>New York Stock Exchange</v>
    <v>XNYS</v>
    <v>XNYS</v>
    <v>2211 H.H. Dow Way, MIDLAND, MI, 48674 US</v>
    <v>38.32</v>
    <v>Chemicals</v>
    <v>Stock</v>
    <v>46101.999982140624</v>
    <v>185</v>
    <v>36.479999999999997</v>
    <v>26374051010</v>
    <v>Dow Inc.</v>
    <v>Dow Inc.</v>
    <v>37.82</v>
    <v>37.49</v>
    <v>36.65</v>
    <v>36.19</v>
    <v>719619400</v>
    <v>DOW</v>
    <v>Dow Inc. (XNYS:DOW)</v>
    <v>15453512</v>
    <v>14698950</v>
    <v>2018</v>
  </rv>
  <rv s="2">
    <v>186</v>
  </rv>
  <rv s="0">
    <v>https://www.bing.com/financeapi/forcetrigger?t=a1rdzr&amp;q=XNYS%3aDUK&amp;form=skydnc</v>
    <v>Learn more on Bing</v>
  </rv>
  <rv s="1">
    <v>0</v>
    <v>DUKE ENERGY CORPORATION (XNYS:DUK)</v>
    <v>2</v>
    <v>3</v>
    <v>Finance</v>
    <v>4</v>
    <v>en-US</v>
    <v>a1rdzr</v>
    <v>268435456</v>
    <v>1</v>
    <v>Powered by Refinitiv</v>
    <v>134.49</v>
    <v>111.22</v>
    <v>0.46279999999999999</v>
    <v>-2.93</v>
    <v>-2.2584E-2</v>
    <v>0.66610000000000003</v>
    <v>5.2529999999999999E-3</v>
    <v>USD</v>
    <v>Duke Energy Corporation is an energy holding company. The Company operates through two segments: Electric Utilities and Infrastructure (EU&amp;I) and Gas Utilities and Infrastructure (GU&amp;I). The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customers within the Southeast and Midwest regions of the United States. The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26441</v>
    <v>New York Stock Exchange</v>
    <v>XNYS</v>
    <v>XNYS</v>
    <v>525 South Tryon Street, CHARLOTTE, NC, 28202-1803 US</v>
    <v>130.54</v>
    <v>Electrical Utilities &amp; IPPs</v>
    <v>Stock</v>
    <v>46101.996108529689</v>
    <v>188</v>
    <v>126.77</v>
    <v>98616446829</v>
    <v>DUKE ENERGY CORPORATION</v>
    <v>DUKE ENERGY CORPORATION</v>
    <v>130.43</v>
    <v>20.060400000000001</v>
    <v>129.74</v>
    <v>126.81</v>
    <v>127.4761</v>
    <v>777670900</v>
    <v>DUK</v>
    <v>DUKE ENERGY CORPORATION (XNYS:DUK)</v>
    <v>7644784</v>
    <v>4925430</v>
    <v>2005</v>
  </rv>
  <rv s="2">
    <v>189</v>
  </rv>
  <rv s="0">
    <v>https://www.bing.com/financeapi/forcetrigger?t=a1rmkr&amp;q=XNYS%3aED&amp;form=skydnc</v>
    <v>Learn more on Bing</v>
  </rv>
  <rv s="1">
    <v>0</v>
    <v>CONSOLIDATED EDISON, INC. (XNYS:ED)</v>
    <v>2</v>
    <v>3</v>
    <v>Finance</v>
    <v>4</v>
    <v>en-US</v>
    <v>a1rmkr</v>
    <v>268435456</v>
    <v>1</v>
    <v>Powered by Refinitiv</v>
    <v>116.23</v>
    <v>94.96</v>
    <v>0.34449999999999997</v>
    <v>-2.2400000000000002</v>
    <v>-2.0055999999999997E-2</v>
    <v>2.13</v>
    <v>1.9460999999999999E-2</v>
    <v>USD</v>
    <v>Consolidated Edison, Inc. is an energy-delivery company. The Company, through its subsidiaries, Consolidated Edison Company of New York, Inc. (CECONY), Orange and Rockland Utilities, Inc. (O&amp;R) and Con Edison Transmission, Inc., provides a range of energy-related products and services to its customers. CECONY is a regulated utility providing electric service in New York City and New York’s Westchester County, gas service in Manhattan, the Bronx, parts of Queens and parts of Westchester, and steam service in Manhattan. O&amp;R and its utility subsidiary, Rockland Electric Company, provide electric service to customers in southeastern New York and northern New Jersey, a 1,300 square mile service area. O&amp;R delivers gas to customers in southeastern New York. Con Edison Transmission, Inc. falls primarily under the oversight of the Federal Energy Regulatory Commission and manages, through joint ventures, both electric and gas assets while seeking to develop electric transmission projects.</v>
    <v>15407</v>
    <v>New York Stock Exchange</v>
    <v>XNYS</v>
    <v>XNYS</v>
    <v>4 Irving Place, NEW YORK, NY, 10003 US</v>
    <v>111.9686</v>
    <v>Electrical Utilities &amp; IPPs</v>
    <v>Stock</v>
    <v>46101.97780201328</v>
    <v>191</v>
    <v>108.82</v>
    <v>39544580515</v>
    <v>CONSOLIDATED EDISON, INC.</v>
    <v>CONSOLIDATED EDISON, INC.</v>
    <v>111.82</v>
    <v>19.756699999999999</v>
    <v>111.69</v>
    <v>109.45</v>
    <v>111.58</v>
    <v>361302700</v>
    <v>ED</v>
    <v>CONSOLIDATED EDISON, INC. (XNYS:ED)</v>
    <v>4149957</v>
    <v>2553631</v>
    <v>1997</v>
  </rv>
  <rv s="2">
    <v>192</v>
  </rv>
  <rv s="0">
    <v>https://www.bing.com/financeapi/forcetrigger?t=a1s24c&amp;q=XNYS%3aEOG&amp;form=skydnc</v>
    <v>Learn more on Bing</v>
  </rv>
  <rv s="1">
    <v>0</v>
    <v>EOG RESOURCES, INC. (XNYS:EOG)</v>
    <v>2</v>
    <v>3</v>
    <v>Finance</v>
    <v>4</v>
    <v>en-US</v>
    <v>a1s24c</v>
    <v>268435456</v>
    <v>1</v>
    <v>Powered by Refinitiv</v>
    <v>140.91990000000001</v>
    <v>101.5936</v>
    <v>0.36209999999999998</v>
    <v>-0.09</v>
    <v>-6.4829999999999998E-4</v>
    <v>-0.42</v>
    <v>-3.0270000000000002E-3</v>
    <v>USD</v>
    <v>EOG Resources, Inc. is a crude oil and natural gas exploration and production company. The Company explores, develops, produces, and markets crude oil, natural gas liquids (NGLs) and natural gas primarily in major producing basins in the United States, the Republic of Trinidad and Tobago (Trinidad) and, from time to time, selects other international areas. Its operations are located in the basins of the United States with a focus on crude oil and natural gas plays. It is focused on the Wolfcamp, Bone Spring, and Leonard plays. The South Texas area includes the Eagle Ford play and the Dorado gas play. It holds approximately 535,000 total net acres in the Eagle Ford play and approximately 160,000 net acres in the Dorado gas play. In Trinidad, the Company, through its subsidiaries, including EOG Resources Trinidad Limited, holds interests in the exploration and production licenses covering the South East Coast Consortium (SECC) and Pelican Blocks, Banyan and Sercan Areas, and others.</v>
    <v>3400</v>
    <v>New York Stock Exchange</v>
    <v>XNYS</v>
    <v>XNYS</v>
    <v>1111 Bagby, Sky Lobby 2, HOUSTON, TX, 77002 US</v>
    <v>140.91990000000001</v>
    <v>Oil &amp; Gas</v>
    <v>Stock</v>
    <v>46101.992137117966</v>
    <v>194</v>
    <v>138.25</v>
    <v>74427465795</v>
    <v>EOG RESOURCES, INC.</v>
    <v>EOG RESOURCES, INC.</v>
    <v>139.35</v>
    <v>15.2265</v>
    <v>138.82</v>
    <v>138.72999999999999</v>
    <v>138.31</v>
    <v>536491500</v>
    <v>EOG</v>
    <v>EOG RESOURCES, INC. (XNYS:EOG)</v>
    <v>15690064</v>
    <v>5956089</v>
    <v>1985</v>
  </rv>
  <rv s="2">
    <v>195</v>
  </rv>
  <rv s="0">
    <v>https://www.bing.com/financeapi/forcetrigger?t=a1s4mw&amp;q=XNAS%3aEQIX&amp;form=skydnc</v>
    <v>Learn more on Bing</v>
  </rv>
  <rv s="1">
    <v>0</v>
    <v>EQUINIX, INC. (XNAS:EQIX)</v>
    <v>2</v>
    <v>3</v>
    <v>Finance</v>
    <v>4</v>
    <v>en-US</v>
    <v>a1s4mw</v>
    <v>268435456</v>
    <v>1</v>
    <v>Powered by Refinitiv</v>
    <v>992.9</v>
    <v>701.41</v>
    <v>1.0073000000000001</v>
    <v>-15.6</v>
    <v>-1.6004000000000001E-2</v>
    <v>7.84</v>
    <v>8.1740000000000007E-3</v>
    <v>USD</v>
    <v>Equinix, Inc. is a digital infrastructure company. The Company's platform, Equinix, combines a global footprint of International Business Exchange (IBX) and xScale data centers in the Americas, Asia-Pacific, and Europe, the Middle East and Africa (EMEA) regions, interconnection solutions, digital offerings, business and digital ecosystems and consulting and support. It offers a variety of enabling solutions that support a customer's need to implement, operate and maintain its colocated deployments. Its solutions include Equinix SmartView, Equinix Smart Hands, and Equinix Smart Build (ESB). Equinix SmartView is fully integrated monitoring software that provides customers visibility into the operating data relevant to their specific Equinix footprint. Its interconnection solutions connect businesses directly within and between its data centers across its global platform. Its interconnection solutions include Equinix Fabric, Equinix Fabric Cloud Router, Cross Connects, and others.</v>
    <v>13716</v>
    <v>Nasdaq Stock Market</v>
    <v>XNAS</v>
    <v>XNAS</v>
    <v>One Lagoon Drive, REDWOOD CITY, CA, 94065 US</v>
    <v>979.38499999999999</v>
    <v>Residential &amp; Commercial REIT</v>
    <v>Stock</v>
    <v>46101.998240878907</v>
    <v>197</v>
    <v>953.72</v>
    <v>94242198658</v>
    <v>EQUINIX, INC.</v>
    <v>EQUINIX, INC.</v>
    <v>975.73</v>
    <v>69.704400000000007</v>
    <v>974.76</v>
    <v>959.16</v>
    <v>967</v>
    <v>98254930</v>
    <v>EQIX</v>
    <v>EQUINIX, INC. (XNAS:EQIX)</v>
    <v>1817929</v>
    <v>764695</v>
    <v>1998</v>
  </rv>
  <rv s="2">
    <v>198</v>
  </rv>
  <rv s="0">
    <v>https://www.bing.com/financeapi/forcetrigger?t=a1sl52&amp;q=XNAS%3aFAST&amp;form=skydnc</v>
    <v>Learn more on Bing</v>
  </rv>
  <rv s="1">
    <v>0</v>
    <v>FASTENAL COMPANY (XNAS:FAST)</v>
    <v>2</v>
    <v>3</v>
    <v>Finance</v>
    <v>4</v>
    <v>en-US</v>
    <v>a1sl52</v>
    <v>268435456</v>
    <v>1</v>
    <v>Powered by Refinitiv</v>
    <v>50.63</v>
    <v>35.305</v>
    <v>0.86770000000000003</v>
    <v>-0.73</v>
    <v>-1.6407999999999999E-2</v>
    <v>0.43</v>
    <v>9.8259999999999997E-3</v>
    <v>USD</v>
    <v>Fastenal Company is engaged in the wholesale distribution of industrial and construction supplies. The Company is a distributor of threaded fasteners, bolts, nuts, screws, studs, and related washers, as well as miscellaneous supplies and hardware, such as pins, machinery keys, concrete anchors, metal framing systems, wire rope, struts, rivets, and related accessories. Its business tools include Fastenal Managed Inventory (FMI), Bin stock (FASTStock and FASTBin) and Industrial vending (FASTVend). The Company also invests in digital solutions that aim to deliver value for its customers, leverage local inventory for same-day solutions, and provide service. It serves general and commercial contractors in non-residential end markets as well as farmers, truckers, railroads, oil exploration companies, oil production and refinement companies, mining companies, federal, state, and local governmental entities, schools, and certain retail trades.</v>
    <v>21602</v>
    <v>Nasdaq Stock Market</v>
    <v>XNAS</v>
    <v>XNAS</v>
    <v>2001 Theurer Blvd, WINONA, MN, 55987 US</v>
    <v>44.795000000000002</v>
    <v>Machinery, Equipment &amp; Components</v>
    <v>Stock</v>
    <v>46101.999589837498</v>
    <v>200</v>
    <v>43.465000000000003</v>
    <v>50250833280</v>
    <v>FASTENAL COMPANY</v>
    <v>FASTENAL COMPANY</v>
    <v>44.37</v>
    <v>39.996299999999998</v>
    <v>44.49</v>
    <v>43.76</v>
    <v>44.19</v>
    <v>1148328000</v>
    <v>FAST</v>
    <v>FASTENAL COMPANY (XNAS:FAST)</v>
    <v>30102429</v>
    <v>7563578</v>
    <v>1968</v>
  </rv>
  <rv s="2">
    <v>201</v>
  </rv>
  <rv s="0">
    <v>https://www.bing.com/financeapi/forcetrigger?t=a1sqr7&amp;q=XNYS%3aFDX&amp;form=skydnc</v>
    <v>Learn more on Bing</v>
  </rv>
  <rv s="1">
    <v>0</v>
    <v>FEDEX CORPORATION (XNYS:FDX)</v>
    <v>2</v>
    <v>3</v>
    <v>Finance</v>
    <v>4</v>
    <v>en-US</v>
    <v>a1sqr7</v>
    <v>268435456</v>
    <v>1</v>
    <v>Powered by Refinitiv</v>
    <v>392.86</v>
    <v>194.29499999999999</v>
    <v>1.2917000000000001</v>
    <v>2.74</v>
    <v>7.6939999999999995E-3</v>
    <v>0.55900000000000005</v>
    <v>1.5579999999999999E-3</v>
    <v>USD</v>
    <v>FedEx Corporation provides customers and businesses with a portfolio of transportation, e-commerce, and business services. The Company offers integrated business solutions utilizing its flexible and efficient global network. Its segments include Federal Express, FedEx Freight, and Corporate, other, and eliminations. Federal Express segment includes express transportation, small-package ground delivery, and freight transportation, and it also operates combined sales, marketing, administrative, and information-technology functions in shared service operations for United States customers. FedEx Freight segment includes FedEx Freight (LTL freight transportation) and FedEx Custom Critical (time-critical transportation). Corporate, other, and elimination segments include FedEx Dataworks, Inc. (FedEx Dataworks), FedEx Office and Print Services, Inc. (FedEx Office), and FedEx Logistics, Inc. (FedEx Logistics). FedEx Logistics offers customs brokerage, specialty transportation, and others.</v>
    <v>237000</v>
    <v>New York Stock Exchange</v>
    <v>XNYS</v>
    <v>XNYS</v>
    <v>942 South Shady Grove Road, MEMPHIS, TN, 38120 US</v>
    <v>383.18</v>
    <v>Freight &amp; Logistics Services</v>
    <v>Stock</v>
    <v>46101.999372245315</v>
    <v>203</v>
    <v>356.54</v>
    <v>85624050180</v>
    <v>FEDEX CORPORATION</v>
    <v>FEDEX CORPORATION</v>
    <v>380.82</v>
    <v>19.658300000000001</v>
    <v>356.11</v>
    <v>358.85</v>
    <v>359.40899999999999</v>
    <v>235122800</v>
    <v>FDX</v>
    <v>FEDEX CORPORATION (XNYS:FDX)</v>
    <v>6967940</v>
    <v>1825016</v>
    <v>1997</v>
  </rv>
  <rv s="2">
    <v>204</v>
  </rv>
  <rv s="0">
    <v>https://www.bing.com/financeapi/forcetrigger?t=a1t227&amp;q=XNYS%3aFLO&amp;form=skydnc</v>
    <v>Learn more on Bing</v>
  </rv>
  <rv s="1">
    <v>0</v>
    <v>FLOWERS FOODS, INC. (XNYS:FLO)</v>
    <v>2</v>
    <v>3</v>
    <v>Finance</v>
    <v>4</v>
    <v>en-US</v>
    <v>a1t227</v>
    <v>268435456</v>
    <v>1</v>
    <v>Powered by Refinitiv</v>
    <v>20.23</v>
    <v>8.17</v>
    <v>0.37240000000000001</v>
    <v>-0.19</v>
    <v>-2.2700000000000001E-2</v>
    <v>5.0700000000000002E-2</v>
    <v>6.1980000000000004E-3</v>
    <v>USD</v>
    <v>Flowers Foods, Inc. is a producer and marketer of packaged bakery foods in the United States. The Company operates bakeries across the country that produce a wide range of bakery products. Its principal products include breads, buns, rolls, snack items, bagels, English muffins, and tortillas and are sold under a variety of brand names, including Nature’s Own, Dave’s Killer Bread (DKB), Wonder, Canyon Bakehouse, Tastykake, and Mrs. Freshley’s. Its brands and products are sold through various channels throughout the United States. These channels include supermarkets, drugstores, mass merchandisers, discount stores, club stores, convenience stores, thrift outlet stores, and foodservice, among others. It also supplies national and regional restaurants, institutions and foodservice distributors, and retail in-store bakeries with breads and rolls; sells packaged bakery products to wholesale distributors for ultimate sale to a wide variety of food outlets; and sells packaged snack cakes.</v>
    <v>10300</v>
    <v>New York Stock Exchange</v>
    <v>XNYS</v>
    <v>XNYS</v>
    <v>1919 Flowers Cir, THOMASVILLE, GA, 31757 US</v>
    <v>8.3699999999999992</v>
    <v>Food &amp; Tobacco</v>
    <v>Stock</v>
    <v>46101.998820914065</v>
    <v>206</v>
    <v>8.17</v>
    <v>1730514174</v>
    <v>FLOWERS FOODS, INC.</v>
    <v>FLOWERS FOODS, INC.</v>
    <v>8.36</v>
    <v>21.179099999999998</v>
    <v>8.3699999999999992</v>
    <v>8.18</v>
    <v>8.2307000000000006</v>
    <v>211554300</v>
    <v>FLO</v>
    <v>FLOWERS FOODS, INC. (XNYS:FLO)</v>
    <v>9228918</v>
    <v>6341276</v>
    <v>2000</v>
  </rv>
  <rv s="2">
    <v>207</v>
  </rv>
  <rv s="0">
    <v>https://www.bing.com/financeapi/forcetrigger?t=a1tvzr&amp;q=XNYS%3aGIS&amp;form=skydnc</v>
    <v>Learn more on Bing</v>
  </rv>
  <rv s="1">
    <v>0</v>
    <v>GENERAL MILLS, INC. (XNYS:GIS)</v>
    <v>2</v>
    <v>3</v>
    <v>Finance</v>
    <v>4</v>
    <v>en-US</v>
    <v>a1tvzr</v>
    <v>268435456</v>
    <v>1</v>
    <v>Powered by Refinitiv</v>
    <v>62.61</v>
    <v>37.01</v>
    <v>-1.9800000000000002E-2</v>
    <v>-0.49</v>
    <v>-1.3067E-2</v>
    <v>0.23</v>
    <v>6.2150000000000009E-3</v>
    <v>USD</v>
    <v>General Mills, Inc. is a global manufacturer and marketer of branded consumer foods. Its segments include North America Retail; International; North America Pet, and North America Foodservice. The North America Retail segment reflects business with a variety of grocery stores, mass merchandisers, membership stores, natural food chains, drug, dollar and discount chains, convenience stores, and e-commerce grocery providers. The International segment consists of retail and foodservice businesses outside the United States and Canada. Its product categories include super-premium ice cream and frozen desserts, meal kits, salty snacks, snack bars, dessert and baking mixes, and shelf-stable vegetables. The North America Pet segment includes pet food products sold in the United States and Canada in national pet superstore chains, e-commerce retailers, and grocery stores. The North America Foodservice segment product categories include ready-to-eat cereals, snacks, and baking mixes.</v>
    <v>33000</v>
    <v>New York Stock Exchange</v>
    <v>XNYS</v>
    <v>XNYS</v>
    <v>Number One General Mills Blvd, MINNEAPOLIS, MN, 55426 US</v>
    <v>37.67</v>
    <v>Food &amp; Tobacco</v>
    <v>Stock</v>
    <v>46101.999114964841</v>
    <v>209</v>
    <v>37.01</v>
    <v>19751541212</v>
    <v>GENERAL MILLS, INC.</v>
    <v>GENERAL MILLS, INC.</v>
    <v>37.53</v>
    <v>8.0452999999999992</v>
    <v>37.5</v>
    <v>37.01</v>
    <v>37.24</v>
    <v>533681200</v>
    <v>GIS</v>
    <v>GENERAL MILLS, INC. (XNYS:GIS)</v>
    <v>28159050</v>
    <v>8886108</v>
    <v>1928</v>
  </rv>
  <rv s="2">
    <v>210</v>
  </rv>
  <rv s="0">
    <v>https://www.bing.com/financeapi/forcetrigger?t=a1uv7w&amp;q=XNYS%3aHRL&amp;form=skydnc</v>
    <v>Learn more on Bing</v>
  </rv>
  <rv s="1">
    <v>0</v>
    <v>HORMEL FOODS CORPORATION (XNYS:HRL)</v>
    <v>2</v>
    <v>3</v>
    <v>Finance</v>
    <v>4</v>
    <v>en-US</v>
    <v>a1uv7w</v>
    <v>268435456</v>
    <v>1</v>
    <v>Powered by Refinitiv</v>
    <v>32.07</v>
    <v>21.03</v>
    <v>0.35639999999999999</v>
    <v>-0.23</v>
    <v>-1.0281999999999999E-2</v>
    <v>0.19</v>
    <v>8.5819999999999994E-3</v>
    <v>USD</v>
    <v>Hormel Foods Corporation is a global-branded food company. The Company develops, processes, and distributes a range of food products in a variety of markets. Its segments include Retail, Foodservice, and International. The Retail segment is primarily engaged in the processing, marketing, and sale of food products sold predominantly in the retail market. This segment also includes the Company’s MegaMex Foods, LLC joint venture. The Foodservice segment consists primarily of the processing, marketing, and sale of food products to foodservice, convenience store, and commercial customers located in the United States. The International segment processes, markets, and sells its products internationally. This segment also includes the results from the Company’s international joint ventures, international equity method investments, and international royalty arrangements. It has a global presence within several major international markets, including Australia, Brazil, Canada, China, and England.</v>
    <v>20000</v>
    <v>New York Stock Exchange</v>
    <v>XNYS</v>
    <v>XNYS</v>
    <v>1 Hormel Pl, AUSTIN, MN, 55912-3680 US</v>
    <v>22.495000000000001</v>
    <v>Food &amp; Tobacco</v>
    <v>Stock</v>
    <v>46101.993641365625</v>
    <v>212</v>
    <v>22.135000000000002</v>
    <v>12183292188</v>
    <v>HORMEL FOODS CORPORATION</v>
    <v>HORMEL FOODS CORPORATION</v>
    <v>22.41</v>
    <v>24.912800000000001</v>
    <v>22.37</v>
    <v>22.14</v>
    <v>22.33</v>
    <v>550284200</v>
    <v>HRL</v>
    <v>HORMEL FOODS CORPORATION (XNYS:HRL)</v>
    <v>8899561</v>
    <v>4706931</v>
    <v>1928</v>
  </rv>
  <rv s="2">
    <v>213</v>
  </rv>
  <rv s="0">
    <v>https://www.bing.com/financeapi/forcetrigger?t=a1vmf2&amp;q=XNAS%3aINTC&amp;form=skydnc</v>
    <v>Learn more on Bing</v>
  </rv>
  <rv s="1">
    <v>0</v>
    <v>INTEL CORPORATION (XNAS:INTC)</v>
    <v>2</v>
    <v>3</v>
    <v>Finance</v>
    <v>4</v>
    <v>en-US</v>
    <v>a1vmf2</v>
    <v>268435456</v>
    <v>1</v>
    <v>Powered by Refinitiv</v>
    <v>54.6</v>
    <v>17.664999999999999</v>
    <v>1.3486</v>
    <v>-2.31</v>
    <v>-5.0022000000000004E-2</v>
    <v>0.36909999999999998</v>
    <v>8.4130000000000003E-3</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85100</v>
    <v>Nasdaq Stock Market</v>
    <v>XNAS</v>
    <v>XNAS</v>
    <v>2200 Mission College Blvd, Rnb-4-151, SANTA CLARA, CA, 95054 US</v>
    <v>47.55</v>
    <v>Semiconductors &amp; Semiconductor Equipment</v>
    <v>Stock</v>
    <v>46101.999987071096</v>
    <v>215</v>
    <v>43.642000000000003</v>
    <v>219130650000</v>
    <v>INTEL CORPORATION</v>
    <v>INTEL CORPORATION</v>
    <v>46.95</v>
    <v>0</v>
    <v>46.18</v>
    <v>43.87</v>
    <v>44.239100000000001</v>
    <v>4995000000</v>
    <v>INTC</v>
    <v>INTEL CORPORATION (XNAS:INTC)</v>
    <v>162814210</v>
    <v>79152792</v>
    <v>1989</v>
  </rv>
  <rv s="2">
    <v>216</v>
  </rv>
  <rv s="0">
    <v>https://www.bing.com/financeapi/forcetrigger?t=a1vmtc&amp;q=XNAS%3aINTU&amp;form=skydnc</v>
    <v>Learn more on Bing</v>
  </rv>
  <rv s="1">
    <v>0</v>
    <v>INTUIT INC. (XNAS:INTU)</v>
    <v>2</v>
    <v>3</v>
    <v>Finance</v>
    <v>4</v>
    <v>en-US</v>
    <v>a1vmtc</v>
    <v>268435456</v>
    <v>1</v>
    <v>Powered by Refinitiv</v>
    <v>813.7</v>
    <v>349</v>
    <v>1.1761999999999999</v>
    <v>0.32</v>
    <v>7.0290000000000001E-4</v>
    <v>4.4400000000000004</v>
    <v>9.7459999999999995E-3</v>
    <v>USD</v>
    <v>Intuit Inc. offers a financial technology platform that helps consumers and small and mid-market businesses prosper by delivering financial management, compliance, and marketing products and services. It also provides specialized tax products to accounting professionals. Its offerings include TurboTax, Credit Karma, QuickBooks, and Mailchimp. Lacerte, ProSeries, and ProConnect Tax Online. Its Global Business Solutions segment serves small and mid-market businesses around the world, and the accounting professionals who assist and advise them. Its Consumer segment serves consumers and includes do-it-yourself and assisted TurboTax income tax preparation products and services sold in the United States and Canada. Its Credit Karma segment serves consumers with a personal finance platform that provides personalized recommendations for credit card, home, auto, and personal loan, and insurance products. Its ProTax segment serves professional accountants in the United States and Canada.</v>
    <v>18200</v>
    <v>Nasdaq Stock Market</v>
    <v>XNAS</v>
    <v>XNAS</v>
    <v>2700 Coast Avenue, MOUNTAIN VIEW, CA, 94043 US</v>
    <v>462.85899999999998</v>
    <v>Financial Technology (Fintech) &amp; Infrastructure</v>
    <v>Stock</v>
    <v>46101.999855532034</v>
    <v>218</v>
    <v>440.67</v>
    <v>125985118000</v>
    <v>INTUIT INC.</v>
    <v>INTUIT INC.</v>
    <v>444.49</v>
    <v>29.6127</v>
    <v>455.24</v>
    <v>455.56</v>
    <v>460</v>
    <v>276550000</v>
    <v>INTU</v>
    <v>INTUIT INC. (XNAS:INTU)</v>
    <v>4718502</v>
    <v>4750235</v>
    <v>1993</v>
  </rv>
  <rv s="2">
    <v>219</v>
  </rv>
  <rv s="0">
    <v>https://www.bing.com/financeapi/forcetrigger?t=a1vrec&amp;q=XNYS%3aIRM&amp;form=skydnc</v>
    <v>Learn more on Bing</v>
  </rv>
  <rv s="1">
    <v>0</v>
    <v>IRON MOUNTAIN INCORPORATED (XNYS:IRM)</v>
    <v>2</v>
    <v>3</v>
    <v>Finance</v>
    <v>4</v>
    <v>en-US</v>
    <v>a1vrec</v>
    <v>268435456</v>
    <v>1</v>
    <v>Powered by Refinitiv</v>
    <v>115.24</v>
    <v>72.33</v>
    <v>1.1454</v>
    <v>-5.33</v>
    <v>-5.0791000000000003E-2</v>
    <v>0.39</v>
    <v>3.9150000000000001E-3</v>
    <v>USD</v>
    <v>Iron Mountain Incorporated is a provider of information management services. The Company offers a range of services across digital transformation, information security, data center and asset lifecycle management (ALM) needs. The Company helps businesses to unlock value and intelligence from their stored digital and physical assets. It serves to protect its customers’ work. The Company operates through two segments: Global Records and Information Management (Global RIM) Business and Global Data Center Business. The Global RIM Business segment offers various offerings, including records management, data management, global digital solutions, secure shredding, entertainment services, and consumer storage. Its Global Data Center Business segment provides data center facilities and capacity to protect mission-critical assets and ensure the continued operation of its customers’ information technology (IT) infrastructure with flexible data center options.</v>
    <v>29400</v>
    <v>New York Stock Exchange</v>
    <v>XNYS</v>
    <v>XNYS</v>
    <v>85 New Hampshire Avenue, Suite 150, Pease International Tradeport, PORTSMOUTH, NH, 03801 US</v>
    <v>105.58</v>
    <v>Residential &amp; Commercial REIT</v>
    <v>Stock</v>
    <v>46101.983142187499</v>
    <v>221</v>
    <v>99.51</v>
    <v>29468144272</v>
    <v>IRON MOUNTAIN INCORPORATED</v>
    <v>IRON MOUNTAIN INCORPORATED</v>
    <v>104.74</v>
    <v>205.976</v>
    <v>104.94</v>
    <v>99.61</v>
    <v>100</v>
    <v>295835200</v>
    <v>IRM</v>
    <v>IRON MOUNTAIN INCORPORATED (XNYS:IRM)</v>
    <v>3053984</v>
    <v>1892995</v>
    <v>2014</v>
  </rv>
  <rv s="2">
    <v>222</v>
  </rv>
  <rv s="0">
    <v>https://www.bing.com/financeapi/forcetrigger?t=a1vv8m&amp;q=XNYS%3aITW&amp;form=skydnc</v>
    <v>Learn more on Bing</v>
  </rv>
  <rv s="1">
    <v>0</v>
    <v>ILLINOIS TOOL WORKS INC. (XNYS:ITW)</v>
    <v>2</v>
    <v>3</v>
    <v>Finance</v>
    <v>4</v>
    <v>en-US</v>
    <v>a1vv8m</v>
    <v>268435456</v>
    <v>1</v>
    <v>Powered by Refinitiv</v>
    <v>303.15499999999997</v>
    <v>214.66</v>
    <v>1.1457999999999999</v>
    <v>-2.94</v>
    <v>-1.1281000000000001E-2</v>
    <v>2.3199999999999998</v>
    <v>9.0030000000000006E-3</v>
    <v>USD</v>
    <v>Illinois Tool Works Inc. is a global manufacturer of a diversified range of industrial products and equipment. The Company's segments include Automotive OEM; Food Equipment; Test &amp; Measurement and Electronics; Welding; Polymers &amp; Fluids; Construction Products, and Specialty Products. The Automotive OEM segment produces components and fasteners for automotive-related applications. The Food Equipment segment produces warewashing equipment, cooking equipment, refrigeration equipment, food processing equipment, ventilation and pollution control systems, and others. Its Welding segment produces arc welding equipment and metal arc welding consumables and related accessories. The Construction segment is a supplier of engineered fastening systems and solutions. The Specialty Products segment includes conveyor systems and line automation for the food and beverage industries; plastic consumables such as multipack cans and bottles and related equipment; components for medical devices, and others.</v>
    <v>43000</v>
    <v>New York Stock Exchange</v>
    <v>XNYS</v>
    <v>XNYS</v>
    <v>155 Harlem Avenue, GLENVIEW, IL, 60025 US</v>
    <v>262.27999999999997</v>
    <v>Consumer Goods Conglomerates</v>
    <v>Stock</v>
    <v>46101.958333344533</v>
    <v>224</v>
    <v>256.13</v>
    <v>74263376000</v>
    <v>ILLINOIS TOOL WORKS INC.</v>
    <v>ILLINOIS TOOL WORKS INC.</v>
    <v>260.86</v>
    <v>24.8413</v>
    <v>260.62</v>
    <v>257.68</v>
    <v>260</v>
    <v>288200000</v>
    <v>ITW</v>
    <v>ILLINOIS TOOL WORKS INC. (XNYS:ITW)</v>
    <v>2353232</v>
    <v>1340814</v>
    <v>1961</v>
  </rv>
  <rv s="2">
    <v>225</v>
  </rv>
  <rv s="0">
    <v>https://www.bing.com/financeapi/forcetrigger?t=a1wljc&amp;q=XNYS%3aKO&amp;form=skydnc</v>
    <v>Learn more on Bing</v>
  </rv>
  <rv s="1">
    <v>0</v>
    <v>THE COCA-COLA COMPANY (XNYS:KO)</v>
    <v>2</v>
    <v>3</v>
    <v>Finance</v>
    <v>4</v>
    <v>en-US</v>
    <v>a1wljc</v>
    <v>268435456</v>
    <v>1</v>
    <v>Powered by Refinitiv</v>
    <v>82</v>
    <v>65.353800000000007</v>
    <v>0.36080000000000001</v>
    <v>-0.8</v>
    <v>-1.0588999999999999E-2</v>
    <v>0.15</v>
    <v>2.0070000000000001E-3</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76.05</v>
    <v>Beverages</v>
    <v>Stock</v>
    <v>46101.999764964843</v>
    <v>227</v>
    <v>74.39</v>
    <v>321735436750</v>
    <v>THE COCA-COLA COMPANY</v>
    <v>THE COCA-COLA COMPANY</v>
    <v>75.564999999999998</v>
    <v>24.596900000000002</v>
    <v>75.55</v>
    <v>74.75</v>
    <v>74.900000000000006</v>
    <v>4304153000</v>
    <v>KO</v>
    <v>THE COCA-COLA COMPANY (XNYS:KO)</v>
    <v>33298715</v>
    <v>17112204</v>
    <v>1919</v>
  </rv>
  <rv s="2">
    <v>228</v>
  </rv>
  <rv s="0">
    <v>https://www.bing.com/financeapi/forcetrigger?t=a1wyu2&amp;q=XNYS%3aLLY&amp;form=skydnc</v>
    <v>Learn more on Bing</v>
  </rv>
  <rv s="1">
    <v>0</v>
    <v>ELI LILLY AND COMPANY (XNYS:LLY)</v>
    <v>2</v>
    <v>3</v>
    <v>Finance</v>
    <v>4</v>
    <v>en-US</v>
    <v>a1wyu2</v>
    <v>268435456</v>
    <v>1</v>
    <v>Powered by Refinitiv</v>
    <v>1133.95</v>
    <v>623.78</v>
    <v>0.49459999999999998</v>
    <v>-10.8</v>
    <v>-1.1771E-2</v>
    <v>4.38</v>
    <v>4.8309999999999994E-3</v>
    <v>USD</v>
    <v>Eli Lilly and Company is a medicine company, which discovers, develops, manufactures, and market products in a single business segment called human pharmaceutical products. The Company manufacture and distribute its products through facilities in the United States, including Puerto Rico, and in Europe and Asia. The Company’s products are sold in approximately 90 countries. Its Cardiometabolic Health products Basaglar; Humalog, Humalog Mix 75/25, Humalog U-100, Humalog U-200, Humalog Mix 50/50, insulin lispro, and others; Humulin, Humulin 70/30, and others; Jardiance; Mounjaro; Trulicity; Zepbound, and others. Its oncology products include Cyramza, Erbitux, Tyvyt, Verzenio, Retevmo, Jaypirca, and others. Its immunology products include Ebglyss, Olumiant, Omvoh, and Taltz. Its neuroscience products include Emgality and Kisunla. Its LillyDirect, a direct-to-patient digital health care platform, provides delivery of select Lilly medicines dispensed by third-party pharmacies to patients.</v>
    <v>50000</v>
    <v>New York Stock Exchange</v>
    <v>XNYS</v>
    <v>XNYS</v>
    <v>Lilly Corporate Ctr, Drop Code 1094, INDIANAPOLIS, IN, 46285 US</v>
    <v>925.375</v>
    <v>Pharmaceuticals</v>
    <v>Stock</v>
    <v>46101.999863321093</v>
    <v>230</v>
    <v>899.29</v>
    <v>855342154580</v>
    <v>ELI LILLY AND COMPANY</v>
    <v>ELI LILLY AND COMPANY</v>
    <v>910.55</v>
    <v>39.966799999999999</v>
    <v>917.5</v>
    <v>906.7</v>
    <v>911.08</v>
    <v>943357400</v>
    <v>LLY</v>
    <v>ELI LILLY AND COMPANY (XNYS:LLY)</v>
    <v>4818789</v>
    <v>2929960</v>
    <v>1901</v>
  </rv>
  <rv s="2">
    <v>231</v>
  </rv>
  <rv s="0">
    <v>https://www.bing.com/financeapi/forcetrigger?t=a1x9yc&amp;q=XNYS%3aMAN&amp;form=skydnc</v>
    <v>Learn more on Bing</v>
  </rv>
  <rv s="8">
    <v>13</v>
    <v>MANPOWERGROUP INC. (XNYS:MAN)</v>
    <v>2</v>
    <v>14</v>
    <v>Finance</v>
    <v>4</v>
    <v>en-US</v>
    <v>a1x9yc</v>
    <v>268435456</v>
    <v>1</v>
    <v>Powered by Refinitiv</v>
    <v>60.45</v>
    <v>25.15</v>
    <v>0.88419999999999999</v>
    <v>0.33</v>
    <v>1.2552000000000001E-2</v>
    <v>0</v>
    <v>0</v>
    <v>USD</v>
    <v>ManpowerGroup Inc. is a global workforce solutions company. The Company offers a comprehensive range of workforce solutions and services, which include recruitment and assessment; upskilling, reskilling, training and development; career management; outsourcing, and workforce consulting. Its portfolio of recruitment services includes permanent, temporary and contract recruitment of professionals, as well as administrative, industrial and information technology (IT) professional positions. These services are provided under its Manpower and Experis brands. Its Talent Solutions brand specializes in the delivery of customized workforce strategies and new solutions and creating added value that addresses its clients' complex global workforce needs. Its Talent Solutions combine global offerings of recruitment process outsourcing (RPO), TAPFIN - Managed Service Provider (MSP), and right management to provide data-driven capabilities that help organizations with their workforce transformation.</v>
    <v>25400</v>
    <v>New York Stock Exchange</v>
    <v>XNYS</v>
    <v>XNYS</v>
    <v>100 Manpower Place, MILWAUKEE, WI, 53212 US</v>
    <v>27.17</v>
    <v>Professional &amp; Commercial Services</v>
    <v>Stock</v>
    <v>46101.958333344533</v>
    <v>233</v>
    <v>26</v>
    <v>1235691083</v>
    <v>MANPOWERGROUP INC.</v>
    <v>MANPOWERGROUP INC.</v>
    <v>26.36</v>
    <v>26.29</v>
    <v>26.62</v>
    <v>26.62</v>
    <v>46419650</v>
    <v>MAN</v>
    <v>MANPOWERGROUP INC. (XNYS:MAN)</v>
    <v>1513207</v>
    <v>1553741</v>
    <v>1990</v>
  </rv>
  <rv s="2">
    <v>234</v>
  </rv>
  <rv s="0">
    <v>https://www.bing.com/financeapi/forcetrigger?t=a1xear&amp;q=XNYS%3aMCO&amp;form=skydnc</v>
    <v>Learn more on Bing</v>
  </rv>
  <rv s="1">
    <v>0</v>
    <v>MOODY'S CORPORATION (XNYS:MCO)</v>
    <v>2</v>
    <v>3</v>
    <v>Finance</v>
    <v>4</v>
    <v>en-US</v>
    <v>a1xear</v>
    <v>268435456</v>
    <v>1</v>
    <v>Powered by Refinitiv</v>
    <v>546.88</v>
    <v>378.71</v>
    <v>1.4529000000000001</v>
    <v>-0.68</v>
    <v>-1.56E-3</v>
    <v>1.1399999999999999</v>
    <v>2.6199999999999999E-3</v>
    <v>USD</v>
    <v>Moody's Corporation is a global integrated risk assessment company. It is a global provider of research and insights; data and information, and decision solutions, which help companies make decisions. Its MA segment provides data, intelligence and analytical tools to help business and financial leaders make decisions. MA consists of a premier fixed income and economic research business (Research &amp; Insights); a data business powered by databases on companies and credit (Data &amp; Information), and three cloud-based subscription businesses serving banking, insurance and KYC workflows (Decision Solutions). Its MIS segment is a global provider of credit ratings, research, and risk analysis. It publishes credit ratings and provides assessment services on a wide range of debt obligations, programs and facilities, and the entities that issue such obligations in markets worldwide, including various corporate, financial institution and governmental obligations, and structured finance securities.</v>
    <v>16076</v>
    <v>New York Stock Exchange</v>
    <v>XNYS</v>
    <v>XNYS</v>
    <v>7 World Trade Center, At 250 Greenwich Street, NEW YORK, NY, 10007 US</v>
    <v>439.33</v>
    <v>Professional &amp; Commercial Services</v>
    <v>Stock</v>
    <v>46101.980074525003</v>
    <v>236</v>
    <v>432.29</v>
    <v>77453056968</v>
    <v>MOODY'S CORPORATION</v>
    <v>MOODY'S CORPORATION</v>
    <v>435.58</v>
    <v>31.833300000000001</v>
    <v>435.8</v>
    <v>435.12</v>
    <v>436.26</v>
    <v>178003900</v>
    <v>MCO</v>
    <v>MOODY'S CORPORATION (XNYS:MCO)</v>
    <v>1899954</v>
    <v>1630810</v>
    <v>2000</v>
  </rv>
  <rv s="2">
    <v>237</v>
  </rv>
  <rv s="0">
    <v>https://www.bing.com/financeapi/forcetrigger?t=a1xfoc&amp;q=XNAS%3aMDLZ&amp;form=skydnc</v>
    <v>Learn more on Bing</v>
  </rv>
  <rv s="1">
    <v>0</v>
    <v>Mondelez International, Inc. (XNAS:MDLZ)</v>
    <v>2</v>
    <v>3</v>
    <v>Finance</v>
    <v>4</v>
    <v>en-US</v>
    <v>a1xfoc</v>
    <v>268435456</v>
    <v>1</v>
    <v>Powered by Refinitiv</v>
    <v>71.150000000000006</v>
    <v>51.200800000000001</v>
    <v>0.40279999999999999</v>
    <v>-0.28000000000000003</v>
    <v>-4.9569999999999996E-3</v>
    <v>0.06</v>
    <v>1.067E-3</v>
    <v>USD</v>
    <v>Mondelez International, Inc. is a snack company. The Company’s core business is making and selling chocolate, biscuits and baked snacks. The Company also has additional businesses in adjacent, locally relevant categories including gum and candy, cheese and grocery and powdered beverages. Its portfolio includes global and local brands such as Oreo, Ritz, LU, Clif Bar and Tate’s Bake Shop biscuits and baked snacks, as well as Cadbury Dairy Milk, Milka and Toblerone chocolate. The Company’s segments include Latin America, AMEA, Europe and North America. It sells its products in over 150 countries and has operations in approximately 80 countries, including 147 principal manufacturing and processing facilities across 46 countries. It sells its products to supermarket chains, wholesalers, supercenters, club stores, mass merchandisers, distributors, convenience stores, gasoline stations, drug stores, value stores and other retail food outlets.</v>
    <v>91000</v>
    <v>Nasdaq Stock Market</v>
    <v>XNAS</v>
    <v>XNAS</v>
    <v>905 West Fulton Market, Suite 200, CHICAGO, IL, 60607 US</v>
    <v>57.015000000000001</v>
    <v>Food &amp; Tobacco</v>
    <v>Stock</v>
    <v>46101.983799664064</v>
    <v>239</v>
    <v>56.01</v>
    <v>72052563660</v>
    <v>Mondelez International, Inc.</v>
    <v>Mondelez International, Inc.</v>
    <v>56.48</v>
    <v>29.7486</v>
    <v>56.49</v>
    <v>56.21</v>
    <v>56.27</v>
    <v>1281846000</v>
    <v>MDLZ</v>
    <v>Mondelez International, Inc. (XNAS:MDLZ)</v>
    <v>22557320</v>
    <v>10037222</v>
    <v>2000</v>
  </rv>
  <rv s="2">
    <v>240</v>
  </rv>
  <rv s="0">
    <v>https://www.bing.com/financeapi/forcetrigger?t=a1slm7&amp;q=XNAS%3aMETA&amp;form=skydnc</v>
    <v>Learn more on Bing</v>
  </rv>
  <rv s="1">
    <v>0</v>
    <v>META PLATFORMS, INC. (XNAS:META)</v>
    <v>2</v>
    <v>3</v>
    <v>Finance</v>
    <v>4</v>
    <v>en-US</v>
    <v>a1slm7</v>
    <v>268435456</v>
    <v>1</v>
    <v>Powered by Refinitiv</v>
    <v>796.25</v>
    <v>479.8</v>
    <v>1.2904</v>
    <v>-13.04</v>
    <v>-2.1493000000000002E-2</v>
    <v>4.2300000000000004</v>
    <v>7.1250000000000003E-3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603.95500000000004</v>
    <v>Software &amp; IT Services</v>
    <v>Stock</v>
    <v>46101.999953517967</v>
    <v>242</v>
    <v>587.25</v>
    <v>1501695621300</v>
    <v>META PLATFORMS, INC.</v>
    <v>META PLATFORMS, INC.</v>
    <v>603.53</v>
    <v>20.3095</v>
    <v>606.70000000000005</v>
    <v>593.66</v>
    <v>597.89</v>
    <v>2529555000</v>
    <v>META</v>
    <v>META PLATFORMS, INC. (XNAS:META)</v>
    <v>21214898</v>
    <v>12320087</v>
    <v>2004</v>
  </rv>
  <rv s="2">
    <v>243</v>
  </rv>
  <rv s="0">
    <v>https://www.bing.com/financeapi/forcetrigger?t=a1xroc&amp;q=XNYS%3aMMM&amp;form=skydnc</v>
    <v>Learn more on Bing</v>
  </rv>
  <rv s="1">
    <v>0</v>
    <v>3M COMPANY (XNYS:MMM)</v>
    <v>2</v>
    <v>3</v>
    <v>Finance</v>
    <v>4</v>
    <v>en-US</v>
    <v>a1xroc</v>
    <v>268435456</v>
    <v>1</v>
    <v>Powered by Refinitiv</v>
    <v>177.41</v>
    <v>121.97709999999999</v>
    <v>1.085</v>
    <v>-1.51</v>
    <v>-1.0581E-2</v>
    <v>0.73</v>
    <v>5.1700000000000001E-3</v>
    <v>USD</v>
    <v>3M Company is a diversified technology company. The Company is a manufacturer and marketer of a variety of products and services. The Company’s segments include Safety and Industrial; Transportation and Electronics, and Consumer. Its Safety and Industrial segment includes industrial abrasives and finishing for metalworking applications; autobody repair solutions; industrial specialty products, such as personal hygiene products, masking, and packaging materials, and others. Its Transportation and Electronics segment includes advanced ceramic solutions; attachment/bonding, films, sound and temperature management for transportation vehicles; premium large format graphic films for advertising and fleet signage. Its Consumer segment includes cleaning products for the home; consumer air quality products, and picture hanging accessories. Its brands include 3M Cubitron II abrasives, Scotch-Brite, Filtrete, Command, Scotchgard, Meguiar’s, Nexcare, Post-it and others.</v>
    <v>60500</v>
    <v>New York Stock Exchange</v>
    <v>XNYS</v>
    <v>XNYS</v>
    <v>3M Center, Bldg. 220-9E-02, SAINT PAUL, MN, 55144-1000 US</v>
    <v>143.30000000000001</v>
    <v>Consumer Goods Conglomerates</v>
    <v>Stock</v>
    <v>46101.998543217189</v>
    <v>245</v>
    <v>139.34</v>
    <v>74370040000</v>
    <v>3M COMPANY</v>
    <v>3M COMPANY</v>
    <v>141.61000000000001</v>
    <v>23.550599999999999</v>
    <v>142.71</v>
    <v>141.19999999999999</v>
    <v>141.93</v>
    <v>526700000</v>
    <v>MMM</v>
    <v>3M COMPANY (XNYS:MMM)</v>
    <v>6900740</v>
    <v>4173402</v>
    <v>1929</v>
  </rv>
  <rv s="2">
    <v>246</v>
  </rv>
  <rv s="0">
    <v>https://www.bing.com/financeapi/forcetrigger?t=a1xtpr&amp;q=XNYS%3aMO&amp;form=skydnc</v>
    <v>Learn more on Bing</v>
  </rv>
  <rv s="1">
    <v>0</v>
    <v>Altria Group, Inc. (XNYS:MO)</v>
    <v>2</v>
    <v>3</v>
    <v>Finance</v>
    <v>4</v>
    <v>en-US</v>
    <v>a1xtpr</v>
    <v>268435456</v>
    <v>1</v>
    <v>Powered by Refinitiv</v>
    <v>70.510000000000005</v>
    <v>52.82</v>
    <v>0.45250000000000001</v>
    <v>-0.6</v>
    <v>-9.221E-3</v>
    <v>0.33179999999999998</v>
    <v>5.1470000000000005E-3</v>
    <v>USD</v>
    <v>Altria Group, Inc. operates a portfolio of tobacco products for United States tobacco consumers aged 21+. Its segments include smokeable products and oral tobacco products. The smokeable products segment consists of combustible cigarettes and machine-made large cigars. The oral tobacco products segment includes moist smokeless tobacco (MST) products and oral nicotine pouches. Its wholly owned subsidiaries include manufacturers of both combustible and smoke-free products. In combustibles, it owns Philip Morris USA Inc. (PM USA), and John Middleton Co. (Middleton), which are cigarette manufacturers. Its smoke-free portfolio includes ownership of U.S. Smokeless Tobacco Company LLC (USSTC), a global MST manufacturer, Helix Innovations LLC (Helix), a manufacturer of oral nicotine pouches, and NJOY, LLC (NJOY), an e-vapor manufacturer with a commercialized product portfolio. The brand portfolios of its operating companies include Marlboro, Black &amp; Mild, Copenhagen, Skoal, on! and NJOY.</v>
    <v>5900</v>
    <v>New York Stock Exchange</v>
    <v>XNYS</v>
    <v>XNYS</v>
    <v>6601 W Broad St, RICHMOND, VA, 23230 US</v>
    <v>65.55</v>
    <v>Food &amp; Tobacco</v>
    <v>Stock</v>
    <v>46101.99980225625</v>
    <v>248</v>
    <v>64.08</v>
    <v>107787264060</v>
    <v>Altria Group, Inc.</v>
    <v>Altria Group, Inc.</v>
    <v>65.3</v>
    <v>15.660600000000001</v>
    <v>65.069999999999993</v>
    <v>64.47</v>
    <v>64.8018</v>
    <v>1671898000</v>
    <v>MO</v>
    <v>Altria Group, Inc. (XNYS:MO)</v>
    <v>38329596</v>
    <v>8410715</v>
    <v>1985</v>
  </rv>
  <rv s="2">
    <v>249</v>
  </rv>
  <rv s="0">
    <v>https://www.bing.com/financeapi/forcetrigger?t=a1xxmw&amp;q=XNYS%3aMRK&amp;form=skydnc</v>
    <v>Learn more on Bing</v>
  </rv>
  <rv s="1">
    <v>0</v>
    <v>MERCK &amp; CO., INC. (XNYS:MRK)</v>
    <v>2</v>
    <v>3</v>
    <v>Finance</v>
    <v>4</v>
    <v>en-US</v>
    <v>a1xxmw</v>
    <v>268435456</v>
    <v>1</v>
    <v>Powered by Refinitiv</v>
    <v>125.14</v>
    <v>73.31</v>
    <v>0.30180000000000001</v>
    <v>-0.02</v>
    <v>-1.751E-4</v>
    <v>-0.28000000000000003</v>
    <v>-2.4520000000000002E-3</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115.18</v>
    <v>Pharmaceuticals</v>
    <v>Stock</v>
    <v>46101.990689918748</v>
    <v>251</v>
    <v>112.72</v>
    <v>282297718560</v>
    <v>MERCK &amp; CO., INC.</v>
    <v>MERCK &amp; CO., INC.</v>
    <v>114.245</v>
    <v>15.692500000000001</v>
    <v>114.2</v>
    <v>114.18</v>
    <v>113.9</v>
    <v>2472392000</v>
    <v>MRK</v>
    <v>MERCK &amp; CO., INC. (XNYS:MRK)</v>
    <v>36355421</v>
    <v>9755387</v>
    <v>1970</v>
  </rv>
  <rv s="2">
    <v>252</v>
  </rv>
  <rv s="0">
    <v>https://www.bing.com/financeapi/forcetrigger?t=a1yngh&amp;q=XNYS%3aNOC&amp;form=skydnc</v>
    <v>Learn more on Bing</v>
  </rv>
  <rv s="1">
    <v>0</v>
    <v>NORTHROP GRUMMAN CORPORATION (XNYS:NOC)</v>
    <v>2</v>
    <v>3</v>
    <v>Finance</v>
    <v>4</v>
    <v>en-US</v>
    <v>a1yngh</v>
    <v>268435456</v>
    <v>1</v>
    <v>Powered by Refinitiv</v>
    <v>774</v>
    <v>450.13</v>
    <v>2.0500000000000001E-2</v>
    <v>-7.2</v>
    <v>-1.0082000000000001E-2</v>
    <v>0.16</v>
    <v>2.263E-4</v>
    <v>USD</v>
    <v>Northrop Grumman Corporation is a global aerospace and defense technology company. Its segments include Aeronautics Systems, Defense Systems, Mission Systems, and Space Systems. Aeronautics Systems is engaged in the design, development, production, integration, sustainment and modernization of military aircraft systems for the United States Air Force, the United States Navy, other United States government agencies, and international customers. Defense Systems is engaged in the design, engineering, development, integration, and manufacturing of deterrent systems, advanced tactical weapons, and missile defense solutions. Mission Systems is a provider of mission solutions and multifunction systems. Its products and services include command, control, communications and computers, and reconnaissance (C4ISR) systems. Space Systems delivers end-to-end mission solutions through the design, development, integration, production and operation of space, missile defense, and launch systems.</v>
    <v>95000</v>
    <v>New York Stock Exchange</v>
    <v>XNYS</v>
    <v>XNYS</v>
    <v>2980 Fairview Park Drive, FALLS CHURCH, VA, 22042 US</v>
    <v>717.34</v>
    <v>Aerospace &amp; Defense</v>
    <v>Stock</v>
    <v>46101.999925775002</v>
    <v>254</v>
    <v>701</v>
    <v>100331475120</v>
    <v>NORTHROP GRUMMAN CORPORATION</v>
    <v>NORTHROP GRUMMAN CORPORATION</v>
    <v>714.72</v>
    <v>24.308800000000002</v>
    <v>714.15</v>
    <v>706.95</v>
    <v>707.11</v>
    <v>141921600</v>
    <v>NOC</v>
    <v>NORTHROP GRUMMAN CORPORATION (XNYS:NOC)</v>
    <v>1718224</v>
    <v>855981</v>
    <v>2010</v>
  </rv>
  <rv s="2">
    <v>255</v>
  </rv>
  <rv s="0">
    <v>https://www.bing.com/financeapi/forcetrigger?t=a2qdbh&amp;q=OTCM%3aNSRGY&amp;form=skydnc</v>
    <v>Learn more on Bing</v>
  </rv>
  <rv s="1">
    <v>0</v>
    <v>Nestle Ltd. (OTCM:NSRGY)</v>
    <v>2</v>
    <v>17</v>
    <v>Finance</v>
    <v>18</v>
    <v>en-US</v>
    <v>a2qdbh</v>
    <v>268435456</v>
    <v>1</v>
    <v>Powered by Refinitiv</v>
    <v>109.59</v>
    <v>86.98</v>
    <v>0.96340000000000003</v>
    <v>-1.31</v>
    <v>-1.3517999999999999E-2</v>
    <v>0</v>
    <v>0</v>
    <v>USD</v>
    <v>Nestle SA is a Switzerland-based company primarily engaged in food manufacturing industry. The Company's segments are Zone North America (NA), Zone Europe (EUR), Zone Asia, Oceania and Africa (AOA), Zone Latin America (LATAM), Zone Greater China (GC), Nestle Health Science and Nespresso. The Company's product categories include powdered and liquid beverages; water; milk products and ice cream; nutrition and health science; prepared dishes and cooking aids; confectionery, and PetCare. The Company's brand portfolio includes, but is not limited to Purina, Cailler, Cini Minis, KitKat, Nespresso and Nescafe. It operates in over 180 countries throughout the world. It has sales in various countries, including the United States, Greater China Region, Brazil, Mexico, Germany, the United Kingdom, Italy, Canada, France, Turkey, Ukraine, Georgia, Hungary, Malta, Romania, Spain and Switzerland.</v>
    <v>271000</v>
    <v>OTC Markets</v>
    <v>OTCM</v>
    <v>OTCM</v>
    <v>Ave Nesele 55, Ch-1800, VEVEY, VAUD, 1800 CH</v>
    <v>97.35</v>
    <v>Food &amp; Tobacco</v>
    <v>Stock</v>
    <v>46102.006944444445</v>
    <v>257</v>
    <v>95.05</v>
    <v>264273656399</v>
    <v>Nestle Ltd.</v>
    <v>Nestle Ltd.</v>
    <v>97.26</v>
    <v>21.575199999999999</v>
    <v>96.91</v>
    <v>95.6</v>
    <v>95.6</v>
    <v>2576520000</v>
    <v>NSRGY</v>
    <v>Nestle Ltd. (OTCM:NSRGY)</v>
    <v>518632</v>
    <v>3387990</v>
    <v>1905</v>
  </rv>
  <rv s="2">
    <v>258</v>
  </rv>
  <rv s="0">
    <v>https://www.bing.com/financeapi/forcetrigger?t=a1zqnm&amp;q=XNYS%3aPFE&amp;form=skydnc</v>
    <v>Learn more on Bing</v>
  </rv>
  <rv s="1">
    <v>0</v>
    <v>PFIZER INC. (XNYS:PFE)</v>
    <v>2</v>
    <v>3</v>
    <v>Finance</v>
    <v>4</v>
    <v>en-US</v>
    <v>a1zqnm</v>
    <v>268435456</v>
    <v>1</v>
    <v>Powered by Refinitiv</v>
    <v>27.94</v>
    <v>20.914999999999999</v>
    <v>0.4052</v>
    <v>-0.44</v>
    <v>-1.6052999999999998E-2</v>
    <v>0.06</v>
    <v>2.225E-3</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and others. Its PF-08653944 is an ultra-long-acting fully biased GLP-1 receptor agonist.</v>
    <v>75000</v>
    <v>New York Stock Exchange</v>
    <v>XNYS</v>
    <v>XNYS</v>
    <v>66 HUDSON BOULEVARD EAST, NEW YORK, NY, 10001-2192 US</v>
    <v>27.55</v>
    <v>Pharmaceuticals</v>
    <v>Stock</v>
    <v>46101.999769363283</v>
    <v>260</v>
    <v>26.8</v>
    <v>153414961320</v>
    <v>PFIZER INC.</v>
    <v>PFIZER INC.</v>
    <v>27.41</v>
    <v>19.890799999999999</v>
    <v>27.41</v>
    <v>26.97</v>
    <v>27.03</v>
    <v>5688356000</v>
    <v>PFE</v>
    <v>PFIZER INC. (XNYS:PFE)</v>
    <v>66805681</v>
    <v>40022082</v>
    <v>1942</v>
  </rv>
  <rv s="2">
    <v>261</v>
  </rv>
  <rv s="0">
    <v>https://www.bing.com/financeapi/forcetrigger?t=a1zzmw&amp;q=XNYS%3aPM&amp;form=skydnc</v>
    <v>Learn more on Bing</v>
  </rv>
  <rv s="1">
    <v>0</v>
    <v>Philip Morris International Inc. (XNYS:PM)</v>
    <v>2</v>
    <v>3</v>
    <v>Finance</v>
    <v>4</v>
    <v>en-US</v>
    <v>a1zzmw</v>
    <v>268435456</v>
    <v>1</v>
    <v>Powered by Refinitiv</v>
    <v>191.3</v>
    <v>142.11000000000001</v>
    <v>0.44750000000000001</v>
    <v>-0.26</v>
    <v>-1.591E-3</v>
    <v>0.39</v>
    <v>2.3909999999999999E-3</v>
    <v>USD</v>
    <v>Philip Morris International Inc. is an international tobacco company. The Company’s product portfolio primarily consists of cigarettes and smoke-free products. Its smoke-free business (SFB) also includes wellness and healthcare products, as well as consumer accessories, such as lighters and matches. The Company’s segments include Europe Region; South and Southeast Asia, Commonwealth of Independent States, Middle East and Africa Region (SSEA, CIS &amp; MEA); East Asia, Australia &amp; PMI Global Travel Retail (EA, AU &amp; PMI GTR), and Americas Region. The Company's brands include Marlboro, HEETS, IQOS, IQOS ILUMA, TEREA, VEEV and ZYN. Its IQOS smoke-free product brand portfolio includes heated tobacco and nicotine-containing vapor products. Its international cigarette brands are Chesterfield, L&amp;M, and Philip Morris. It also owns a number of local cigarette brands, such as Dji Sam Soe and Sampoerna A in Indonesia, and Fortune and Jackpot in the Philippines.</v>
    <v>84900</v>
    <v>New York Stock Exchange</v>
    <v>XNYS</v>
    <v>XNYS</v>
    <v>677 Washington Blvd, Ste. 1100, STAMFORD, CT, 06901 US</v>
    <v>164.63</v>
    <v>Food &amp; Tobacco</v>
    <v>Stock</v>
    <v>46101.989112638279</v>
    <v>263</v>
    <v>161.83000000000001</v>
    <v>253910074800</v>
    <v>Philip Morris International Inc.</v>
    <v>Philip Morris International Inc.</v>
    <v>163.53</v>
    <v>22.457000000000001</v>
    <v>163.37</v>
    <v>163.11000000000001</v>
    <v>163.5</v>
    <v>1556680000</v>
    <v>PM</v>
    <v>Philip Morris International Inc. (XNYS:PM)</v>
    <v>9565485</v>
    <v>5030617</v>
    <v>2007</v>
  </rv>
  <rv s="2">
    <v>264</v>
  </rv>
  <rv s="0">
    <v>https://www.bing.com/financeapi/forcetrigger?t=a214h7&amp;q=XNYS%3aPPG&amp;form=skydnc</v>
    <v>Learn more on Bing</v>
  </rv>
  <rv s="1">
    <v>0</v>
    <v>PPG INDUSTRIES, INC. (XNYS:PPG)</v>
    <v>2</v>
    <v>3</v>
    <v>Finance</v>
    <v>4</v>
    <v>en-US</v>
    <v>a214h7</v>
    <v>268435456</v>
    <v>1</v>
    <v>Powered by Refinitiv</v>
    <v>133.43</v>
    <v>90.24</v>
    <v>1.1856</v>
    <v>-1.1599999999999999</v>
    <v>-1.1791000000000001E-2</v>
    <v>0</v>
    <v>0</v>
    <v>USD</v>
    <v>PPG Industries, Inc. manufactures and distributes a broad range of paints, coatings and specialty products. Its segments include Global Architectural Coatings, Performance Coatings and Industrial Coatings. The Global Architectural Coatings segment consists of architectural coatings EMEA and architectural coatings Latin America and Asia Pacific operating segments. This segment primarily supplies paints, wood stains, adhesives, sealants and purchased sundries. The Performance Coatings segment consists of automotive refinish coatings, aerospace coatings, protective and marine coatings and traffic solutions operating segments. This segment primarily supplies a variety of coatings, solvents, adhesives, sealants, foams and finishes, along with pavement marking products, transparencies and paint films. The Industrial Coatings segment supplies a variety of protective and decorative coatings and finishes along with adhesives, sealants, metal pretreatment products, and other specialty products.</v>
    <v>43500</v>
    <v>New York Stock Exchange</v>
    <v>XNYS</v>
    <v>XNYS</v>
    <v>One Ppg Pl 40 East, PITTSBURGH, PA, 15272 US</v>
    <v>99.265000000000001</v>
    <v>Chemicals</v>
    <v>Stock</v>
    <v>46101.958333344533</v>
    <v>266</v>
    <v>96.07</v>
    <v>21757699892</v>
    <v>PPG INDUSTRIES, INC.</v>
    <v>PPG INDUSTRIES, INC.</v>
    <v>98.56</v>
    <v>14.0589</v>
    <v>98.38</v>
    <v>97.22</v>
    <v>97.22</v>
    <v>223798600</v>
    <v>PPG</v>
    <v>PPG INDUSTRIES, INC. (XNYS:PPG)</v>
    <v>3638116</v>
    <v>2217999</v>
    <v>1883</v>
  </rv>
  <rv s="2">
    <v>267</v>
  </rv>
  <rv s="0">
    <v>http://en.wikipedia.org/wiki/Qualcomm</v>
    <v>Wikipedia</v>
  </rv>
  <rv s="3">
    <v>9</v>
    <v>269</v>
  </rv>
  <rv s="4">
    <v>9</v>
    <v>https://www.bing.com/th?id=AMMS_2b1c176dae370ecc0d55a1517537f595&amp;qlt=95</v>
    <v>270</v>
    <v>0</v>
    <v>https://www.bing.com/images/search?form=xlimg&amp;q=qualcomm</v>
    <v>Image of QUALCOMM INCORPORATED</v>
  </rv>
  <rv s="0">
    <v>https://www.bing.com/financeapi/forcetrigger?t=a21k2w&amp;q=XNAS%3aQCOM&amp;form=skydnc</v>
    <v>Learn more on Bing</v>
  </rv>
  <rv s="5">
    <v>5</v>
    <v>QUALCOMM INCORPORATED (XNAS:QCOM)</v>
    <v>7</v>
    <v>8</v>
    <v>Finance</v>
    <v>4</v>
    <v>en-US</v>
    <v>a21k2w</v>
    <v>268435456</v>
    <v>1</v>
    <v>Powered by Refinitiv</v>
    <v>205.95</v>
    <v>120.8019</v>
    <v>1.2734000000000001</v>
    <v>-1.38</v>
    <v>-1.0511999999999999E-2</v>
    <v>0.56999999999999995</v>
    <v>4.3880000000000004E-3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132.75</v>
    <v>271</v>
    <v>Semiconductors &amp; Semiconductor Equipment</v>
    <v>Stock</v>
    <v>46101.998972267967</v>
    <v>272</v>
    <v>129.77500000000001</v>
    <v>138603300000</v>
    <v>QUALCOMM INCORPORATED</v>
    <v>QUALCOMM INCORPORATED</v>
    <v>131.31</v>
    <v>27.121700000000001</v>
    <v>131.28</v>
    <v>129.9</v>
    <v>130.47</v>
    <v>1067000000</v>
    <v>QCOM</v>
    <v>QUALCOMM INCORPORATED (XNAS:QCOM)</v>
    <v>78568037</v>
    <v>9888825</v>
    <v>1991</v>
  </rv>
  <rv s="2">
    <v>273</v>
  </rv>
  <rv s="0">
    <v>https://www.bing.com/financeapi/forcetrigger?t=a22k9c&amp;q=XNAS%3aSBUX&amp;form=skydnc</v>
    <v>Learn more on Bing</v>
  </rv>
  <rv s="1">
    <v>0</v>
    <v>STARBUCKS CORPORATION (XNAS:SBUX)</v>
    <v>2</v>
    <v>3</v>
    <v>Finance</v>
    <v>4</v>
    <v>en-US</v>
    <v>a22k9c</v>
    <v>268435456</v>
    <v>1</v>
    <v>Powered by Refinitiv</v>
    <v>104.82</v>
    <v>75.5</v>
    <v>0.92700000000000005</v>
    <v>-3.28</v>
    <v>-3.4227E-2</v>
    <v>0.47</v>
    <v>5.078E-3</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96.35</v>
    <v>Hotels &amp; Entertainment Services</v>
    <v>Stock</v>
    <v>46101.998097164062</v>
    <v>275</v>
    <v>92.22</v>
    <v>105442215000</v>
    <v>STARBUCKS CORPORATION</v>
    <v>STARBUCKS CORPORATION</v>
    <v>94.97</v>
    <v>77.099299999999999</v>
    <v>95.83</v>
    <v>92.55</v>
    <v>93.02</v>
    <v>1139300000</v>
    <v>SBUX</v>
    <v>STARBUCKS CORPORATION (XNAS:SBUX)</v>
    <v>13961928</v>
    <v>8043594</v>
    <v>1985</v>
  </rv>
  <rv s="2">
    <v>276</v>
  </rv>
  <rv s="0">
    <v>https://www.bing.com/financeapi/forcetrigger?t=a22n4c&amp;q=XNYS%3aSCHW&amp;form=skydnc</v>
    <v>Learn more on Bing</v>
  </rv>
  <rv s="1">
    <v>0</v>
    <v>THE CHARLES SCHWAB CORPORATION (XNYS:SCHW)</v>
    <v>2</v>
    <v>3</v>
    <v>Finance</v>
    <v>4</v>
    <v>en-US</v>
    <v>a22n4c</v>
    <v>268435456</v>
    <v>1</v>
    <v>Powered by Refinitiv</v>
    <v>107.5</v>
    <v>65.88</v>
    <v>0.9093</v>
    <v>0.67</v>
    <v>7.1279999999999998E-3</v>
    <v>0.61899999999999999</v>
    <v>6.5390000000000005E-3</v>
    <v>USD</v>
    <v>The Charles Schwab Corporation is a savings and loan holding company. The Company, through its subsidiaries, engages in wealth management, securities brokerage, banking, asset management, custody, and financial advisory services. The Company provides financial services to individuals and institutional clients through two segments: Investor Services, and Advisor Services. The Investor Services segment provides retail brokerage, investment advisory, and banking and trust services to individual investors, and retirement plan and business services, as well as other corporate brokerage services, to businesses and their employees. The Advisor Services segment provides custodial, trading, banking and trust, and support services to independent registered investment advisors (RIAs), independent retirement advisors, and recordkeepers. Its products and services include brokerage, mutual funds, exchange-traded funds (ETFs), managed investing solutions, alternative investments, banking, and trust.</v>
    <v>33000</v>
    <v>New York Stock Exchange</v>
    <v>XNYS</v>
    <v>XNYS</v>
    <v>3000 Schwab Way, WESTLAKE, TX, 76262 US</v>
    <v>94.87</v>
    <v>Investment Banking &amp; Investment Services</v>
    <v>Stock</v>
    <v>46101.996109513282</v>
    <v>278</v>
    <v>93.5</v>
    <v>165864198600</v>
    <v>THE CHARLES SCHWAB CORPORATION</v>
    <v>THE CHARLES SCHWAB CORPORATION</v>
    <v>94.11</v>
    <v>20.157499999999999</v>
    <v>93.99</v>
    <v>94.66</v>
    <v>95.278999999999996</v>
    <v>1752210000</v>
    <v>SCHW</v>
    <v>THE CHARLES SCHWAB CORPORATION (XNYS:SCHW)</v>
    <v>13145384</v>
    <v>10664751</v>
    <v>1986</v>
  </rv>
  <rv s="2">
    <v>279</v>
  </rv>
  <rv s="0">
    <v>https://www.bing.com/financeapi/forcetrigger?t=a22xk2&amp;q=XNYS%3aSHW&amp;form=skydnc</v>
    <v>Learn more on Bing</v>
  </rv>
  <rv s="1">
    <v>0</v>
    <v>THE SHERWIN-WILLIAMS COMPANY (XNYS:SHW)</v>
    <v>2</v>
    <v>3</v>
    <v>Finance</v>
    <v>4</v>
    <v>en-US</v>
    <v>a22xk2</v>
    <v>268435456</v>
    <v>1</v>
    <v>Powered by Refinitiv</v>
    <v>379.65</v>
    <v>301.58</v>
    <v>1.2834000000000001</v>
    <v>-6.85</v>
    <v>-2.2069999999999999E-2</v>
    <v>2.25</v>
    <v>7.4129999999999995E-3</v>
    <v>USD</v>
    <v>The Sherwin-Williams Company is engaged in the manufacture, development, distribution, and sale of paint, coatings and related products to professional, industrial, commercial, and retail customers primarily in North and South America with additional operations in the Caribbean region, Europe, Asia and Australia. Its Paint Stores Group segment is engaged in servicing the needs of architectural and industrial paint contractors and do-it-yourself homeowners. The Consumer Brands Group segment manufactures and distributes a broad portfolio of branded and private-label architectural paint, stains, varnishes, industrial products, wood finishes products, wood preservatives, applicators, corrosion inhibitors, aerosols, caulks and adhesives to retailers, including home centers and hardware stores, dedicated dealers and distributors. The Performance Coatings Group segment develops and sells industrial coatings for wood finishing and general industrial (metal and plastic) applications and others.</v>
    <v>64249</v>
    <v>New York Stock Exchange</v>
    <v>XNYS</v>
    <v>XNYS</v>
    <v>101 Prospect Ave Nw, CLEVELAND, OH, 44115 US</v>
    <v>312.04000000000002</v>
    <v>Chemicals</v>
    <v>Stock</v>
    <v>46101.960099062497</v>
    <v>281</v>
    <v>301.58</v>
    <v>75081909272</v>
    <v>THE SHERWIN-WILLIAMS COMPANY</v>
    <v>THE SHERWIN-WILLIAMS COMPANY</v>
    <v>308.79000000000002</v>
    <v>29.590699999999998</v>
    <v>310.38</v>
    <v>303.52999999999997</v>
    <v>305.77999999999997</v>
    <v>247362400</v>
    <v>SHW</v>
    <v>THE SHERWIN-WILLIAMS COMPANY (XNYS:SHW)</v>
    <v>2708641</v>
    <v>1680551</v>
    <v>1884</v>
  </rv>
  <rv s="2">
    <v>282</v>
  </rv>
  <rv s="0">
    <v>https://www.bing.com/financeapi/forcetrigger?t=a237gh&amp;q=XNYS%3aSNA&amp;form=skydnc</v>
    <v>Learn more on Bing</v>
  </rv>
  <rv s="1">
    <v>0</v>
    <v>SNAP-ON INCORPORATED (XNYS:SNA)</v>
    <v>2</v>
    <v>3</v>
    <v>Finance</v>
    <v>4</v>
    <v>en-US</v>
    <v>a237gh</v>
    <v>268435456</v>
    <v>1</v>
    <v>Powered by Refinitiv</v>
    <v>390.13</v>
    <v>289.81</v>
    <v>0.76480000000000004</v>
    <v>-3.87</v>
    <v>-1.0727E-2</v>
    <v>0</v>
    <v>0</v>
    <v>USD</v>
    <v>Snap-on Incorporated is a manufacturer and marketer of tools, equipment, diagnostics, repair information and systems solutions. The Company's Commercial and Industrial Group segment serves a range of industrial and commercial customers worldwide, including customers in the aerospace, natural resources, government, power generation, transportation and technical education market segments, through direct and distributor channels. Its Snap-on Tools Group segment consists of operations primarily serving vehicle service and repair technicians through the Company’s mobile tool distribution channel. Its Repair Systems and Information Group segment consists of business operations serving other professional vehicle repair customers worldwide, owners and managers of independent repair shops and original equipment manufacturer dealerships, through direct and distributor channels. Its Financial Services segment consists of the business operations of its finance subsidiaries.</v>
    <v>13000</v>
    <v>New York Stock Exchange</v>
    <v>XNYS</v>
    <v>XNYS</v>
    <v>2801 80th St, KENOSHA, WI, 53143 US</v>
    <v>361.69</v>
    <v>Machinery, Equipment &amp; Components</v>
    <v>Stock</v>
    <v>46101.98715930547</v>
    <v>284</v>
    <v>354.97</v>
    <v>18579264646</v>
    <v>SNAP-ON INCORPORATED</v>
    <v>SNAP-ON INCORPORATED</v>
    <v>359.9</v>
    <v>18.803000000000001</v>
    <v>360.77</v>
    <v>356.9</v>
    <v>356.9</v>
    <v>52057340</v>
    <v>SNA</v>
    <v>SNAP-ON INCORPORATED (XNYS:SNA)</v>
    <v>1629850</v>
    <v>358241</v>
    <v>1930</v>
  </rv>
  <rv s="2">
    <v>285</v>
  </rv>
  <rv s="0">
    <v>https://www.bing.com/financeapi/forcetrigger?t=a23a5r&amp;q=XNYS%3aSO&amp;form=skydnc</v>
    <v>Learn more on Bing</v>
  </rv>
  <rv s="1">
    <v>0</v>
    <v>THE SOUTHERN COMPANY (XNYS:SO)</v>
    <v>2</v>
    <v>3</v>
    <v>Finance</v>
    <v>4</v>
    <v>en-US</v>
    <v>a23a5r</v>
    <v>268435456</v>
    <v>1</v>
    <v>Powered by Refinitiv</v>
    <v>100.83499999999999</v>
    <v>83.09</v>
    <v>0.41010000000000002</v>
    <v>-2.84</v>
    <v>-2.9512999999999998E-2</v>
    <v>0.21</v>
    <v>2.2489999999999997E-3</v>
    <v>USD</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renewable energy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29800</v>
    <v>New York Stock Exchange</v>
    <v>XNYS</v>
    <v>XNYS</v>
    <v>30 Ivan Allen Jr. Blvd., N.W., ATLANTA, GA, 30308 US</v>
    <v>96.45</v>
    <v>Electrical Utilities &amp; IPPs</v>
    <v>Stock</v>
    <v>46101.992463390627</v>
    <v>287</v>
    <v>93.155000000000001</v>
    <v>104539925490</v>
    <v>THE SOUTHERN COMPANY</v>
    <v>THE SOUTHERN COMPANY</v>
    <v>96.16</v>
    <v>23.842199999999998</v>
    <v>96.23</v>
    <v>93.39</v>
    <v>93.6</v>
    <v>1119391000</v>
    <v>SO</v>
    <v>THE SOUTHERN COMPANY (XNYS:SO)</v>
    <v>9915397</v>
    <v>7007777</v>
    <v>1945</v>
  </rv>
  <rv s="2">
    <v>288</v>
  </rv>
  <rv s="0">
    <v>https://www.bing.com/financeapi/forcetrigger?t=a23d9c&amp;q=XNYS%3aSPGI&amp;form=skydnc</v>
    <v>Learn more on Bing</v>
  </rv>
  <rv s="1">
    <v>0</v>
    <v>S&amp;P GLOBAL INC. (XNYS:SPGI)</v>
    <v>2</v>
    <v>3</v>
    <v>Finance</v>
    <v>4</v>
    <v>en-US</v>
    <v>a23d9c</v>
    <v>268435456</v>
    <v>1</v>
    <v>Powered by Refinitiv</v>
    <v>579.04999999999995</v>
    <v>381.60500000000002</v>
    <v>1.2121</v>
    <v>-1.71</v>
    <v>-4.0130000000000001E-3</v>
    <v>1.58</v>
    <v>3.7230000000000002E-3</v>
    <v>USD</v>
    <v>S&amp;P Global Inc. provides essential intelligence. Its operations consist of five businesses: S&amp;P Global Market Intelligence (Market Intelligence), S&amp;P Global Ratings (Ratings), S&amp;P Global Commodity Insights (Commodity Insights), S&amp;P Global Mobility (Mobility) and S&amp;P Dow Jones Indices (Indices). Market Intelligence is a global provider of multi-asset-class data and analytics integrated with purpose-built workflow solutions. Ratings is an independent provider of credit ratings, research, and analytics, offering investors and other market participants information, ratings and benchmarks. Commodity Insights is an independent provider of information and benchmark prices for the commodity and energy markets. Mobility is a provider of solutions serving the full automotive value chain, including vehicle manufacturers and retailers. Indices is a global index provider that maintains a variety of valuation and index benchmarks for investment advisors, wealth managers and institutional investors.</v>
    <v>44500</v>
    <v>New York Stock Exchange</v>
    <v>XNYS</v>
    <v>XNYS</v>
    <v>55 Water Street, NEW YORK, NY, 10041 US</v>
    <v>428.26990000000001</v>
    <v>Professional &amp; Commercial Services</v>
    <v>Stock</v>
    <v>46101.983379096877</v>
    <v>290</v>
    <v>421.34</v>
    <v>126819684000</v>
    <v>S&amp;P GLOBAL INC.</v>
    <v>S&amp;P GLOBAL INC.</v>
    <v>426.36</v>
    <v>28.951000000000001</v>
    <v>426.14</v>
    <v>424.43</v>
    <v>426.01</v>
    <v>298800000</v>
    <v>SPGI</v>
    <v>S&amp;P GLOBAL INC. (XNYS:SPGI)</v>
    <v>3444730</v>
    <v>2725933</v>
    <v>1925</v>
  </rv>
  <rv s="2">
    <v>291</v>
  </rv>
  <rv s="0">
    <v>https://www.bing.com/financeapi/forcetrigger?t=a246z2&amp;q=XNYS%3aTGT&amp;form=skydnc</v>
    <v>Learn more on Bing</v>
  </rv>
  <rv s="1">
    <v>0</v>
    <v>TARGET CORPORATION (XNYS:TGT)</v>
    <v>2</v>
    <v>3</v>
    <v>Finance</v>
    <v>4</v>
    <v>en-US</v>
    <v>a246z2</v>
    <v>268435456</v>
    <v>1</v>
    <v>Powered by Refinitiv</v>
    <v>126</v>
    <v>83.44</v>
    <v>1.0754999999999999</v>
    <v>-1.21</v>
    <v>-1.057E-2</v>
    <v>0.74</v>
    <v>6.5339999999999999E-3</v>
    <v>USD</v>
    <v>Target Corporation is a general merchandise retailer selling products to its guests through its stores and digital channels. The Company offers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are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 It serves guests at nearly 2,000 stores and at Target.com.</v>
    <v>415000</v>
    <v>New York Stock Exchange</v>
    <v>XNYS</v>
    <v>XNYS</v>
    <v>1000 Nicollet Mall, MINNEAPOLIS, MN, 55403 US</v>
    <v>115.27</v>
    <v>Diversified Retail</v>
    <v>Stock</v>
    <v>46101.998908286718</v>
    <v>293</v>
    <v>112.69</v>
    <v>51290425256</v>
    <v>TARGET CORPORATION</v>
    <v>TARGET CORPORATION</v>
    <v>114</v>
    <v>13.743</v>
    <v>114.47</v>
    <v>113.26</v>
    <v>114</v>
    <v>452855600</v>
    <v>TGT</v>
    <v>TARGET CORPORATION (XNYS:TGT)</v>
    <v>19717452</v>
    <v>6227656</v>
    <v>1902</v>
  </rv>
  <rv s="2">
    <v>294</v>
  </rv>
  <rv s="0">
    <v>https://www.bing.com/financeapi/forcetrigger?t=a24jvh&amp;q=XNAS%3aTSCO&amp;form=skydnc</v>
    <v>Learn more on Bing</v>
  </rv>
  <rv s="1">
    <v>0</v>
    <v>TRACTOR SUPPLY COMPANY (XNAS:TSCO)</v>
    <v>2</v>
    <v>3</v>
    <v>Finance</v>
    <v>4</v>
    <v>en-US</v>
    <v>a24jvh</v>
    <v>268435456</v>
    <v>1</v>
    <v>Powered by Refinitiv</v>
    <v>63.989899999999999</v>
    <v>45.45</v>
    <v>0.74270000000000003</v>
    <v>-0.41</v>
    <v>-8.8780000000000005E-3</v>
    <v>0.63</v>
    <v>1.3764E-2</v>
    <v>USD</v>
    <v>Tractor Supply Company is a rural lifestyle retailer in the United States. The Company is focused on supplying the needs of recreational farmers and ranchers. It operates retail stores under the names Tractor Supply Company and Petsense by Tractor Supply. Its stores are located in towns outlying various metropolitan markets and in rural communities. It also offers an expanded assortment of products through the Tractor Supply mobile application and online at TractorSupply.com and Petsense.com. The Company's selection of merchandise consists of various product categories, including livestock, equine and agriculture; companion animal; seasonal and recreation; truck, tool, and hardware, and clothing, gift, and decor. Its brands consist of 4health, American Farmworks, Bit &amp; Bridle, Blue Mountain, C.E. Schmidt, Country Lane, Countyline, Country Tuff, Dumor, Farm Table, Groundwork, Huskee, and JobSmart.</v>
    <v>26000</v>
    <v>Nasdaq Stock Market</v>
    <v>XNAS</v>
    <v>XNAS</v>
    <v>5401 Virginia Way, BRENTWOOD, TN, 37027 US</v>
    <v>46.37</v>
    <v>Specialty Retailers</v>
    <v>Stock</v>
    <v>46101.999792175782</v>
    <v>296</v>
    <v>45.45</v>
    <v>24091099001</v>
    <v>TRACTOR SUPPLY COMPANY</v>
    <v>TRACTOR SUPPLY COMPANY</v>
    <v>46.1</v>
    <v>22.418099999999999</v>
    <v>46.18</v>
    <v>45.77</v>
    <v>46.4</v>
    <v>526351300</v>
    <v>TSCO</v>
    <v>TRACTOR SUPPLY COMPANY (XNAS:TSCO)</v>
    <v>5886314</v>
    <v>5804614</v>
    <v>1982</v>
  </rv>
  <rv s="2">
    <v>297</v>
  </rv>
  <rv s="0">
    <v>https://www.bing.com/financeapi/forcetrigger?t=a24kjc&amp;q=XNYS%3aTSM&amp;form=skydnc</v>
    <v>Learn more on Bing</v>
  </rv>
  <rv s="1">
    <v>0</v>
    <v>Taiwan Semiconductor Manufacturing Co., Ltd. (XNYS:TSM)</v>
    <v>2</v>
    <v>19</v>
    <v>Finance</v>
    <v>4</v>
    <v>en-US</v>
    <v>a24kjc</v>
    <v>268435456</v>
    <v>1</v>
    <v>Powered by Refinitiv</v>
    <v>390.20499999999998</v>
    <v>134.25</v>
    <v>1.4316</v>
    <v>-9.5500000000000007</v>
    <v>-2.8189000000000002E-2</v>
    <v>1.66</v>
    <v>5.0419999999999996E-3</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337.6</v>
    <v>Semiconductors &amp; Semiconductor Equipment</v>
    <v>Stock</v>
    <v>46101.999945149997</v>
    <v>299</v>
    <v>325.89999999999998</v>
    <v>1764604596150</v>
    <v>Taiwan Semiconductor Manufacturing Co., Ltd.</v>
    <v>Taiwan Semiconductor Manufacturing Co., Ltd.</v>
    <v>336.68</v>
    <v>31.142900000000001</v>
    <v>338.79</v>
    <v>329.24</v>
    <v>330.9</v>
    <v>25932530000</v>
    <v>TSM</v>
    <v>Taiwan Semiconductor Manufacturing Co., Ltd. (XNYS:TSM)</v>
    <v>17424155</v>
    <v>12766519</v>
    <v>1987</v>
  </rv>
  <rv s="2">
    <v>300</v>
  </rv>
  <rv s="0">
    <v>https://www.bing.com/financeapi/forcetrigger?t=a24xww&amp;q=XNYS%3aUNP&amp;form=skydnc</v>
    <v>Learn more on Bing</v>
  </rv>
  <rv s="1">
    <v>0</v>
    <v>UNION PACIFIC CORPORATION (XNYS:UNP)</v>
    <v>2</v>
    <v>3</v>
    <v>Finance</v>
    <v>4</v>
    <v>en-US</v>
    <v>a24xww</v>
    <v>268435456</v>
    <v>1</v>
    <v>Powered by Refinitiv</v>
    <v>268.14</v>
    <v>204.66</v>
    <v>0.98440000000000005</v>
    <v>0.74</v>
    <v>3.16E-3</v>
    <v>2.0299999999999998</v>
    <v>8.6409999999999994E-3</v>
    <v>USD</v>
    <v>Union Pacific Corporation, through its principal operating company, Union Pacific Railroad Company, connects over 23 states in the western two-thirds of the country by rail, providing a critical link in the global supply chain. It maintains coordinated schedules with other rail carriers to move freight to and from the Atlantic Coast, the Pacific Coast, the Southeast, the Southwest, Canada, and Mexico. The railroad’s diversified business mix includes bulk, industrial, and premium. Its Bulk shipments consist of grain and grain products, fertilizer, food and refrigerated, and coal and renewables. The Industrial shipments consist of several categories, including construction, industrial chemicals, plastics, forest products, specialized products (primarily waste, salt, and roofing), metals and ores, petroleum, liquid petroleum gases (LPG), soda ash, and sand. Its Premium shipments include finished automobiles, automotive parts, and merchandise in intermodal containers.</v>
    <v>29287</v>
    <v>New York Stock Exchange</v>
    <v>XNYS</v>
    <v>XNYS</v>
    <v>1400 Douglas Street, OMAHA, NE, 68179 US</v>
    <v>236.125</v>
    <v>Freight &amp; Logistics Services</v>
    <v>Stock</v>
    <v>46101.987336573438</v>
    <v>302</v>
    <v>233.04</v>
    <v>139399531180</v>
    <v>UNION PACIFIC CORPORATION</v>
    <v>UNION PACIFIC CORPORATION</v>
    <v>234.4</v>
    <v>19.603899999999999</v>
    <v>234.18</v>
    <v>234.92</v>
    <v>236.95</v>
    <v>593391500</v>
    <v>UNP</v>
    <v>UNION PACIFIC CORPORATION (XNYS:UNP)</v>
    <v>5047932</v>
    <v>3168411</v>
    <v>1969</v>
  </rv>
  <rv s="2">
    <v>303</v>
  </rv>
  <rv s="0">
    <v>https://www.bing.com/financeapi/forcetrigger?t=a256cw&amp;q=XNYS%3aV&amp;form=skydnc</v>
    <v>Learn more on Bing</v>
  </rv>
  <rv s="1">
    <v>0</v>
    <v>VISA INC. (XNYS:V)</v>
    <v>2</v>
    <v>3</v>
    <v>Finance</v>
    <v>4</v>
    <v>en-US</v>
    <v>a256cw</v>
    <v>268435456</v>
    <v>1</v>
    <v>Powered by Refinitiv</v>
    <v>375.51</v>
    <v>297.03219999999999</v>
    <v>0.80489999999999995</v>
    <v>1.91</v>
    <v>6.3730000000000002E-3</v>
    <v>1.48</v>
    <v>4.9069999999999999E-3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302.92</v>
    <v>Professional &amp; Commercial Services</v>
    <v>Stock</v>
    <v>46101.999927546094</v>
    <v>305</v>
    <v>299.01010000000002</v>
    <v>574890434580</v>
    <v>VISA INC.</v>
    <v>VISA INC.</v>
    <v>299.85000000000002</v>
    <v>28.1234</v>
    <v>299.70999999999998</v>
    <v>301.62</v>
    <v>303.10000000000002</v>
    <v>1906009000</v>
    <v>V</v>
    <v>VISA INC. (XNYS:V)</v>
    <v>14398132</v>
    <v>7689668</v>
    <v>2007</v>
  </rv>
  <rv s="2">
    <v>306</v>
  </rv>
  <rv s="0">
    <v>https://www.bing.com/financeapi/forcetrigger?t=aythxm&amp;q=XNYS%3aVICI&amp;form=skydnc</v>
    <v>Learn more on Bing</v>
  </rv>
  <rv s="1">
    <v>0</v>
    <v>VICI PROPERTIES INC. (XNYS:VICI)</v>
    <v>2</v>
    <v>3</v>
    <v>Finance</v>
    <v>4</v>
    <v>en-US</v>
    <v>aythxm</v>
    <v>268435456</v>
    <v>1</v>
    <v>Powered by Refinitiv</v>
    <v>34.01</v>
    <v>26.754999999999999</v>
    <v>0.71719999999999995</v>
    <v>-1.1499999999999999</v>
    <v>-4.1100999999999999E-2</v>
    <v>0.31</v>
    <v>1.1554E-2</v>
    <v>USD</v>
    <v>VICI Properties Inc. is a real estate investment trust (REIT). The Company is engaged in the business of owning and acquiring gaming, hospitality, wellness, entertainment and leisure destinations, subject to long-term triple net leases. The Company own 93 experiential assets across a geographically diverse portfolio consisting of 54 gaming properties and 39 other experiential properties across the United States and Canada, including Caesars Palace Las Vegas, MGM Grand and the Venetian Resort Las Vegas (the Venetian Resort). The portfolio comprises over 127 million square feet and features approximately 60,300 hotel rooms and over 500 restaurants, bars, nightclubs and sportsbooks. Its properties are occupied by gaming, leisure and hospitality operators under long-term, triple-net lease agreements. The Company also owns four championship golf courses and approximately 33 acres of undeveloped and underdeveloped land adjacent to the Las Vegas Strip.</v>
    <v>28</v>
    <v>New York Stock Exchange</v>
    <v>XNYS</v>
    <v>XNYS</v>
    <v>535 Madison Avenue, 28Th Floor, NEW YORK, NY, 10022 US</v>
    <v>27.98</v>
    <v>Residential &amp; Commercial REIT</v>
    <v>Stock</v>
    <v>46101.998182140625</v>
    <v>308</v>
    <v>26.754999999999999</v>
    <v>28680974870</v>
    <v>VICI PROPERTIES INC.</v>
    <v>VICI PROPERTIES INC.</v>
    <v>27.96</v>
    <v>10.271800000000001</v>
    <v>27.98</v>
    <v>26.83</v>
    <v>27.14</v>
    <v>1068989000</v>
    <v>VICI</v>
    <v>VICI PROPERTIES INC. (XNYS:VICI)</v>
    <v>15368073</v>
    <v>9800988</v>
    <v>2017</v>
  </rv>
  <rv s="2">
    <v>309</v>
  </rv>
  <rv s="0">
    <v>https://www.bing.com/financeapi/forcetrigger?t=a25ya2&amp;q=XNYS%3aWMT&amp;form=skydnc</v>
    <v>Learn more on Bing</v>
  </rv>
  <rv s="1">
    <v>0</v>
    <v>WALMART INC. (XNAS:WMT)</v>
    <v>2</v>
    <v>3</v>
    <v>Finance</v>
    <v>4</v>
    <v>en-US</v>
    <v>a25ya2</v>
    <v>268435456</v>
    <v>1</v>
    <v>Powered by Refinitiv</v>
    <v>134.69</v>
    <v>79.81</v>
    <v>0.67490000000000006</v>
    <v>-1.823</v>
    <v>-1.5085999999999999E-2</v>
    <v>0.31</v>
    <v>2.6050000000000001E-3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121.3</v>
    <v>Food &amp; Drug Retailing</v>
    <v>Stock</v>
    <v>46101.999915728906</v>
    <v>311</v>
    <v>118.02</v>
    <v>948875286040</v>
    <v>WALMART INC.</v>
    <v>WALMART INC.</v>
    <v>120.63</v>
    <v>44.27</v>
    <v>120.843</v>
    <v>119.02</v>
    <v>119.33</v>
    <v>7972402000</v>
    <v>WMT</v>
    <v>WALMART INC. (XNAS:WMT)</v>
    <v>57545642</v>
    <v>23705159</v>
    <v>1969</v>
  </rv>
  <rv s="2">
    <v>312</v>
  </rv>
  <rv s="0">
    <v>https://www.bing.com/financeapi/forcetrigger?t=a269ec&amp;q=XNYS%3aXOM&amp;form=skydnc</v>
    <v>Learn more on Bing</v>
  </rv>
  <rv s="1">
    <v>0</v>
    <v>EXXON MOBIL CORPORATION (XNYS:XOM)</v>
    <v>2</v>
    <v>3</v>
    <v>Finance</v>
    <v>4</v>
    <v>en-US</v>
    <v>a269ec</v>
    <v>268435456</v>
    <v>1</v>
    <v>Powered by Refinitiv</v>
    <v>162.44</v>
    <v>97.8</v>
    <v>0.33339999999999997</v>
    <v>1.51</v>
    <v>9.5469999999999999E-3</v>
    <v>0.21820000000000001</v>
    <v>1.3669999999999999E-3</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162.44</v>
    <v>Oil &amp; Gas</v>
    <v>Stock</v>
    <v>46101.999878460156</v>
    <v>314</v>
    <v>159.1</v>
    <v>665307207880</v>
    <v>EXXON MOBIL CORPORATION</v>
    <v>EXXON MOBIL CORPORATION</v>
    <v>159.35</v>
    <v>23.9009</v>
    <v>158.16</v>
    <v>159.66999999999999</v>
    <v>159.88820000000001</v>
    <v>4166764000</v>
    <v>XOM</v>
    <v>EXXON MOBIL CORPORATION (XNYS:XOM)</v>
    <v>53942142</v>
    <v>21799027</v>
    <v>1882</v>
  </rv>
  <rv s="2">
    <v>315</v>
  </rv>
  <rv s="0">
    <v>https://www.bing.com/financeapi/forcetrigger?t=a26hyc&amp;q=XNYS%3aZTS&amp;form=skydnc</v>
    <v>Learn more on Bing</v>
  </rv>
  <rv s="1">
    <v>0</v>
    <v>ZOETIS INC. (XNYS:ZTS)</v>
    <v>2</v>
    <v>3</v>
    <v>Finance</v>
    <v>4</v>
    <v>en-US</v>
    <v>a26hyc</v>
    <v>268435456</v>
    <v>1</v>
    <v>Powered by Refinitiv</v>
    <v>172.23</v>
    <v>114.36</v>
    <v>0.98250000000000004</v>
    <v>-0.32</v>
    <v>-2.7589999999999997E-3</v>
    <v>1.54</v>
    <v>1.3313999999999999E-2</v>
    <v>USD</v>
    <v>Zoetis Inc. is a global animal health company. The Company is focused on the discovery, development, manufacture and commercialization of medicines, vaccines, diagnostic products and services, biodevices, genetic tests and precision animal health. The Company operates through two segments: the United States (U.S.) and International. Within each of these operating segments, it offers a diversified product portfolio, including parasiticides, vaccines, dermatology, anti-infectives, pain and sedation, other pharmaceutical, and animal health diagnostics, for both companion animal and livestock customers. It directly markets its products in approximately 45 countries across North America, Europe, Africa, Asia, Australia and South America. The Company is engaged in commercializing products across eight species: dogs, cats and horses (collectively, companion animals) and cattle, poultry, swine, fish and sheep (collectively, livestock).</v>
    <v>14500</v>
    <v>New York Stock Exchange</v>
    <v>XNYS</v>
    <v>XNYS</v>
    <v>10 Sylvan Way, PARSIPPANY, NJ, 07054 US</v>
    <v>117.19</v>
    <v>Pharmaceuticals</v>
    <v>Stock</v>
    <v>46101.98856356406</v>
    <v>317</v>
    <v>114.36</v>
    <v>48827511059</v>
    <v>ZOETIS INC.</v>
    <v>ZOETIS INC.</v>
    <v>115.95</v>
    <v>19.207899999999999</v>
    <v>115.99</v>
    <v>115.67</v>
    <v>117.21</v>
    <v>422127700</v>
    <v>ZTS</v>
    <v>ZOETIS INC. (XNYS:ZTS)</v>
    <v>11424914</v>
    <v>4385631</v>
    <v>2012</v>
  </rv>
  <rv s="2">
    <v>318</v>
  </rv>
</rvData>
</file>

<file path=xl/richData/rdrichvaluestructure.xml><?xml version="1.0" encoding="utf-8"?>
<rvStructures xmlns="http://schemas.microsoft.com/office/spreadsheetml/2017/richdata" count="9">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error">
    <k n="errorType" t="i"/>
    <k n="field" t="s"/>
    <k n="subType" t="i"/>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20">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0</v>
      <v>0</v>
    </spb>
    <spb s="6">
      <v>6</v>
      <v>1</v>
      <v>1</v>
      <v>1</v>
      <v>1</v>
    </spb>
    <spb s="7">
      <v>1</v>
      <v>2</v>
      <v>2</v>
      <v>1</v>
      <v>3</v>
      <v>1</v>
      <v>10</v>
      <v>1</v>
      <v>1</v>
      <v>4</v>
      <v>4</v>
      <v>5</v>
      <v>6</v>
      <v>1</v>
      <v>1</v>
      <v>1</v>
      <v>4</v>
      <v>7</v>
      <v>8</v>
      <v>9</v>
      <v>4</v>
      <v>1</v>
      <v>1</v>
      <v>5</v>
    </spb>
    <spb s="8">
      <v>Powered by Refinitiv</v>
    </spb>
    <spb s="3">
      <v>1</v>
      <v>2</v>
      <v>2</v>
      <v>1</v>
      <v>3</v>
      <v>1</v>
      <v>1</v>
      <v>1</v>
      <v>4</v>
      <v>4</v>
      <v>5</v>
      <v>11</v>
      <v>1</v>
      <v>1</v>
      <v>1</v>
      <v>4</v>
      <v>7</v>
      <v>8</v>
      <v>9</v>
      <v>4</v>
      <v>1</v>
      <v>1</v>
      <v>5</v>
    </spb>
    <spb s="0">
      <v>2</v>
      <v>Name</v>
      <v>LearnMoreOnLink</v>
    </spb>
    <spb s="9">
      <v>1</v>
      <v>2</v>
      <v>1</v>
      <v>3</v>
      <v>1</v>
      <v>10</v>
      <v>1</v>
      <v>1</v>
      <v>4</v>
      <v>4</v>
      <v>5</v>
      <v>6</v>
      <v>1</v>
      <v>1</v>
      <v>1</v>
      <v>4</v>
      <v>7</v>
      <v>8</v>
      <v>9</v>
      <v>4</v>
      <v>1</v>
      <v>1</v>
      <v>5</v>
    </spb>
    <spb s="0">
      <v>3</v>
      <v>Name</v>
      <v>LearnMoreOnLink</v>
    </spb>
    <spb s="10">
      <v>1</v>
      <v>2</v>
      <v>1</v>
      <v>3</v>
      <v>1</v>
      <v>1</v>
      <v>1</v>
      <v>4</v>
      <v>4</v>
      <v>5</v>
      <v>6</v>
      <v>1</v>
      <v>1</v>
      <v>1</v>
      <v>4</v>
      <v>7</v>
      <v>8</v>
      <v>9</v>
      <v>4</v>
      <v>1</v>
      <v>1</v>
      <v>5</v>
    </spb>
    <spb s="3">
      <v>1</v>
      <v>2</v>
      <v>2</v>
      <v>1</v>
      <v>3</v>
      <v>1</v>
      <v>1</v>
      <v>1</v>
      <v>4</v>
      <v>4</v>
      <v>5</v>
      <v>12</v>
      <v>1</v>
      <v>1</v>
      <v>1</v>
      <v>4</v>
      <v>7</v>
      <v>8</v>
      <v>9</v>
      <v>4</v>
      <v>1</v>
      <v>1</v>
      <v>5</v>
    </spb>
    <spb s="3">
      <v>1</v>
      <v>2</v>
      <v>2</v>
      <v>1</v>
      <v>3</v>
      <v>1</v>
      <v>1</v>
      <v>1</v>
      <v>4</v>
      <v>4</v>
      <v>5</v>
      <v>13</v>
      <v>1</v>
      <v>1</v>
      <v>1</v>
      <v>4</v>
      <v>7</v>
      <v>8</v>
      <v>9</v>
      <v>4</v>
      <v>1</v>
      <v>1</v>
      <v>5</v>
    </spb>
    <spb s="3">
      <v>1</v>
      <v>2</v>
      <v>2</v>
      <v>1</v>
      <v>3</v>
      <v>1</v>
      <v>1</v>
      <v>1</v>
      <v>4</v>
      <v>4</v>
      <v>5</v>
      <v>14</v>
      <v>1</v>
      <v>1</v>
      <v>1</v>
      <v>4</v>
      <v>7</v>
      <v>8</v>
      <v>9</v>
      <v>4</v>
      <v>1</v>
      <v>1</v>
      <v>5</v>
    </spb>
    <spb s="11">
      <v>at close</v>
      <v>from previous close</v>
      <v>from previous close</v>
      <v>GMT</v>
      <v>Delayed 15 minutes</v>
      <v>from close</v>
      <v>from close</v>
    </spb>
    <spb s="3">
      <v>1</v>
      <v>2</v>
      <v>2</v>
      <v>1</v>
      <v>3</v>
      <v>1</v>
      <v>1</v>
      <v>1</v>
      <v>4</v>
      <v>4</v>
      <v>5</v>
      <v>15</v>
      <v>1</v>
      <v>1</v>
      <v>1</v>
      <v>4</v>
      <v>7</v>
      <v>8</v>
      <v>9</v>
      <v>4</v>
      <v>1</v>
      <v>1</v>
      <v>5</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_([$€-x-euro2] * #,##0_);_([$€-x-euro2] * (#,##0);_([$€-x-euro2] * "-"_);_(@_)</rpv>
    </rSty>
    <rSty dxfid="1">
      <rpv i="0">_([$$-en-CA]* #,##0_);_([$$-en-CA]* (#,##0);_([$$-en-CA]* "-"_);_(@_)</rpv>
    </rSty>
    <rSty dxfid="1">
      <rpv i="0">_([$£-en-GB]* #,##0_);_([$£-en-GB]* (#,##0);_([$£-en-GB]* "-"_);_(@_)</rpv>
    </rSty>
    <rSty dxfid="1">
      <rpv i="0" xml:space="preserve">_ [$CHF-fr-CH] * #,##0_ ;_ [$CHF-fr-CH] * -#,##0_ ;_ [$CHF-fr-CH] * "-"_ ;_ @_ </rpv>
    </rSty>
    <rSty dxfid="1">
      <rpv i="0">_([$$-zh-TW]* #,##0_);_([$$-zh-TW]* (#,##0);_([$$-zh-TW]*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A35FE-2F53-A347-8AD6-B5C0C701EF5E}" name="table1" displayName="table1" ref="A1:L102" totalsRowShown="0" headerRowDxfId="9">
  <autoFilter ref="A1:L102" xr:uid="{E0CA35FE-2F53-A347-8AD6-B5C0C701EF5E}"/>
  <sortState xmlns:xlrd2="http://schemas.microsoft.com/office/spreadsheetml/2017/richdata2" ref="A2:L102">
    <sortCondition ref="E1:E102"/>
  </sortState>
  <tableColumns count="12">
    <tableColumn id="1" xr3:uid="{C30BA928-9F86-944B-8C90-D8A30FE247CA}" name="DataField"/>
    <tableColumn id="2" xr3:uid="{9CF0E67B-4EFF-3E47-9505-4EBC50622431}" name="Ticker">
      <calculatedColumnFormula array="1">_FV(table1[[#This Row],[DataField]],"Ticker symbol",TRUE)</calculatedColumnFormula>
    </tableColumn>
    <tableColumn id="9" xr3:uid="{F9A5C818-608F-3743-9830-A955F3897A7A}" name="Own"/>
    <tableColumn id="7" xr3:uid="{8D171512-1066-D24C-A948-05AAA5A8B50A}" name="S&amp;P"/>
    <tableColumn id="14" xr3:uid="{7B7FBAD0-FB36-9A42-96AD-5BB889DFF68B}" name="Grp"/>
    <tableColumn id="6" xr3:uid="{E90EDA1C-8BB7-7F4E-BCAF-FAF9570B8A38}" name="Price" dataDxfId="8">
      <calculatedColumnFormula array="1">_FV(table1[[#This Row],[DataField]],"Price")</calculatedColumnFormula>
    </tableColumn>
    <tableColumn id="17" xr3:uid="{87A4EE6D-E7C3-CE41-BBA3-78EC20CDEBEE}" name="52Low" dataDxfId="7">
      <calculatedColumnFormula array="1">_FV(table1[[#This Row],[DataField]],"52 week low",TRUE)</calculatedColumnFormula>
    </tableColumn>
    <tableColumn id="18" xr3:uid="{D9B78892-8229-7243-8D05-F357BF8638BD}" name="52High" dataDxfId="6">
      <calculatedColumnFormula array="1">_FV(table1[[#This Row],[DataField]],"52 week high",TRUE)</calculatedColumnFormula>
    </tableColumn>
    <tableColumn id="20" xr3:uid="{78C713E7-4AD7-B542-970C-49F40A7186F4}" name="P/E" dataDxfId="5" dataCellStyle="Comma">
      <calculatedColumnFormula array="1">_FV(table1[[#This Row],[DataField]],"P/E",TRUE)</calculatedColumnFormula>
    </tableColumn>
    <tableColumn id="23" xr3:uid="{7CC54F3F-E5AD-804B-9D12-23FD72A661FB}" name="Watch" dataDxfId="4">
      <calculatedColumnFormula>IF(table1[[#This Row],[Price]] &lt; (table1[[#This Row],[52Low]] * 0.25) + table1[[#This Row],[52Low]],  "TRUE", "FALSE")</calculatedColumnFormula>
    </tableColumn>
    <tableColumn id="24" xr3:uid="{8E6233F4-6662-6E46-AF2F-77ADB7B9257D}" name="Alert" dataDxfId="3">
      <calculatedColumnFormula>IF(table1[[#This Row],[Price]] &lt; (table1[[#This Row],[52Low]] * 0.1) + table1[[#This Row],[52Low]],  "TRUE", "FALSE")</calculatedColumnFormula>
    </tableColumn>
    <tableColumn id="28" xr3:uid="{0C4A33EE-ED89-2F4F-BCD3-9651E2BEED77}" name="MarketCap" dataDxfId="2">
      <calculatedColumnFormula array="1">_FV(table1[[#This Row],[DataField]],"Market cap",TRUE)</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1AA4-973A-894D-81A9-C7ED9652DABE}">
  <dimension ref="A1:L102"/>
  <sheetViews>
    <sheetView tabSelected="1" workbookViewId="0">
      <pane ySplit="1" topLeftCell="A2" activePane="bottomLeft" state="frozen"/>
      <selection pane="bottomLeft" activeCell="C13" sqref="C13"/>
    </sheetView>
  </sheetViews>
  <sheetFormatPr baseColWidth="10" defaultRowHeight="16" x14ac:dyDescent="0.2"/>
  <cols>
    <col min="1" max="1" width="51.83203125" bestFit="1" customWidth="1"/>
    <col min="2" max="2" width="8.6640625" bestFit="1" customWidth="1"/>
    <col min="3" max="3" width="7.33203125" bestFit="1" customWidth="1"/>
    <col min="4" max="4" width="7" bestFit="1" customWidth="1"/>
    <col min="5" max="5" width="6.6640625" bestFit="1" customWidth="1"/>
    <col min="9" max="9" width="9" bestFit="1" customWidth="1"/>
    <col min="10" max="10" width="10.5" bestFit="1" customWidth="1"/>
    <col min="11" max="11" width="7.83203125" style="4" bestFit="1" customWidth="1"/>
    <col min="12" max="12" width="18.6640625" bestFit="1" customWidth="1"/>
  </cols>
  <sheetData>
    <row r="1" spans="1:12" x14ac:dyDescent="0.2">
      <c r="A1" s="1" t="s">
        <v>1</v>
      </c>
      <c r="B1" s="1" t="s">
        <v>0</v>
      </c>
      <c r="C1" s="1" t="s">
        <v>11</v>
      </c>
      <c r="D1" s="1" t="s">
        <v>2</v>
      </c>
      <c r="E1" s="1" t="s">
        <v>10</v>
      </c>
      <c r="F1" s="1" t="s">
        <v>3</v>
      </c>
      <c r="G1" s="1" t="s">
        <v>6</v>
      </c>
      <c r="H1" s="1" t="s">
        <v>5</v>
      </c>
      <c r="I1" s="3" t="s">
        <v>4</v>
      </c>
      <c r="J1" s="1" t="s">
        <v>7</v>
      </c>
      <c r="K1" s="1" t="s">
        <v>8</v>
      </c>
      <c r="L1" s="5" t="s">
        <v>9</v>
      </c>
    </row>
    <row r="2" spans="1:12" x14ac:dyDescent="0.2">
      <c r="A2" t="e" vm="1">
        <v>#VALUE!</v>
      </c>
      <c r="B2" t="str" cm="1">
        <f t="array" aca="1" ref="B2" ca="1">_FV(table1[[#This Row],[DataField]],"Ticker symbol",TRUE)</f>
        <v>AAPL</v>
      </c>
      <c r="C2">
        <v>0</v>
      </c>
      <c r="D2">
        <v>500</v>
      </c>
      <c r="E2">
        <v>1</v>
      </c>
      <c r="F2" s="2" cm="1">
        <f t="array" aca="1" ref="F2" ca="1">_FV(table1[[#This Row],[DataField]],"Price")</f>
        <v>247.99</v>
      </c>
      <c r="G2" s="2" cm="1">
        <f t="array" aca="1" ref="G2" ca="1">_FV(table1[[#This Row],[DataField]],"52 week low",TRUE)</f>
        <v>169.21010000000001</v>
      </c>
      <c r="H2" s="2" cm="1">
        <f t="array" aca="1" ref="H2" ca="1">_FV(table1[[#This Row],[DataField]],"52 week high",TRUE)</f>
        <v>288.62</v>
      </c>
      <c r="I2" s="4" cm="1">
        <f t="array" aca="1" ref="I2" ca="1">_FV(table1[[#This Row],[DataField]],"P/E",TRUE)</f>
        <v>31.506399999999999</v>
      </c>
      <c r="J2" s="2" t="str">
        <f ca="1">IF(table1[[#This Row],[Price]] &lt; (table1[[#This Row],[52Low]] * 0.25) + table1[[#This Row],[52Low]],  "TRUE", "FALSE")</f>
        <v>FALSE</v>
      </c>
      <c r="K2" s="2" t="str">
        <f ca="1">IF(table1[[#This Row],[Price]] &lt; (table1[[#This Row],[52Low]] * 0.1) + table1[[#This Row],[52Low]],  "TRUE", "FALSE")</f>
        <v>FALSE</v>
      </c>
      <c r="L2" s="6" cm="1">
        <f t="array" aca="1" ref="L2" ca="1">_FV(table1[[#This Row],[DataField]],"Market cap",TRUE)</f>
        <v>3646122573000</v>
      </c>
    </row>
    <row r="3" spans="1:12" x14ac:dyDescent="0.2">
      <c r="A3" t="e" vm="2">
        <v>#VALUE!</v>
      </c>
      <c r="B3" t="str" cm="1">
        <f t="array" aca="1" ref="B3" ca="1">_FV(table1[[#This Row],[DataField]],"Ticker symbol",TRUE)</f>
        <v>AMZN</v>
      </c>
      <c r="C3">
        <v>0</v>
      </c>
      <c r="D3">
        <v>500</v>
      </c>
      <c r="E3">
        <v>1</v>
      </c>
      <c r="F3" s="2" cm="1">
        <f t="array" aca="1" ref="F3" ca="1">_FV(table1[[#This Row],[DataField]],"Price")</f>
        <v>205.37</v>
      </c>
      <c r="G3" s="2" cm="1">
        <f t="array" aca="1" ref="G3" ca="1">_FV(table1[[#This Row],[DataField]],"52 week low",TRUE)</f>
        <v>161.38</v>
      </c>
      <c r="H3" s="2" cm="1">
        <f t="array" aca="1" ref="H3" ca="1">_FV(table1[[#This Row],[DataField]],"52 week high",TRUE)</f>
        <v>258.60000000000002</v>
      </c>
      <c r="I3" s="4" cm="1">
        <f t="array" aca="1" ref="I3" ca="1">_FV(table1[[#This Row],[DataField]],"P/E",TRUE)</f>
        <v>28.6342</v>
      </c>
      <c r="J3" s="2" t="str">
        <f ca="1">IF(table1[[#This Row],[Price]] &lt; (table1[[#This Row],[52Low]] * 0.25) + table1[[#This Row],[52Low]],  "TRUE", "FALSE")</f>
        <v>FALSE</v>
      </c>
      <c r="K3" s="2" t="str">
        <f ca="1">IF(table1[[#This Row],[Price]] &lt; (table1[[#This Row],[52Low]] * 0.1) + table1[[#This Row],[52Low]],  "TRUE", "FALSE")</f>
        <v>FALSE</v>
      </c>
      <c r="L3" s="6" cm="1">
        <f t="array" aca="1" ref="L3" ca="1">_FV(table1[[#This Row],[DataField]],"Market cap",TRUE)</f>
        <v>2204630520400</v>
      </c>
    </row>
    <row r="4" spans="1:12" x14ac:dyDescent="0.2">
      <c r="A4" t="e" vm="3">
        <v>#VALUE!</v>
      </c>
      <c r="B4" t="str" cm="1">
        <f t="array" aca="1" ref="B4" ca="1">_FV(table1[[#This Row],[DataField]],"Ticker symbol",TRUE)</f>
        <v>GOOGL</v>
      </c>
      <c r="E4">
        <v>1</v>
      </c>
      <c r="F4" s="2" cm="1">
        <f t="array" aca="1" ref="F4" ca="1">_FV(table1[[#This Row],[DataField]],"Price")</f>
        <v>301</v>
      </c>
      <c r="G4" s="2" cm="1">
        <f t="array" aca="1" ref="G4" ca="1">_FV(table1[[#This Row],[DataField]],"52 week low",TRUE)</f>
        <v>140.53</v>
      </c>
      <c r="H4" s="2" cm="1">
        <f t="array" aca="1" ref="H4" ca="1">_FV(table1[[#This Row],[DataField]],"52 week high",TRUE)</f>
        <v>349</v>
      </c>
      <c r="I4" s="4" cm="1">
        <f t="array" aca="1" ref="I4" ca="1">_FV(table1[[#This Row],[DataField]],"P/E",TRUE)</f>
        <v>27.8446</v>
      </c>
      <c r="J4" s="2" t="str">
        <f ca="1">IF(table1[[#This Row],[Price]] &lt; (table1[[#This Row],[52Low]] * 0.25) + table1[[#This Row],[52Low]],  "TRUE", "FALSE")</f>
        <v>FALSE</v>
      </c>
      <c r="K4" s="2" t="str">
        <f ca="1">IF(table1[[#This Row],[Price]] &lt; (table1[[#This Row],[52Low]] * 0.1) + table1[[#This Row],[52Low]],  "TRUE", "FALSE")</f>
        <v>FALSE</v>
      </c>
      <c r="L4" s="6" cm="1">
        <f t="array" aca="1" ref="L4" ca="1">_FV(table1[[#This Row],[DataField]],"Market cap",TRUE)</f>
        <v>3641197000000</v>
      </c>
    </row>
    <row r="5" spans="1:12" x14ac:dyDescent="0.2">
      <c r="A5" t="e" vm="4">
        <v>#VALUE!</v>
      </c>
      <c r="B5" t="str" cm="1">
        <f t="array" aca="1" ref="B5" ca="1">_FV(table1[[#This Row],[DataField]],"Ticker symbol",TRUE)</f>
        <v>MSFT</v>
      </c>
      <c r="C5">
        <v>0</v>
      </c>
      <c r="D5">
        <v>500</v>
      </c>
      <c r="E5">
        <v>1</v>
      </c>
      <c r="F5" s="2" cm="1">
        <f t="array" aca="1" ref="F5" ca="1">_FV(table1[[#This Row],[DataField]],"Price")</f>
        <v>381.87</v>
      </c>
      <c r="G5" s="2" cm="1">
        <f t="array" aca="1" ref="G5" ca="1">_FV(table1[[#This Row],[DataField]],"52 week low",TRUE)</f>
        <v>344.79</v>
      </c>
      <c r="H5" s="2" cm="1">
        <f t="array" aca="1" ref="H5" ca="1">_FV(table1[[#This Row],[DataField]],"52 week high",TRUE)</f>
        <v>555.45000000000005</v>
      </c>
      <c r="I5" s="4" cm="1">
        <f t="array" aca="1" ref="I5" ca="1">_FV(table1[[#This Row],[DataField]],"P/E",TRUE)</f>
        <v>23.8932</v>
      </c>
      <c r="J5" s="2" t="str">
        <f ca="1">IF(table1[[#This Row],[Price]] &lt; (table1[[#This Row],[52Low]] * 0.25) + table1[[#This Row],[52Low]],  "TRUE", "FALSE")</f>
        <v>TRUE</v>
      </c>
      <c r="K5" s="2" t="str">
        <f ca="1">IF(table1[[#This Row],[Price]] &lt; (table1[[#This Row],[52Low]] * 0.1) + table1[[#This Row],[52Low]],  "TRUE", "FALSE")</f>
        <v>FALSE</v>
      </c>
      <c r="L5" s="6" cm="1">
        <f t="array" aca="1" ref="L5" ca="1">_FV(table1[[#This Row],[DataField]],"Market cap",TRUE)</f>
        <v>2835624946230</v>
      </c>
    </row>
    <row r="6" spans="1:12" x14ac:dyDescent="0.2">
      <c r="A6" t="e" vm="5">
        <v>#VALUE!</v>
      </c>
      <c r="B6" t="str" cm="1">
        <f t="array" aca="1" ref="B6" ca="1">_FV(table1[[#This Row],[DataField]],"Ticker symbol",TRUE)</f>
        <v>TXN</v>
      </c>
      <c r="C6">
        <v>0</v>
      </c>
      <c r="D6">
        <v>500</v>
      </c>
      <c r="E6">
        <v>2</v>
      </c>
      <c r="F6" s="2" cm="1">
        <f t="array" aca="1" ref="F6" ca="1">_FV(table1[[#This Row],[DataField]],"Price")</f>
        <v>187.19</v>
      </c>
      <c r="G6" s="2" cm="1">
        <f t="array" aca="1" ref="G6" ca="1">_FV(table1[[#This Row],[DataField]],"52 week low",TRUE)</f>
        <v>139.94999999999999</v>
      </c>
      <c r="H6" s="2" cm="1">
        <f t="array" aca="1" ref="H6" ca="1">_FV(table1[[#This Row],[DataField]],"52 week high",TRUE)</f>
        <v>231.32</v>
      </c>
      <c r="I6" s="4" cm="1">
        <f t="array" aca="1" ref="I6" ca="1">_FV(table1[[#This Row],[DataField]],"P/E",TRUE)</f>
        <v>34.158099999999997</v>
      </c>
      <c r="J6" s="2" t="str">
        <f ca="1">IF(table1[[#This Row],[Price]] &lt; (table1[[#This Row],[52Low]] * 0.25) + table1[[#This Row],[52Low]],  "TRUE", "FALSE")</f>
        <v>FALSE</v>
      </c>
      <c r="K6" s="2" t="str">
        <f ca="1">IF(table1[[#This Row],[Price]] &lt; (table1[[#This Row],[52Low]] * 0.1) + table1[[#This Row],[52Low]],  "TRUE", "FALSE")</f>
        <v>FALSE</v>
      </c>
      <c r="L6" s="6" cm="1">
        <f t="array" aca="1" ref="L6" ca="1">_FV(table1[[#This Row],[DataField]],"Market cap",TRUE)</f>
        <v>170429643846</v>
      </c>
    </row>
    <row r="7" spans="1:12" x14ac:dyDescent="0.2">
      <c r="A7" t="e" vm="6">
        <v>#VALUE!</v>
      </c>
      <c r="B7" t="str" cm="1">
        <f t="array" aca="1" ref="B7" ca="1">_FV(table1[[#This Row],[DataField]],"Ticker symbol",TRUE)</f>
        <v>LRCX</v>
      </c>
      <c r="C7">
        <v>1</v>
      </c>
      <c r="D7">
        <v>500</v>
      </c>
      <c r="E7">
        <v>2</v>
      </c>
      <c r="F7" s="2" cm="1">
        <f t="array" aca="1" ref="F7" ca="1">_FV(table1[[#This Row],[DataField]],"Price")</f>
        <v>228.36</v>
      </c>
      <c r="G7" s="2" cm="1">
        <f t="array" aca="1" ref="G7" ca="1">_FV(table1[[#This Row],[DataField]],"52 week low",TRUE)</f>
        <v>56.32</v>
      </c>
      <c r="H7" s="2" cm="1">
        <f t="array" aca="1" ref="H7" ca="1">_FV(table1[[#This Row],[DataField]],"52 week high",TRUE)</f>
        <v>256.68</v>
      </c>
      <c r="I7" s="4" cm="1">
        <f t="array" aca="1" ref="I7" ca="1">_FV(table1[[#This Row],[DataField]],"P/E",TRUE)</f>
        <v>47.956000000000003</v>
      </c>
      <c r="J7" s="2" t="str">
        <f ca="1">IF(table1[[#This Row],[Price]] &lt; (table1[[#This Row],[52Low]] * 0.25) + table1[[#This Row],[52Low]],  "TRUE", "FALSE")</f>
        <v>FALSE</v>
      </c>
      <c r="K7" s="2" t="str">
        <f ca="1">IF(table1[[#This Row],[Price]] &lt; (table1[[#This Row],[52Low]] * 0.1) + table1[[#This Row],[52Low]],  "TRUE", "FALSE")</f>
        <v>FALSE</v>
      </c>
      <c r="L7" s="6" cm="1">
        <f t="array" aca="1" ref="L7" ca="1">_FV(table1[[#This Row],[DataField]],"Market cap",TRUE)</f>
        <v>285169345560</v>
      </c>
    </row>
    <row r="8" spans="1:12" x14ac:dyDescent="0.2">
      <c r="A8" t="e" vm="7">
        <v>#VALUE!</v>
      </c>
      <c r="B8" t="str" cm="1">
        <f t="array" aca="1" ref="B8" ca="1">_FV(table1[[#This Row],[DataField]],"Ticker symbol",TRUE)</f>
        <v>AMD</v>
      </c>
      <c r="E8">
        <v>2</v>
      </c>
      <c r="F8" s="2" cm="1">
        <f t="array" aca="1" ref="F8" ca="1">_FV(table1[[#This Row],[DataField]],"Price")</f>
        <v>201.33</v>
      </c>
      <c r="G8" s="2" cm="1">
        <f t="array" aca="1" ref="G8" ca="1">_FV(table1[[#This Row],[DataField]],"52 week low",TRUE)</f>
        <v>76.48</v>
      </c>
      <c r="H8" s="2" cm="1">
        <f t="array" aca="1" ref="H8" ca="1">_FV(table1[[#This Row],[DataField]],"52 week high",TRUE)</f>
        <v>267.07990000000001</v>
      </c>
      <c r="I8" s="4" cm="1">
        <f t="array" aca="1" ref="I8" ca="1">_FV(table1[[#This Row],[DataField]],"P/E",TRUE)</f>
        <v>77.303799999999995</v>
      </c>
      <c r="J8" s="2" t="str">
        <f ca="1">IF(table1[[#This Row],[Price]] &lt; (table1[[#This Row],[52Low]] * 0.25) + table1[[#This Row],[52Low]],  "TRUE", "FALSE")</f>
        <v>FALSE</v>
      </c>
      <c r="K8" s="2" t="str">
        <f ca="1">IF(table1[[#This Row],[Price]] &lt; (table1[[#This Row],[52Low]] * 0.1) + table1[[#This Row],[52Low]],  "TRUE", "FALSE")</f>
        <v>FALSE</v>
      </c>
      <c r="L8" s="6" cm="1">
        <f t="array" aca="1" ref="L8" ca="1">_FV(table1[[#This Row],[DataField]],"Market cap",TRUE)</f>
        <v>328250646630</v>
      </c>
    </row>
    <row r="9" spans="1:12" x14ac:dyDescent="0.2">
      <c r="A9" t="e" vm="8">
        <v>#VALUE!</v>
      </c>
      <c r="B9" t="str" cm="1">
        <f t="array" aca="1" ref="B9" ca="1">_FV(table1[[#This Row],[DataField]],"Ticker symbol",TRUE)</f>
        <v>ASML</v>
      </c>
      <c r="E9">
        <v>2</v>
      </c>
      <c r="F9" s="2" cm="1">
        <f t="array" aca="1" ref="F9" ca="1">_FV(table1[[#This Row],[DataField]],"Price")</f>
        <v>1317.25</v>
      </c>
      <c r="G9" s="2" cm="1">
        <f t="array" aca="1" ref="G9" ca="1">_FV(table1[[#This Row],[DataField]],"52 week low",TRUE)</f>
        <v>578.51</v>
      </c>
      <c r="H9" s="2" cm="1">
        <f t="array" aca="1" ref="H9" ca="1">_FV(table1[[#This Row],[DataField]],"52 week high",TRUE)</f>
        <v>1547.22</v>
      </c>
      <c r="I9" s="4" cm="1">
        <f t="array" aca="1" ref="I9" ca="1">_FV(table1[[#This Row],[DataField]],"P/E",TRUE)</f>
        <v>45.381700000000002</v>
      </c>
      <c r="J9" s="2" t="str">
        <f ca="1">IF(table1[[#This Row],[Price]] &lt; (table1[[#This Row],[52Low]] * 0.25) + table1[[#This Row],[52Low]],  "TRUE", "FALSE")</f>
        <v>FALSE</v>
      </c>
      <c r="K9" s="2" t="str">
        <f ca="1">IF(table1[[#This Row],[Price]] &lt; (table1[[#This Row],[52Low]] * 0.1) + table1[[#This Row],[52Low]],  "TRUE", "FALSE")</f>
        <v>FALSE</v>
      </c>
      <c r="L9" s="6" cm="1">
        <f t="array" aca="1" ref="L9" ca="1">_FV(table1[[#This Row],[DataField]],"Market cap",TRUE)</f>
        <v>533920450212</v>
      </c>
    </row>
    <row r="10" spans="1:12" x14ac:dyDescent="0.2">
      <c r="A10" t="e" vm="9">
        <v>#VALUE!</v>
      </c>
      <c r="B10" t="str" cm="1">
        <f t="array" aca="1" ref="B10" ca="1">_FV(table1[[#This Row],[DataField]],"Ticker symbol",TRUE)</f>
        <v>NVDA</v>
      </c>
      <c r="E10">
        <v>2</v>
      </c>
      <c r="F10" s="2" cm="1">
        <f t="array" aca="1" ref="F10" ca="1">_FV(table1[[#This Row],[DataField]],"Price")</f>
        <v>172.7</v>
      </c>
      <c r="G10" s="2" cm="1">
        <f t="array" aca="1" ref="G10" ca="1">_FV(table1[[#This Row],[DataField]],"52 week low",TRUE)</f>
        <v>86.62</v>
      </c>
      <c r="H10" s="2" cm="1">
        <f t="array" aca="1" ref="H10" ca="1">_FV(table1[[#This Row],[DataField]],"52 week high",TRUE)</f>
        <v>212.18989999999999</v>
      </c>
      <c r="I10" s="4" cm="1">
        <f t="array" aca="1" ref="I10" ca="1">_FV(table1[[#This Row],[DataField]],"P/E",TRUE)</f>
        <v>36.427799999999998</v>
      </c>
      <c r="J10" s="2" t="str">
        <f ca="1">IF(table1[[#This Row],[Price]] &lt; (table1[[#This Row],[52Low]] * 0.25) + table1[[#This Row],[52Low]],  "TRUE", "FALSE")</f>
        <v>FALSE</v>
      </c>
      <c r="K10" s="2" t="str">
        <f ca="1">IF(table1[[#This Row],[Price]] &lt; (table1[[#This Row],[52Low]] * 0.1) + table1[[#This Row],[52Low]],  "TRUE", "FALSE")</f>
        <v>FALSE</v>
      </c>
      <c r="L10" s="6" cm="1">
        <f t="array" aca="1" ref="L10" ca="1">_FV(table1[[#This Row],[DataField]],"Market cap",TRUE)</f>
        <v>4196609999999</v>
      </c>
    </row>
    <row r="11" spans="1:12" x14ac:dyDescent="0.2">
      <c r="A11" t="e" vm="10">
        <v>#VALUE!</v>
      </c>
      <c r="B11" t="str" cm="1">
        <f t="array" aca="1" ref="B11" ca="1">_FV(table1[[#This Row],[DataField]],"Ticker symbol",TRUE)</f>
        <v>CMCSA</v>
      </c>
      <c r="C11">
        <v>0</v>
      </c>
      <c r="D11">
        <v>500</v>
      </c>
      <c r="E11">
        <v>3</v>
      </c>
      <c r="F11" s="2" cm="1">
        <f t="array" aca="1" ref="F11" ca="1">_FV(table1[[#This Row],[DataField]],"Price")</f>
        <v>29.02</v>
      </c>
      <c r="G11" s="2" cm="1">
        <f t="array" aca="1" ref="G11" ca="1">_FV(table1[[#This Row],[DataField]],"52 week low",TRUE)</f>
        <v>24.1234</v>
      </c>
      <c r="H11" s="2" cm="1">
        <f t="array" aca="1" ref="H11" ca="1">_FV(table1[[#This Row],[DataField]],"52 week high",TRUE)</f>
        <v>35.337299999999999</v>
      </c>
      <c r="I11" s="4" cm="1">
        <f t="array" aca="1" ref="I11" ca="1">_FV(table1[[#This Row],[DataField]],"P/E",TRUE)</f>
        <v>5.3983999999999996</v>
      </c>
      <c r="J11" s="2" t="str">
        <f ca="1">IF(table1[[#This Row],[Price]] &lt; (table1[[#This Row],[52Low]] * 0.25) + table1[[#This Row],[52Low]],  "TRUE", "FALSE")</f>
        <v>TRUE</v>
      </c>
      <c r="K11" s="2" t="str">
        <f ca="1">IF(table1[[#This Row],[Price]] &lt; (table1[[#This Row],[52Low]] * 0.1) + table1[[#This Row],[52Low]],  "TRUE", "FALSE")</f>
        <v>FALSE</v>
      </c>
      <c r="L11" s="6" cm="1">
        <f t="array" aca="1" ref="L11" ca="1">_FV(table1[[#This Row],[DataField]],"Market cap",TRUE)</f>
        <v>104409490920</v>
      </c>
    </row>
    <row r="12" spans="1:12" x14ac:dyDescent="0.2">
      <c r="A12" t="e" vm="11">
        <v>#VALUE!</v>
      </c>
      <c r="B12" t="str" cm="1">
        <f t="array" aca="1" ref="B12" ca="1">_FV(table1[[#This Row],[DataField]],"Ticker symbol",TRUE)</f>
        <v>GD</v>
      </c>
      <c r="C12">
        <v>0</v>
      </c>
      <c r="D12">
        <v>500</v>
      </c>
      <c r="E12">
        <v>4</v>
      </c>
      <c r="F12" s="2" cm="1">
        <f t="array" aca="1" ref="F12" ca="1">_FV(table1[[#This Row],[DataField]],"Price")</f>
        <v>345.78</v>
      </c>
      <c r="G12" s="2" cm="1">
        <f t="array" aca="1" ref="G12" ca="1">_FV(table1[[#This Row],[DataField]],"52 week low",TRUE)</f>
        <v>239.2</v>
      </c>
      <c r="H12" s="2" cm="1">
        <f t="array" aca="1" ref="H12" ca="1">_FV(table1[[#This Row],[DataField]],"52 week high",TRUE)</f>
        <v>369.7</v>
      </c>
      <c r="I12" s="4" cm="1">
        <f t="array" aca="1" ref="I12" ca="1">_FV(table1[[#This Row],[DataField]],"P/E",TRUE)</f>
        <v>22.3751</v>
      </c>
      <c r="J12" s="2" t="str">
        <f ca="1">IF(table1[[#This Row],[Price]] &lt; (table1[[#This Row],[52Low]] * 0.25) + table1[[#This Row],[52Low]],  "TRUE", "FALSE")</f>
        <v>FALSE</v>
      </c>
      <c r="K12" s="2" t="str">
        <f ca="1">IF(table1[[#This Row],[Price]] &lt; (table1[[#This Row],[52Low]] * 0.1) + table1[[#This Row],[52Low]],  "TRUE", "FALSE")</f>
        <v>FALSE</v>
      </c>
      <c r="L12" s="6" cm="1">
        <f t="array" aca="1" ref="L12" ca="1">_FV(table1[[#This Row],[DataField]],"Market cap",TRUE)</f>
        <v>93495385044</v>
      </c>
    </row>
    <row r="13" spans="1:12" ht="17" customHeight="1" x14ac:dyDescent="0.2">
      <c r="A13" t="e" vm="12">
        <v>#VALUE!</v>
      </c>
      <c r="B13" t="str" cm="1">
        <f t="array" aca="1" ref="B13" ca="1">_FV(table1[[#This Row],[DataField]],"Ticker symbol",TRUE)</f>
        <v>HD</v>
      </c>
      <c r="C13">
        <v>0</v>
      </c>
      <c r="D13">
        <v>500</v>
      </c>
      <c r="E13">
        <v>10</v>
      </c>
      <c r="F13" s="2" cm="1">
        <f t="array" aca="1" ref="F13" ca="1">_FV(table1[[#This Row],[DataField]],"Price")</f>
        <v>320.75</v>
      </c>
      <c r="G13" s="2" cm="1">
        <f t="array" aca="1" ref="G13" ca="1">_FV(table1[[#This Row],[DataField]],"52 week low",TRUE)</f>
        <v>320.2645</v>
      </c>
      <c r="H13" s="2" cm="1">
        <f t="array" aca="1" ref="H13" ca="1">_FV(table1[[#This Row],[DataField]],"52 week high",TRUE)</f>
        <v>426.75</v>
      </c>
      <c r="I13" s="4" cm="1">
        <f t="array" aca="1" ref="I13" ca="1">_FV(table1[[#This Row],[DataField]],"P/E",TRUE)</f>
        <v>23.0562</v>
      </c>
      <c r="J13" s="2" t="str">
        <f ca="1">IF(table1[[#This Row],[Price]] &lt; (table1[[#This Row],[52Low]] * 0.25) + table1[[#This Row],[52Low]],  "TRUE", "FALSE")</f>
        <v>TRUE</v>
      </c>
      <c r="K13" s="2" t="str">
        <f ca="1">IF(table1[[#This Row],[Price]] &lt; (table1[[#This Row],[52Low]] * 0.1) + table1[[#This Row],[52Low]],  "TRUE", "FALSE")</f>
        <v>TRUE</v>
      </c>
      <c r="L13" s="6" cm="1">
        <f t="array" aca="1" ref="L13" ca="1">_FV(table1[[#This Row],[DataField]],"Market cap",TRUE)</f>
        <v>319470688625</v>
      </c>
    </row>
    <row r="14" spans="1:12" x14ac:dyDescent="0.2">
      <c r="A14" t="e" vm="13">
        <v>#VALUE!</v>
      </c>
      <c r="B14" t="str" cm="1">
        <f t="array" aca="1" ref="B14" ca="1">_FV(table1[[#This Row],[DataField]],"Ticker symbol",TRUE)</f>
        <v>CLX</v>
      </c>
      <c r="C14">
        <v>0</v>
      </c>
      <c r="D14">
        <v>500</v>
      </c>
      <c r="E14">
        <v>11</v>
      </c>
      <c r="F14" s="2" cm="1">
        <f t="array" aca="1" ref="F14" ca="1">_FV(table1[[#This Row],[DataField]],"Price")</f>
        <v>106.15</v>
      </c>
      <c r="G14" s="2" cm="1">
        <f t="array" aca="1" ref="G14" ca="1">_FV(table1[[#This Row],[DataField]],"52 week low",TRUE)</f>
        <v>96.6601</v>
      </c>
      <c r="H14" s="2" cm="1">
        <f t="array" aca="1" ref="H14" ca="1">_FV(table1[[#This Row],[DataField]],"52 week high",TRUE)</f>
        <v>150.84</v>
      </c>
      <c r="I14" s="4" cm="1">
        <f t="array" aca="1" ref="I14" ca="1">_FV(table1[[#This Row],[DataField]],"P/E",TRUE)</f>
        <v>17.4209</v>
      </c>
      <c r="J14" s="2" t="str">
        <f ca="1">IF(table1[[#This Row],[Price]] &lt; (table1[[#This Row],[52Low]] * 0.25) + table1[[#This Row],[52Low]],  "TRUE", "FALSE")</f>
        <v>TRUE</v>
      </c>
      <c r="K14" s="2" t="str">
        <f ca="1">IF(table1[[#This Row],[Price]] &lt; (table1[[#This Row],[52Low]] * 0.1) + table1[[#This Row],[52Low]],  "TRUE", "FALSE")</f>
        <v>TRUE</v>
      </c>
      <c r="L14" s="6" cm="1">
        <f t="array" aca="1" ref="L14" ca="1">_FV(table1[[#This Row],[DataField]],"Market cap",TRUE)</f>
        <v>12834798185</v>
      </c>
    </row>
    <row r="15" spans="1:12" x14ac:dyDescent="0.2">
      <c r="A15" t="e" vm="14">
        <v>#VALUE!</v>
      </c>
      <c r="B15" t="str" cm="1">
        <f t="array" aca="1" ref="B15" ca="1">_FV(table1[[#This Row],[DataField]],"Ticker symbol",TRUE)</f>
        <v>MKC.V</v>
      </c>
      <c r="C15">
        <v>0</v>
      </c>
      <c r="D15">
        <v>500</v>
      </c>
      <c r="E15">
        <v>12</v>
      </c>
      <c r="F15" s="2" cm="1">
        <f t="array" aca="1" ref="F15" ca="1">_FV(table1[[#This Row],[DataField]],"Price")</f>
        <v>53.25</v>
      </c>
      <c r="G15" s="2" cm="1">
        <f t="array" aca="1" ref="G15" ca="1">_FV(table1[[#This Row],[DataField]],"52 week low",TRUE)</f>
        <v>53.25</v>
      </c>
      <c r="H15" s="2" cm="1">
        <f t="array" aca="1" ref="H15" ca="1">_FV(table1[[#This Row],[DataField]],"52 week high",TRUE)</f>
        <v>82.53</v>
      </c>
      <c r="I15" s="4" t="e" cm="1" vm="15">
        <f t="array" ref="I15">_FV(table1[[#This Row],[DataField]],"P/E",TRUE)</f>
        <v>#VALUE!</v>
      </c>
      <c r="J15" s="2" t="str">
        <f ca="1">IF(table1[[#This Row],[Price]] &lt; (table1[[#This Row],[52Low]] * 0.25) + table1[[#This Row],[52Low]],  "TRUE", "FALSE")</f>
        <v>TRUE</v>
      </c>
      <c r="K15" s="2" t="str">
        <f ca="1">IF(table1[[#This Row],[Price]] &lt; (table1[[#This Row],[52Low]] * 0.1) + table1[[#This Row],[52Low]],  "TRUE", "FALSE")</f>
        <v>TRUE</v>
      </c>
      <c r="L15" s="6" cm="1">
        <f t="array" aca="1" ref="L15" ca="1">_FV(table1[[#This Row],[DataField]],"Market cap",TRUE)</f>
        <v>14294334150</v>
      </c>
    </row>
    <row r="16" spans="1:12" x14ac:dyDescent="0.2">
      <c r="A16" t="e" vm="16">
        <v>#VALUE!</v>
      </c>
      <c r="B16" t="str" cm="1">
        <f t="array" aca="1" ref="B16" ca="1">_FV(table1[[#This Row],[DataField]],"Ticker symbol",TRUE)</f>
        <v>PEP</v>
      </c>
      <c r="C16">
        <v>0</v>
      </c>
      <c r="D16">
        <v>500</v>
      </c>
      <c r="E16">
        <v>12</v>
      </c>
      <c r="F16" s="2" cm="1">
        <f t="array" aca="1" ref="F16" ca="1">_FV(table1[[#This Row],[DataField]],"Price")</f>
        <v>150.04</v>
      </c>
      <c r="G16" s="2" cm="1">
        <f t="array" aca="1" ref="G16" ca="1">_FV(table1[[#This Row],[DataField]],"52 week low",TRUE)</f>
        <v>127.6</v>
      </c>
      <c r="H16" s="2" cm="1">
        <f t="array" aca="1" ref="H16" ca="1">_FV(table1[[#This Row],[DataField]],"52 week high",TRUE)</f>
        <v>171.48</v>
      </c>
      <c r="I16" s="4" cm="1">
        <f t="array" aca="1" ref="I16" ca="1">_FV(table1[[#This Row],[DataField]],"P/E",TRUE)</f>
        <v>25.450500000000002</v>
      </c>
      <c r="J16" s="2" t="str">
        <f ca="1">IF(table1[[#This Row],[Price]] &lt; (table1[[#This Row],[52Low]] * 0.25) + table1[[#This Row],[52Low]],  "TRUE", "FALSE")</f>
        <v>TRUE</v>
      </c>
      <c r="K16" s="2" t="str">
        <f ca="1">IF(table1[[#This Row],[Price]] &lt; (table1[[#This Row],[52Low]] * 0.1) + table1[[#This Row],[52Low]],  "TRUE", "FALSE")</f>
        <v>FALSE</v>
      </c>
      <c r="L16" s="6" cm="1">
        <f t="array" aca="1" ref="L16" ca="1">_FV(table1[[#This Row],[DataField]],"Market cap",TRUE)</f>
        <v>205052015960</v>
      </c>
    </row>
    <row r="17" spans="1:12" x14ac:dyDescent="0.2">
      <c r="A17" t="e" vm="17">
        <v>#VALUE!</v>
      </c>
      <c r="B17" t="str" cm="1">
        <f t="array" aca="1" ref="B17" ca="1">_FV(table1[[#This Row],[DataField]],"Ticker symbol",TRUE)</f>
        <v>NKE</v>
      </c>
      <c r="C17">
        <v>0</v>
      </c>
      <c r="D17">
        <v>500</v>
      </c>
      <c r="E17">
        <v>13</v>
      </c>
      <c r="F17" s="2" cm="1">
        <f t="array" aca="1" ref="F17" ca="1">_FV(table1[[#This Row],[DataField]],"Price")</f>
        <v>52.37</v>
      </c>
      <c r="G17" cm="1">
        <f t="array" aca="1" ref="G17" ca="1">_FV(table1[[#This Row],[DataField]],"52 week low",TRUE)</f>
        <v>52.174999999999997</v>
      </c>
      <c r="H17" cm="1">
        <f t="array" aca="1" ref="H17" ca="1">_FV(table1[[#This Row],[DataField]],"52 week high",TRUE)</f>
        <v>80.165000000000006</v>
      </c>
      <c r="I17" s="4" cm="1">
        <f t="array" aca="1" ref="I17" ca="1">_FV(table1[[#This Row],[DataField]],"P/E",TRUE)</f>
        <v>31.335599999999999</v>
      </c>
      <c r="J17" s="2" t="str">
        <f ca="1">IF(table1[[#This Row],[Price]] &lt; (table1[[#This Row],[52Low]] * 0.25) + table1[[#This Row],[52Low]],  "TRUE", "FALSE")</f>
        <v>TRUE</v>
      </c>
      <c r="K17" s="2" t="str">
        <f ca="1">IF(table1[[#This Row],[Price]] &lt; (table1[[#This Row],[52Low]] * 0.1) + table1[[#This Row],[52Low]],  "TRUE", "FALSE")</f>
        <v>TRUE</v>
      </c>
      <c r="L17" s="6" cm="1">
        <f t="array" aca="1" ref="L17" ca="1">_FV(table1[[#This Row],[DataField]],"Market cap",TRUE)</f>
        <v>77527657710</v>
      </c>
    </row>
    <row r="18" spans="1:12" x14ac:dyDescent="0.2">
      <c r="A18" t="e" vm="18">
        <v>#VALUE!</v>
      </c>
      <c r="B18" t="str" cm="1">
        <f t="array" aca="1" ref="B18" ca="1">_FV(table1[[#This Row],[DataField]],"Ticker symbol",TRUE)</f>
        <v>CVX</v>
      </c>
      <c r="C18">
        <v>0</v>
      </c>
      <c r="D18">
        <v>500</v>
      </c>
      <c r="E18">
        <v>20</v>
      </c>
      <c r="F18" s="2" cm="1">
        <f t="array" aca="1" ref="F18" ca="1">_FV(table1[[#This Row],[DataField]],"Price")</f>
        <v>201.73</v>
      </c>
      <c r="G18" s="2" cm="1">
        <f t="array" aca="1" ref="G18" ca="1">_FV(table1[[#This Row],[DataField]],"52 week low",TRUE)</f>
        <v>132.04</v>
      </c>
      <c r="H18" s="2" cm="1">
        <f t="array" aca="1" ref="H18" ca="1">_FV(table1[[#This Row],[DataField]],"52 week high",TRUE)</f>
        <v>205.08</v>
      </c>
      <c r="I18" s="4" cm="1">
        <f t="array" aca="1" ref="I18" ca="1">_FV(table1[[#This Row],[DataField]],"P/E",TRUE)</f>
        <v>30.354099999999999</v>
      </c>
      <c r="J18" s="2" t="str">
        <f ca="1">IF(table1[[#This Row],[Price]] &lt; (table1[[#This Row],[52Low]] * 0.25) + table1[[#This Row],[52Low]],  "TRUE", "FALSE")</f>
        <v>FALSE</v>
      </c>
      <c r="K18" s="2" t="str">
        <f ca="1">IF(table1[[#This Row],[Price]] &lt; (table1[[#This Row],[52Low]] * 0.1) + table1[[#This Row],[52Low]],  "TRUE", "FALSE")</f>
        <v>FALSE</v>
      </c>
      <c r="L18" s="6" cm="1">
        <f t="array" aca="1" ref="L18" ca="1">_FV(table1[[#This Row],[DataField]],"Market cap",TRUE)</f>
        <v>402529016050</v>
      </c>
    </row>
    <row r="19" spans="1:12" x14ac:dyDescent="0.2">
      <c r="A19" t="e" vm="19">
        <v>#VALUE!</v>
      </c>
      <c r="B19" t="str" cm="1">
        <f t="array" aca="1" ref="B19" ca="1">_FV(table1[[#This Row],[DataField]],"Ticker symbol",TRUE)</f>
        <v>ADM</v>
      </c>
      <c r="C19">
        <v>0</v>
      </c>
      <c r="D19">
        <v>500</v>
      </c>
      <c r="E19">
        <v>30</v>
      </c>
      <c r="F19" s="2" cm="1">
        <f t="array" aca="1" ref="F19" ca="1">_FV(table1[[#This Row],[DataField]],"Price")</f>
        <v>66.17</v>
      </c>
      <c r="G19" s="2" cm="1">
        <f t="array" aca="1" ref="G19" ca="1">_FV(table1[[#This Row],[DataField]],"52 week low",TRUE)</f>
        <v>40.98</v>
      </c>
      <c r="H19" s="2" cm="1">
        <f t="array" aca="1" ref="H19" ca="1">_FV(table1[[#This Row],[DataField]],"52 week high",TRUE)</f>
        <v>73.72</v>
      </c>
      <c r="I19" s="4" cm="1">
        <f t="array" aca="1" ref="I19" ca="1">_FV(table1[[#This Row],[DataField]],"P/E",TRUE)</f>
        <v>29.692599999999999</v>
      </c>
      <c r="J19" s="2" t="str">
        <f ca="1">IF(table1[[#This Row],[Price]] &lt; (table1[[#This Row],[52Low]] * 0.25) + table1[[#This Row],[52Low]],  "TRUE", "FALSE")</f>
        <v>FALSE</v>
      </c>
      <c r="K19" s="2" t="str">
        <f ca="1">IF(table1[[#This Row],[Price]] &lt; (table1[[#This Row],[52Low]] * 0.1) + table1[[#This Row],[52Low]],  "TRUE", "FALSE")</f>
        <v>FALSE</v>
      </c>
      <c r="L19" s="6" cm="1">
        <f t="array" aca="1" ref="L19" ca="1">_FV(table1[[#This Row],[DataField]],"Market cap",TRUE)</f>
        <v>31841123106</v>
      </c>
    </row>
    <row r="20" spans="1:12" x14ac:dyDescent="0.2">
      <c r="A20" t="e" vm="20">
        <v>#VALUE!</v>
      </c>
      <c r="B20" t="str" cm="1">
        <f t="array" aca="1" ref="B20" ca="1">_FV(table1[[#This Row],[DataField]],"Ticker symbol",TRUE)</f>
        <v>BLK</v>
      </c>
      <c r="C20">
        <v>0</v>
      </c>
      <c r="D20">
        <v>500</v>
      </c>
      <c r="E20">
        <v>50</v>
      </c>
      <c r="F20" s="2" cm="1">
        <f t="array" aca="1" ref="F20" ca="1">_FV(table1[[#This Row],[DataField]],"Price")</f>
        <v>957.91</v>
      </c>
      <c r="G20" s="2" cm="1">
        <f t="array" aca="1" ref="G20" ca="1">_FV(table1[[#This Row],[DataField]],"52 week low",TRUE)</f>
        <v>773.74009999999998</v>
      </c>
      <c r="H20" s="2" cm="1">
        <f t="array" aca="1" ref="H20" ca="1">_FV(table1[[#This Row],[DataField]],"52 week high",TRUE)</f>
        <v>1219.9399000000001</v>
      </c>
      <c r="I20" s="4" cm="1">
        <f t="array" aca="1" ref="I20" ca="1">_FV(table1[[#This Row],[DataField]],"P/E",TRUE)</f>
        <v>27.64</v>
      </c>
      <c r="J20" s="2" t="str">
        <f ca="1">IF(table1[[#This Row],[Price]] &lt; (table1[[#This Row],[52Low]] * 0.25) + table1[[#This Row],[52Low]],  "TRUE", "FALSE")</f>
        <v>TRUE</v>
      </c>
      <c r="K20" s="2" t="str">
        <f ca="1">IF(table1[[#This Row],[Price]] &lt; (table1[[#This Row],[52Low]] * 0.1) + table1[[#This Row],[52Low]],  "TRUE", "FALSE")</f>
        <v>FALSE</v>
      </c>
      <c r="L20" s="6" cm="1">
        <f t="array" aca="1" ref="L20" ca="1">_FV(table1[[#This Row],[DataField]],"Market cap",TRUE)</f>
        <v>148994758265</v>
      </c>
    </row>
    <row r="21" spans="1:12" x14ac:dyDescent="0.2">
      <c r="A21" t="e" vm="21">
        <v>#VALUE!</v>
      </c>
      <c r="B21" t="str" cm="1">
        <f t="array" aca="1" ref="B21" ca="1">_FV(table1[[#This Row],[DataField]],"Ticker symbol",TRUE)</f>
        <v>BMY</v>
      </c>
      <c r="C21">
        <v>0</v>
      </c>
      <c r="D21">
        <v>500</v>
      </c>
      <c r="E21">
        <v>50</v>
      </c>
      <c r="F21" s="2" cm="1">
        <f t="array" aca="1" ref="F21" ca="1">_FV(table1[[#This Row],[DataField]],"Price")</f>
        <v>57.48</v>
      </c>
      <c r="G21" s="2" cm="1">
        <f t="array" aca="1" ref="G21" ca="1">_FV(table1[[#This Row],[DataField]],"52 week low",TRUE)</f>
        <v>42.52</v>
      </c>
      <c r="H21" s="2" cm="1">
        <f t="array" aca="1" ref="H21" ca="1">_FV(table1[[#This Row],[DataField]],"52 week high",TRUE)</f>
        <v>62.886400000000002</v>
      </c>
      <c r="I21" s="4" cm="1">
        <f t="array" aca="1" ref="I21" ca="1">_FV(table1[[#This Row],[DataField]],"P/E",TRUE)</f>
        <v>16.828399999999998</v>
      </c>
      <c r="J21" s="2" t="str">
        <f ca="1">IF(table1[[#This Row],[Price]] &lt; (table1[[#This Row],[52Low]] * 0.25) + table1[[#This Row],[52Low]],  "TRUE", "FALSE")</f>
        <v>FALSE</v>
      </c>
      <c r="K21" s="2" t="str">
        <f ca="1">IF(table1[[#This Row],[Price]] &lt; (table1[[#This Row],[52Low]] * 0.1) + table1[[#This Row],[52Low]],  "TRUE", "FALSE")</f>
        <v>FALSE</v>
      </c>
      <c r="L21" s="6" cm="1">
        <f t="array" aca="1" ref="L21" ca="1">_FV(table1[[#This Row],[DataField]],"Market cap",TRUE)</f>
        <v>117056525520</v>
      </c>
    </row>
    <row r="22" spans="1:12" x14ac:dyDescent="0.2">
      <c r="A22" t="e" vm="22">
        <v>#VALUE!</v>
      </c>
      <c r="B22" t="str" cm="1">
        <f t="array" aca="1" ref="B22" ca="1">_FV(table1[[#This Row],[DataField]],"Ticker symbol",TRUE)</f>
        <v>CVS</v>
      </c>
      <c r="C22">
        <v>0</v>
      </c>
      <c r="D22">
        <v>500</v>
      </c>
      <c r="E22">
        <v>50</v>
      </c>
      <c r="F22" s="2" cm="1">
        <f t="array" aca="1" ref="F22" ca="1">_FV(table1[[#This Row],[DataField]],"Price")</f>
        <v>71.48</v>
      </c>
      <c r="G22" s="2" cm="1">
        <f t="array" aca="1" ref="G22" ca="1">_FV(table1[[#This Row],[DataField]],"52 week low",TRUE)</f>
        <v>58.35</v>
      </c>
      <c r="H22" s="2" cm="1">
        <f t="array" aca="1" ref="H22" ca="1">_FV(table1[[#This Row],[DataField]],"52 week high",TRUE)</f>
        <v>85.15</v>
      </c>
      <c r="I22" s="4" cm="1">
        <f t="array" aca="1" ref="I22" ca="1">_FV(table1[[#This Row],[DataField]],"P/E",TRUE)</f>
        <v>52.270600000000002</v>
      </c>
      <c r="J22" s="2" t="str">
        <f ca="1">IF(table1[[#This Row],[Price]] &lt; (table1[[#This Row],[52Low]] * 0.25) + table1[[#This Row],[52Low]],  "TRUE", "FALSE")</f>
        <v>TRUE</v>
      </c>
      <c r="K22" s="2" t="str">
        <f ca="1">IF(table1[[#This Row],[Price]] &lt; (table1[[#This Row],[52Low]] * 0.1) + table1[[#This Row],[52Low]],  "TRUE", "FALSE")</f>
        <v>FALSE</v>
      </c>
      <c r="L22" s="6" cm="1">
        <f t="array" aca="1" ref="L22" ca="1">_FV(table1[[#This Row],[DataField]],"Market cap",TRUE)</f>
        <v>90937642280</v>
      </c>
    </row>
    <row r="23" spans="1:12" x14ac:dyDescent="0.2">
      <c r="A23" t="e" vm="23">
        <v>#VALUE!</v>
      </c>
      <c r="B23" t="str" cm="1">
        <f t="array" aca="1" ref="B23" ca="1">_FV(table1[[#This Row],[DataField]],"Ticker symbol",TRUE)</f>
        <v>EMN</v>
      </c>
      <c r="C23">
        <v>0</v>
      </c>
      <c r="D23">
        <v>500</v>
      </c>
      <c r="F23" s="2" cm="1">
        <f t="array" aca="1" ref="F23" ca="1">_FV(table1[[#This Row],[DataField]],"Price")</f>
        <v>65.33</v>
      </c>
      <c r="G23" s="2" cm="1">
        <f t="array" aca="1" ref="G23" ca="1">_FV(table1[[#This Row],[DataField]],"52 week low",TRUE)</f>
        <v>56.11</v>
      </c>
      <c r="H23" s="2" cm="1">
        <f t="array" aca="1" ref="H23" ca="1">_FV(table1[[#This Row],[DataField]],"52 week high",TRUE)</f>
        <v>91.27</v>
      </c>
      <c r="I23" s="4" cm="1">
        <f t="array" aca="1" ref="I23" ca="1">_FV(table1[[#This Row],[DataField]],"P/E",TRUE)</f>
        <v>17.1754</v>
      </c>
      <c r="J23" s="2" t="str">
        <f ca="1">IF(table1[[#This Row],[Price]] &lt; (table1[[#This Row],[52Low]] * 0.25) + table1[[#This Row],[52Low]],  "TRUE", "FALSE")</f>
        <v>TRUE</v>
      </c>
      <c r="K23" s="2" t="str">
        <f ca="1">IF(table1[[#This Row],[Price]] &lt; (table1[[#This Row],[52Low]] * 0.1) + table1[[#This Row],[52Low]],  "TRUE", "FALSE")</f>
        <v>FALSE</v>
      </c>
      <c r="L23" s="6" cm="1">
        <f t="array" aca="1" ref="L23" ca="1">_FV(table1[[#This Row],[DataField]],"Market cap",TRUE)</f>
        <v>7453976609</v>
      </c>
    </row>
    <row r="24" spans="1:12" x14ac:dyDescent="0.2">
      <c r="A24" t="e" vm="24">
        <v>#VALUE!</v>
      </c>
      <c r="B24" t="str" cm="1">
        <f t="array" aca="1" ref="B24" ca="1">_FV(table1[[#This Row],[DataField]],"Ticker symbol",TRUE)</f>
        <v>HSY</v>
      </c>
      <c r="C24">
        <v>0</v>
      </c>
      <c r="D24">
        <v>500</v>
      </c>
      <c r="F24" s="2" cm="1">
        <f t="array" aca="1" ref="F24" ca="1">_FV(table1[[#This Row],[DataField]],"Price")</f>
        <v>210.14</v>
      </c>
      <c r="G24" s="2" cm="1">
        <f t="array" aca="1" ref="G24" ca="1">_FV(table1[[#This Row],[DataField]],"52 week low",TRUE)</f>
        <v>150.04</v>
      </c>
      <c r="H24" s="2" cm="1">
        <f t="array" aca="1" ref="H24" ca="1">_FV(table1[[#This Row],[DataField]],"52 week high",TRUE)</f>
        <v>239.48</v>
      </c>
      <c r="I24" s="4" cm="1">
        <f t="array" aca="1" ref="I24" ca="1">_FV(table1[[#This Row],[DataField]],"P/E",TRUE)</f>
        <v>48.400399999999998</v>
      </c>
      <c r="J24" s="2" t="str">
        <f ca="1">IF(table1[[#This Row],[Price]] &lt; (table1[[#This Row],[52Low]] * 0.25) + table1[[#This Row],[52Low]],  "TRUE", "FALSE")</f>
        <v>FALSE</v>
      </c>
      <c r="K24" s="2" t="str">
        <f ca="1">IF(table1[[#This Row],[Price]] &lt; (table1[[#This Row],[52Low]] * 0.1) + table1[[#This Row],[52Low]],  "TRUE", "FALSE")</f>
        <v>FALSE</v>
      </c>
      <c r="L24" s="6" cm="1">
        <f t="array" aca="1" ref="L24" ca="1">_FV(table1[[#This Row],[DataField]],"Market cap",TRUE)</f>
        <v>42593465726</v>
      </c>
    </row>
    <row r="25" spans="1:12" x14ac:dyDescent="0.2">
      <c r="A25" t="e" vm="25">
        <v>#VALUE!</v>
      </c>
      <c r="B25" t="str" cm="1">
        <f t="array" aca="1" ref="B25" ca="1">_FV(table1[[#This Row],[DataField]],"Ticker symbol",TRUE)</f>
        <v>JNJ</v>
      </c>
      <c r="C25">
        <v>0</v>
      </c>
      <c r="D25">
        <v>500</v>
      </c>
      <c r="F25" s="2" cm="1">
        <f t="array" aca="1" ref="F25" ca="1">_FV(table1[[#This Row],[DataField]],"Price")</f>
        <v>235.37</v>
      </c>
      <c r="G25" s="2" cm="1">
        <f t="array" aca="1" ref="G25" ca="1">_FV(table1[[#This Row],[DataField]],"52 week low",TRUE)</f>
        <v>141.5</v>
      </c>
      <c r="H25" s="2" cm="1">
        <f t="array" aca="1" ref="H25" ca="1">_FV(table1[[#This Row],[DataField]],"52 week high",TRUE)</f>
        <v>251.71</v>
      </c>
      <c r="I25" s="4" cm="1">
        <f t="array" aca="1" ref="I25" ca="1">_FV(table1[[#This Row],[DataField]],"P/E",TRUE)</f>
        <v>21.517499999999998</v>
      </c>
      <c r="J25" s="2" t="str">
        <f ca="1">IF(table1[[#This Row],[Price]] &lt; (table1[[#This Row],[52Low]] * 0.25) + table1[[#This Row],[52Low]],  "TRUE", "FALSE")</f>
        <v>FALSE</v>
      </c>
      <c r="K25" s="2" t="str">
        <f ca="1">IF(table1[[#This Row],[Price]] &lt; (table1[[#This Row],[52Low]] * 0.1) + table1[[#This Row],[52Low]],  "TRUE", "FALSE")</f>
        <v>FALSE</v>
      </c>
      <c r="L25" s="6" cm="1">
        <f t="array" aca="1" ref="L25" ca="1">_FV(table1[[#This Row],[DataField]],"Market cap",TRUE)</f>
        <v>566915241810</v>
      </c>
    </row>
    <row r="26" spans="1:12" x14ac:dyDescent="0.2">
      <c r="A26" t="e" vm="26">
        <v>#VALUE!</v>
      </c>
      <c r="B26" t="str" cm="1">
        <f t="array" aca="1" ref="B26" ca="1">_FV(table1[[#This Row],[DataField]],"Ticker symbol",TRUE)</f>
        <v>LYB</v>
      </c>
      <c r="C26">
        <v>0</v>
      </c>
      <c r="D26">
        <v>500</v>
      </c>
      <c r="F26" s="2" cm="1">
        <f t="array" aca="1" ref="F26" ca="1">_FV(table1[[#This Row],[DataField]],"Price")</f>
        <v>73.319999999999993</v>
      </c>
      <c r="G26" s="2" cm="1">
        <f t="array" aca="1" ref="G26" ca="1">_FV(table1[[#This Row],[DataField]],"52 week low",TRUE)</f>
        <v>41.58</v>
      </c>
      <c r="H26" s="2" cm="1">
        <f t="array" aca="1" ref="H26" ca="1">_FV(table1[[#This Row],[DataField]],"52 week high",TRUE)</f>
        <v>77.36</v>
      </c>
      <c r="I26" s="4" t="e" cm="1" vm="15">
        <f t="array" ref="I26">_FV(table1[[#This Row],[DataField]],"P/E",TRUE)</f>
        <v>#VALUE!</v>
      </c>
      <c r="J26" s="2" t="str">
        <f ca="1">IF(table1[[#This Row],[Price]] &lt; (table1[[#This Row],[52Low]] * 0.25) + table1[[#This Row],[52Low]],  "TRUE", "FALSE")</f>
        <v>FALSE</v>
      </c>
      <c r="K26" s="2" t="str">
        <f ca="1">IF(table1[[#This Row],[Price]] &lt; (table1[[#This Row],[52Low]] * 0.1) + table1[[#This Row],[52Low]],  "TRUE", "FALSE")</f>
        <v>FALSE</v>
      </c>
      <c r="L26" s="6" cm="1">
        <f t="array" aca="1" ref="L26" ca="1">_FV(table1[[#This Row],[DataField]],"Market cap",TRUE)</f>
        <v>23621504399</v>
      </c>
    </row>
    <row r="27" spans="1:12" x14ac:dyDescent="0.2">
      <c r="A27" t="e" vm="27">
        <v>#VALUE!</v>
      </c>
      <c r="B27" t="str" cm="1">
        <f t="array" aca="1" ref="B27" ca="1">_FV(table1[[#This Row],[DataField]],"Ticker symbol",TRUE)</f>
        <v>MDT</v>
      </c>
      <c r="C27">
        <v>0</v>
      </c>
      <c r="D27">
        <v>500</v>
      </c>
      <c r="F27" s="2" cm="1">
        <f t="array" aca="1" ref="F27" ca="1">_FV(table1[[#This Row],[DataField]],"Price")</f>
        <v>86.16</v>
      </c>
      <c r="G27" s="2" cm="1">
        <f t="array" aca="1" ref="G27" ca="1">_FV(table1[[#This Row],[DataField]],"52 week low",TRUE)</f>
        <v>79.55</v>
      </c>
      <c r="H27" s="2" cm="1">
        <f t="array" aca="1" ref="H27" ca="1">_FV(table1[[#This Row],[DataField]],"52 week high",TRUE)</f>
        <v>106.33</v>
      </c>
      <c r="I27" s="4" cm="1">
        <f t="array" aca="1" ref="I27" ca="1">_FV(table1[[#This Row],[DataField]],"P/E",TRUE)</f>
        <v>24.059000000000001</v>
      </c>
      <c r="J27" s="2" t="str">
        <f ca="1">IF(table1[[#This Row],[Price]] &lt; (table1[[#This Row],[52Low]] * 0.25) + table1[[#This Row],[52Low]],  "TRUE", "FALSE")</f>
        <v>TRUE</v>
      </c>
      <c r="K27" s="2" t="str">
        <f ca="1">IF(table1[[#This Row],[Price]] &lt; (table1[[#This Row],[52Low]] * 0.1) + table1[[#This Row],[52Low]],  "TRUE", "FALSE")</f>
        <v>TRUE</v>
      </c>
      <c r="L27" s="6" cm="1">
        <f t="array" aca="1" ref="L27" ca="1">_FV(table1[[#This Row],[DataField]],"Market cap",TRUE)</f>
        <v>110619531600</v>
      </c>
    </row>
    <row r="28" spans="1:12" x14ac:dyDescent="0.2">
      <c r="A28" t="e" vm="28">
        <v>#VALUE!</v>
      </c>
      <c r="B28" t="str" cm="1">
        <f t="array" aca="1" ref="B28" ca="1">_FV(table1[[#This Row],[DataField]],"Ticker symbol",TRUE)</f>
        <v>O</v>
      </c>
      <c r="C28">
        <v>0</v>
      </c>
      <c r="D28">
        <v>0</v>
      </c>
      <c r="F28" s="2" cm="1">
        <f t="array" aca="1" ref="F28" ca="1">_FV(table1[[#This Row],[DataField]],"Price")</f>
        <v>60.95</v>
      </c>
      <c r="G28" s="2" cm="1">
        <f t="array" aca="1" ref="G28" ca="1">_FV(table1[[#This Row],[DataField]],"52 week low",TRUE)</f>
        <v>50.71</v>
      </c>
      <c r="H28" s="2" cm="1">
        <f t="array" aca="1" ref="H28" ca="1">_FV(table1[[#This Row],[DataField]],"52 week high",TRUE)</f>
        <v>67.935000000000002</v>
      </c>
      <c r="I28" s="4" cm="1">
        <f t="array" aca="1" ref="I28" ca="1">_FV(table1[[#This Row],[DataField]],"P/E",TRUE)</f>
        <v>52.3491</v>
      </c>
      <c r="J28" s="2" t="str">
        <f ca="1">IF(table1[[#This Row],[Price]] &lt; (table1[[#This Row],[52Low]] * 0.25) + table1[[#This Row],[52Low]],  "TRUE", "FALSE")</f>
        <v>TRUE</v>
      </c>
      <c r="K28" s="2" t="str">
        <f ca="1">IF(table1[[#This Row],[Price]] &lt; (table1[[#This Row],[52Low]] * 0.1) + table1[[#This Row],[52Low]],  "TRUE", "FALSE")</f>
        <v>FALSE</v>
      </c>
      <c r="L28" s="6" cm="1">
        <f t="array" aca="1" ref="L28" ca="1">_FV(table1[[#This Row],[DataField]],"Market cap",TRUE)</f>
        <v>56832230190</v>
      </c>
    </row>
    <row r="29" spans="1:12" x14ac:dyDescent="0.2">
      <c r="A29" t="e" vm="29">
        <v>#VALUE!</v>
      </c>
      <c r="B29" t="str" cm="1">
        <f t="array" aca="1" ref="B29" ca="1">_FV(table1[[#This Row],[DataField]],"Ticker symbol",TRUE)</f>
        <v>SJM</v>
      </c>
      <c r="C29">
        <v>0</v>
      </c>
      <c r="D29" t="b">
        <v>0</v>
      </c>
      <c r="F29" s="2" cm="1">
        <f t="array" aca="1" ref="F29" ca="1">_FV(table1[[#This Row],[DataField]],"Price")</f>
        <v>99.37</v>
      </c>
      <c r="G29" s="2" cm="1">
        <f t="array" aca="1" ref="G29" ca="1">_FV(table1[[#This Row],[DataField]],"52 week low",TRUE)</f>
        <v>93.3</v>
      </c>
      <c r="H29" s="2" cm="1">
        <f t="array" aca="1" ref="H29" ca="1">_FV(table1[[#This Row],[DataField]],"52 week high",TRUE)</f>
        <v>120.76</v>
      </c>
      <c r="I29" s="4" t="e" cm="1" vm="15">
        <f t="array" ref="I29">_FV(table1[[#This Row],[DataField]],"P/E",TRUE)</f>
        <v>#VALUE!</v>
      </c>
      <c r="J29" s="2" t="str">
        <f ca="1">IF(table1[[#This Row],[Price]] &lt; (table1[[#This Row],[52Low]] * 0.25) + table1[[#This Row],[52Low]],  "TRUE", "FALSE")</f>
        <v>TRUE</v>
      </c>
      <c r="K29" s="2" t="str">
        <f ca="1">IF(table1[[#This Row],[Price]] &lt; (table1[[#This Row],[52Low]] * 0.1) + table1[[#This Row],[52Low]],  "TRUE", "FALSE")</f>
        <v>TRUE</v>
      </c>
      <c r="L29" s="6" cm="1">
        <f t="array" aca="1" ref="L29" ca="1">_FV(table1[[#This Row],[DataField]],"Market cap",TRUE)</f>
        <v>10597641571</v>
      </c>
    </row>
    <row r="30" spans="1:12" x14ac:dyDescent="0.2">
      <c r="A30" t="e" vm="30">
        <v>#VALUE!</v>
      </c>
      <c r="B30" t="str" cm="1">
        <f t="array" aca="1" ref="B30" ca="1">_FV(table1[[#This Row],[DataField]],"Ticker symbol",TRUE)</f>
        <v>SPG</v>
      </c>
      <c r="C30">
        <v>0</v>
      </c>
      <c r="D30" t="b">
        <v>1</v>
      </c>
      <c r="F30" s="2" cm="1">
        <f t="array" aca="1" ref="F30" ca="1">_FV(table1[[#This Row],[DataField]],"Price")</f>
        <v>184.52</v>
      </c>
      <c r="G30" s="2" cm="1">
        <f t="array" aca="1" ref="G30" ca="1">_FV(table1[[#This Row],[DataField]],"52 week low",TRUE)</f>
        <v>136.34</v>
      </c>
      <c r="H30" s="2" cm="1">
        <f t="array" aca="1" ref="H30" ca="1">_FV(table1[[#This Row],[DataField]],"52 week high",TRUE)</f>
        <v>205.11500000000001</v>
      </c>
      <c r="I30" s="4" cm="1">
        <f t="array" aca="1" ref="I30" ca="1">_FV(table1[[#This Row],[DataField]],"P/E",TRUE)</f>
        <v>13.018800000000001</v>
      </c>
      <c r="J30" s="2" t="str">
        <f ca="1">IF(table1[[#This Row],[Price]] &lt; (table1[[#This Row],[52Low]] * 0.25) + table1[[#This Row],[52Low]],  "TRUE", "FALSE")</f>
        <v>FALSE</v>
      </c>
      <c r="K30" s="2" t="str">
        <f ca="1">IF(table1[[#This Row],[Price]] &lt; (table1[[#This Row],[52Low]] * 0.1) + table1[[#This Row],[52Low]],  "TRUE", "FALSE")</f>
        <v>FALSE</v>
      </c>
      <c r="L30" s="6" cm="1">
        <f t="array" aca="1" ref="L30" ca="1">_FV(table1[[#This Row],[DataField]],"Market cap",TRUE)</f>
        <v>59960382916</v>
      </c>
    </row>
    <row r="31" spans="1:12" x14ac:dyDescent="0.2">
      <c r="A31" t="e" vm="31">
        <v>#VALUE!</v>
      </c>
      <c r="B31" t="str" cm="1">
        <f t="array" aca="1" ref="B31" ca="1">_FV(table1[[#This Row],[DataField]],"Ticker symbol",TRUE)</f>
        <v>T</v>
      </c>
      <c r="C31">
        <v>0</v>
      </c>
      <c r="D31">
        <v>500</v>
      </c>
      <c r="F31" s="2" cm="1">
        <f t="array" aca="1" ref="F31" ca="1">_FV(table1[[#This Row],[DataField]],"Price")</f>
        <v>28.31</v>
      </c>
      <c r="G31" s="2" cm="1">
        <f t="array" aca="1" ref="G31" ca="1">_FV(table1[[#This Row],[DataField]],"52 week low",TRUE)</f>
        <v>22.95</v>
      </c>
      <c r="H31" s="2" cm="1">
        <f t="array" aca="1" ref="H31" ca="1">_FV(table1[[#This Row],[DataField]],"52 week high",TRUE)</f>
        <v>29.79</v>
      </c>
      <c r="I31" s="4" cm="1">
        <f t="array" aca="1" ref="I31" ca="1">_FV(table1[[#This Row],[DataField]],"P/E",TRUE)</f>
        <v>9.2771000000000008</v>
      </c>
      <c r="J31" s="2" t="str">
        <f ca="1">IF(table1[[#This Row],[Price]] &lt; (table1[[#This Row],[52Low]] * 0.25) + table1[[#This Row],[52Low]],  "TRUE", "FALSE")</f>
        <v>TRUE</v>
      </c>
      <c r="K31" s="2" t="str">
        <f ca="1">IF(table1[[#This Row],[Price]] &lt; (table1[[#This Row],[52Low]] * 0.1) + table1[[#This Row],[52Low]],  "TRUE", "FALSE")</f>
        <v>FALSE</v>
      </c>
      <c r="L31" s="6" cm="1">
        <f t="array" aca="1" ref="L31" ca="1">_FV(table1[[#This Row],[DataField]],"Market cap",TRUE)</f>
        <v>198186334870</v>
      </c>
    </row>
    <row r="32" spans="1:12" x14ac:dyDescent="0.2">
      <c r="A32" t="e" vm="32">
        <v>#VALUE!</v>
      </c>
      <c r="B32" t="str" cm="1">
        <f t="array" aca="1" ref="B32" ca="1">_FV(table1[[#This Row],[DataField]],"Ticker symbol",TRUE)</f>
        <v>TROW</v>
      </c>
      <c r="C32">
        <v>0</v>
      </c>
      <c r="D32" t="b">
        <v>1</v>
      </c>
      <c r="F32" s="2" cm="1">
        <f t="array" aca="1" ref="F32" ca="1">_FV(table1[[#This Row],[DataField]],"Price")</f>
        <v>86.19</v>
      </c>
      <c r="G32" s="2" cm="1">
        <f t="array" aca="1" ref="G32" ca="1">_FV(table1[[#This Row],[DataField]],"52 week low",TRUE)</f>
        <v>77.849999999999994</v>
      </c>
      <c r="H32" s="2" cm="1">
        <f t="array" aca="1" ref="H32" ca="1">_FV(table1[[#This Row],[DataField]],"52 week high",TRUE)</f>
        <v>118.22</v>
      </c>
      <c r="I32" s="4" cm="1">
        <f t="array" aca="1" ref="I32" ca="1">_FV(table1[[#This Row],[DataField]],"P/E",TRUE)</f>
        <v>9.3231000000000002</v>
      </c>
      <c r="J32" s="2" t="str">
        <f ca="1">IF(table1[[#This Row],[Price]] &lt; (table1[[#This Row],[52Low]] * 0.25) + table1[[#This Row],[52Low]],  "TRUE", "FALSE")</f>
        <v>TRUE</v>
      </c>
      <c r="K32" s="2" t="str">
        <f ca="1">IF(table1[[#This Row],[Price]] &lt; (table1[[#This Row],[52Low]] * 0.1) + table1[[#This Row],[52Low]],  "TRUE", "FALSE")</f>
        <v>FALSE</v>
      </c>
      <c r="L32" s="6" cm="1">
        <f t="array" aca="1" ref="L32" ca="1">_FV(table1[[#This Row],[DataField]],"Market cap",TRUE)</f>
        <v>18755452521</v>
      </c>
    </row>
    <row r="33" spans="1:12" x14ac:dyDescent="0.2">
      <c r="A33" t="e" vm="33">
        <v>#VALUE!</v>
      </c>
      <c r="B33" t="str" cm="1">
        <f t="array" aca="1" ref="B33" ca="1">_FV(table1[[#This Row],[DataField]],"Ticker symbol",TRUE)</f>
        <v>TSN</v>
      </c>
      <c r="C33">
        <v>0</v>
      </c>
      <c r="D33" t="b">
        <v>1</v>
      </c>
      <c r="F33" s="2" cm="1">
        <f t="array" aca="1" ref="F33" ca="1">_FV(table1[[#This Row],[DataField]],"Price")</f>
        <v>58.18</v>
      </c>
      <c r="G33" s="2" cm="1">
        <f t="array" aca="1" ref="G33" ca="1">_FV(table1[[#This Row],[DataField]],"52 week low",TRUE)</f>
        <v>50.56</v>
      </c>
      <c r="H33" s="2" cm="1">
        <f t="array" aca="1" ref="H33" ca="1">_FV(table1[[#This Row],[DataField]],"52 week high",TRUE)</f>
        <v>66.41</v>
      </c>
      <c r="I33" s="4" cm="1">
        <f t="array" aca="1" ref="I33" ca="1">_FV(table1[[#This Row],[DataField]],"P/E",TRUE)</f>
        <v>103.672</v>
      </c>
      <c r="J33" s="2" t="str">
        <f ca="1">IF(table1[[#This Row],[Price]] &lt; (table1[[#This Row],[52Low]] * 0.25) + table1[[#This Row],[52Low]],  "TRUE", "FALSE")</f>
        <v>TRUE</v>
      </c>
      <c r="K33" s="2" t="str">
        <f ca="1">IF(table1[[#This Row],[Price]] &lt; (table1[[#This Row],[52Low]] * 0.1) + table1[[#This Row],[52Low]],  "TRUE", "FALSE")</f>
        <v>FALSE</v>
      </c>
      <c r="L33" s="6" cm="1">
        <f t="array" aca="1" ref="L33" ca="1">_FV(table1[[#This Row],[DataField]],"Market cap",TRUE)</f>
        <v>20483956220</v>
      </c>
    </row>
    <row r="34" spans="1:12" x14ac:dyDescent="0.2">
      <c r="A34" t="e" vm="34">
        <v>#VALUE!</v>
      </c>
      <c r="B34" t="str" cm="1">
        <f t="array" aca="1" ref="B34" ca="1">_FV(table1[[#This Row],[DataField]],"Ticker symbol",TRUE)</f>
        <v>UNH</v>
      </c>
      <c r="C34">
        <v>0</v>
      </c>
      <c r="D34">
        <v>500</v>
      </c>
      <c r="F34" s="2" cm="1">
        <f t="array" aca="1" ref="F34" ca="1">_FV(table1[[#This Row],[DataField]],"Price")</f>
        <v>275.58999999999997</v>
      </c>
      <c r="G34" s="2" cm="1">
        <f t="array" aca="1" ref="G34" ca="1">_FV(table1[[#This Row],[DataField]],"52 week low",TRUE)</f>
        <v>234.6</v>
      </c>
      <c r="H34" s="2" cm="1">
        <f t="array" aca="1" ref="H34" ca="1">_FV(table1[[#This Row],[DataField]],"52 week high",TRUE)</f>
        <v>606.36</v>
      </c>
      <c r="I34" s="4" cm="1">
        <f t="array" aca="1" ref="I34" ca="1">_FV(table1[[#This Row],[DataField]],"P/E",TRUE)</f>
        <v>20.887799999999999</v>
      </c>
      <c r="J34" s="2" t="str">
        <f ca="1">IF(table1[[#This Row],[Price]] &lt; (table1[[#This Row],[52Low]] * 0.25) + table1[[#This Row],[52Low]],  "TRUE", "FALSE")</f>
        <v>TRUE</v>
      </c>
      <c r="K34" s="2" t="str">
        <f ca="1">IF(table1[[#This Row],[Price]] &lt; (table1[[#This Row],[52Low]] * 0.1) + table1[[#This Row],[52Low]],  "TRUE", "FALSE")</f>
        <v>FALSE</v>
      </c>
      <c r="L34" s="6" cm="1">
        <f t="array" aca="1" ref="L34" ca="1">_FV(table1[[#This Row],[DataField]],"Market cap",TRUE)</f>
        <v>250146373721</v>
      </c>
    </row>
    <row r="35" spans="1:12" x14ac:dyDescent="0.2">
      <c r="A35" t="e" vm="35">
        <v>#VALUE!</v>
      </c>
      <c r="B35" t="str" cm="1">
        <f t="array" aca="1" ref="B35" ca="1">_FV(table1[[#This Row],[DataField]],"Ticker symbol",TRUE)</f>
        <v>UPS</v>
      </c>
      <c r="C35">
        <v>0</v>
      </c>
      <c r="D35">
        <v>500</v>
      </c>
      <c r="F35" s="2" cm="1">
        <f t="array" aca="1" ref="F35" ca="1">_FV(table1[[#This Row],[DataField]],"Price")</f>
        <v>95.86</v>
      </c>
      <c r="G35" s="2" cm="1">
        <f t="array" aca="1" ref="G35" ca="1">_FV(table1[[#This Row],[DataField]],"52 week low",TRUE)</f>
        <v>82</v>
      </c>
      <c r="H35" s="2" cm="1">
        <f t="array" aca="1" ref="H35" ca="1">_FV(table1[[#This Row],[DataField]],"52 week high",TRUE)</f>
        <v>122.41</v>
      </c>
      <c r="I35" s="4" cm="1">
        <f t="array" aca="1" ref="I35" ca="1">_FV(table1[[#This Row],[DataField]],"P/E",TRUE)</f>
        <v>14.6119</v>
      </c>
      <c r="J35" s="2" t="str">
        <f ca="1">IF(table1[[#This Row],[Price]] &lt; (table1[[#This Row],[52Low]] * 0.25) + table1[[#This Row],[52Low]],  "TRUE", "FALSE")</f>
        <v>TRUE</v>
      </c>
      <c r="K35" s="2" t="str">
        <f ca="1">IF(table1[[#This Row],[Price]] &lt; (table1[[#This Row],[52Low]] * 0.1) + table1[[#This Row],[52Low]],  "TRUE", "FALSE")</f>
        <v>FALSE</v>
      </c>
      <c r="L35" s="6" cm="1">
        <f t="array" aca="1" ref="L35" ca="1">_FV(table1[[#This Row],[DataField]],"Market cap",TRUE)</f>
        <v>81394888962</v>
      </c>
    </row>
    <row r="36" spans="1:12" x14ac:dyDescent="0.2">
      <c r="A36" t="e" vm="36">
        <v>#VALUE!</v>
      </c>
      <c r="B36" t="str" cm="1">
        <f t="array" aca="1" ref="B36" ca="1">_FV(table1[[#This Row],[DataField]],"Ticker symbol",TRUE)</f>
        <v>VZ</v>
      </c>
      <c r="C36">
        <v>0</v>
      </c>
      <c r="D36">
        <v>500</v>
      </c>
      <c r="F36" s="2" cm="1">
        <f t="array" aca="1" ref="F36" ca="1">_FV(table1[[#This Row],[DataField]],"Price")</f>
        <v>49.98</v>
      </c>
      <c r="G36" s="2" cm="1">
        <f t="array" aca="1" ref="G36" ca="1">_FV(table1[[#This Row],[DataField]],"52 week low",TRUE)</f>
        <v>38.39</v>
      </c>
      <c r="H36" s="2" cm="1">
        <f t="array" aca="1" ref="H36" ca="1">_FV(table1[[#This Row],[DataField]],"52 week high",TRUE)</f>
        <v>51.664999999999999</v>
      </c>
      <c r="I36" s="4" cm="1">
        <f t="array" aca="1" ref="I36" ca="1">_FV(table1[[#This Row],[DataField]],"P/E",TRUE)</f>
        <v>12.3103</v>
      </c>
      <c r="J36" s="2" t="str">
        <f ca="1">IF(table1[[#This Row],[Price]] &lt; (table1[[#This Row],[52Low]] * 0.25) + table1[[#This Row],[52Low]],  "TRUE", "FALSE")</f>
        <v>FALSE</v>
      </c>
      <c r="K36" s="2" t="str">
        <f ca="1">IF(table1[[#This Row],[Price]] &lt; (table1[[#This Row],[52Low]] * 0.1) + table1[[#This Row],[52Low]],  "TRUE", "FALSE")</f>
        <v>FALSE</v>
      </c>
      <c r="L36" s="6" cm="1">
        <f t="array" aca="1" ref="L36" ca="1">_FV(table1[[#This Row],[DataField]],"Market cap",TRUE)</f>
        <v>210799846320</v>
      </c>
    </row>
    <row r="37" spans="1:12" x14ac:dyDescent="0.2">
      <c r="A37" t="e" vm="37">
        <v>#VALUE!</v>
      </c>
      <c r="B37" t="str" cm="1">
        <f t="array" aca="1" ref="B37" ca="1">_FV(table1[[#This Row],[DataField]],"Ticker symbol",TRUE)</f>
        <v>KMB</v>
      </c>
      <c r="C37">
        <v>1</v>
      </c>
      <c r="D37">
        <v>500</v>
      </c>
      <c r="F37" s="2" cm="1">
        <f t="array" aca="1" ref="F37" ca="1">_FV(table1[[#This Row],[DataField]],"Price")</f>
        <v>98.2</v>
      </c>
      <c r="G37" s="2" cm="1">
        <f t="array" aca="1" ref="G37" ca="1">_FV(table1[[#This Row],[DataField]],"52 week low",TRUE)</f>
        <v>96.26</v>
      </c>
      <c r="H37" s="2" cm="1">
        <f t="array" aca="1" ref="H37" ca="1">_FV(table1[[#This Row],[DataField]],"52 week high",TRUE)</f>
        <v>147.12</v>
      </c>
      <c r="I37" s="4" cm="1">
        <f t="array" aca="1" ref="I37" ca="1">_FV(table1[[#This Row],[DataField]],"P/E",TRUE)</f>
        <v>20.101099999999999</v>
      </c>
      <c r="J37" s="2" t="str">
        <f ca="1">IF(table1[[#This Row],[Price]] &lt; (table1[[#This Row],[52Low]] * 0.25) + table1[[#This Row],[52Low]],  "TRUE", "FALSE")</f>
        <v>TRUE</v>
      </c>
      <c r="K37" s="2" t="str">
        <f ca="1">IF(table1[[#This Row],[Price]] &lt; (table1[[#This Row],[52Low]] * 0.1) + table1[[#This Row],[52Low]],  "TRUE", "FALSE")</f>
        <v>TRUE</v>
      </c>
      <c r="L37" s="6" cm="1">
        <f t="array" aca="1" ref="L37" ca="1">_FV(table1[[#This Row],[DataField]],"Market cap",TRUE)</f>
        <v>32594779680</v>
      </c>
    </row>
    <row r="38" spans="1:12" x14ac:dyDescent="0.2">
      <c r="A38" t="e" vm="38">
        <v>#VALUE!</v>
      </c>
      <c r="B38" t="str" cm="1">
        <f t="array" aca="1" ref="B38" ca="1">_FV(table1[[#This Row],[DataField]],"Ticker symbol",TRUE)</f>
        <v>MCD</v>
      </c>
      <c r="C38">
        <v>1</v>
      </c>
      <c r="D38" t="b">
        <v>1</v>
      </c>
      <c r="F38" s="2" cm="1">
        <f t="array" aca="1" ref="F38" ca="1">_FV(table1[[#This Row],[DataField]],"Price")</f>
        <v>308.85000000000002</v>
      </c>
      <c r="G38" s="2" cm="1">
        <f t="array" aca="1" ref="G38" ca="1">_FV(table1[[#This Row],[DataField]],"52 week low",TRUE)</f>
        <v>283.47000000000003</v>
      </c>
      <c r="H38" s="2" cm="1">
        <f t="array" aca="1" ref="H38" ca="1">_FV(table1[[#This Row],[DataField]],"52 week high",TRUE)</f>
        <v>341.75</v>
      </c>
      <c r="I38" s="4" cm="1">
        <f t="array" aca="1" ref="I38" ca="1">_FV(table1[[#This Row],[DataField]],"P/E",TRUE)</f>
        <v>25.837800000000001</v>
      </c>
      <c r="J38" s="2" t="str">
        <f ca="1">IF(table1[[#This Row],[Price]] &lt; (table1[[#This Row],[52Low]] * 0.25) + table1[[#This Row],[52Low]],  "TRUE", "FALSE")</f>
        <v>TRUE</v>
      </c>
      <c r="K38" s="2" t="str">
        <f ca="1">IF(table1[[#This Row],[Price]] &lt; (table1[[#This Row],[52Low]] * 0.1) + table1[[#This Row],[52Low]],  "TRUE", "FALSE")</f>
        <v>TRUE</v>
      </c>
      <c r="L38" s="6" cm="1">
        <f t="array" aca="1" ref="L38" ca="1">_FV(table1[[#This Row],[DataField]],"Market cap",TRUE)</f>
        <v>219406607610</v>
      </c>
    </row>
    <row r="39" spans="1:12" x14ac:dyDescent="0.2">
      <c r="A39" t="e" vm="39">
        <v>#VALUE!</v>
      </c>
      <c r="B39" t="str" cm="1">
        <f t="array" aca="1" ref="B39" ca="1">_FV(table1[[#This Row],[DataField]],"Ticker symbol",TRUE)</f>
        <v>LOW</v>
      </c>
      <c r="C39">
        <v>0</v>
      </c>
      <c r="D39" t="b">
        <v>1</v>
      </c>
      <c r="E39">
        <v>10</v>
      </c>
      <c r="F39" s="2" cm="1">
        <f t="array" aca="1" ref="F39" ca="1">_FV(table1[[#This Row],[DataField]],"Price")</f>
        <v>224.63</v>
      </c>
      <c r="G39" s="2" cm="1">
        <f t="array" aca="1" ref="G39" ca="1">_FV(table1[[#This Row],[DataField]],"52 week low",TRUE)</f>
        <v>206.38499999999999</v>
      </c>
      <c r="H39" s="2" cm="1">
        <f t="array" aca="1" ref="H39" ca="1">_FV(table1[[#This Row],[DataField]],"52 week high",TRUE)</f>
        <v>293.06</v>
      </c>
      <c r="I39" s="4" cm="1">
        <f t="array" aca="1" ref="I39" ca="1">_FV(table1[[#This Row],[DataField]],"P/E",TRUE)</f>
        <v>18.961200000000002</v>
      </c>
      <c r="J39" s="2" t="str">
        <f ca="1">IF(table1[[#This Row],[Price]] &lt; (table1[[#This Row],[52Low]] * 0.25) + table1[[#This Row],[52Low]],  "TRUE", "FALSE")</f>
        <v>TRUE</v>
      </c>
      <c r="K39" s="2" t="str">
        <f ca="1">IF(table1[[#This Row],[Price]] &lt; (table1[[#This Row],[52Low]] * 0.1) + table1[[#This Row],[52Low]],  "TRUE", "FALSE")</f>
        <v>TRUE</v>
      </c>
      <c r="L39" s="6" cm="1">
        <f t="array" aca="1" ref="L39" ca="1">_FV(table1[[#This Row],[DataField]],"Market cap",TRUE)</f>
        <v>126017430000</v>
      </c>
    </row>
    <row r="40" spans="1:12" x14ac:dyDescent="0.2">
      <c r="A40" t="e" vm="40">
        <v>#VALUE!</v>
      </c>
      <c r="B40" t="str" cm="1">
        <f t="array" aca="1" ref="B40" ca="1">_FV(table1[[#This Row],[DataField]],"Ticker symbol",TRUE)</f>
        <v>LMT</v>
      </c>
      <c r="C40">
        <v>0</v>
      </c>
      <c r="D40" t="b">
        <v>1</v>
      </c>
      <c r="F40" s="2" cm="1">
        <f t="array" aca="1" ref="F40" ca="1">_FV(table1[[#This Row],[DataField]],"Price")</f>
        <v>627.42999999999995</v>
      </c>
      <c r="G40" s="2" cm="1">
        <f t="array" aca="1" ref="G40" ca="1">_FV(table1[[#This Row],[DataField]],"52 week low",TRUE)</f>
        <v>410.11</v>
      </c>
      <c r="H40" s="2" cm="1">
        <f t="array" aca="1" ref="H40" ca="1">_FV(table1[[#This Row],[DataField]],"52 week high",TRUE)</f>
        <v>692</v>
      </c>
      <c r="I40" s="4" cm="1">
        <f t="array" aca="1" ref="I40" ca="1">_FV(table1[[#This Row],[DataField]],"P/E",TRUE)</f>
        <v>29.6708</v>
      </c>
      <c r="J40" s="2" t="str">
        <f ca="1">IF(table1[[#This Row],[Price]] &lt; (table1[[#This Row],[52Low]] * 0.25) + table1[[#This Row],[52Low]],  "TRUE", "FALSE")</f>
        <v>FALSE</v>
      </c>
      <c r="K40" s="2" t="str">
        <f ca="1">IF(table1[[#This Row],[Price]] &lt; (table1[[#This Row],[52Low]] * 0.1) + table1[[#This Row],[52Low]],  "TRUE", "FALSE")</f>
        <v>FALSE</v>
      </c>
      <c r="L40" s="6" cm="1">
        <f t="array" aca="1" ref="L40" ca="1">_FV(table1[[#This Row],[DataField]],"Market cap",TRUE)</f>
        <v>144359219886</v>
      </c>
    </row>
    <row r="41" spans="1:12" x14ac:dyDescent="0.2">
      <c r="A41" t="e" vm="41">
        <v>#VALUE!</v>
      </c>
      <c r="B41" t="str" cm="1">
        <f t="array" aca="1" ref="B41" ca="1">_FV(table1[[#This Row],[DataField]],"Ticker symbol",TRUE)</f>
        <v>ABBV</v>
      </c>
      <c r="F41" s="2" cm="1">
        <f t="array" aca="1" ref="F41" ca="1">_FV(table1[[#This Row],[DataField]],"Price")</f>
        <v>205.07</v>
      </c>
      <c r="G41" s="2" cm="1">
        <f t="array" aca="1" ref="G41" ca="1">_FV(table1[[#This Row],[DataField]],"52 week low",TRUE)</f>
        <v>164.39</v>
      </c>
      <c r="H41" s="2" cm="1">
        <f t="array" aca="1" ref="H41" ca="1">_FV(table1[[#This Row],[DataField]],"52 week high",TRUE)</f>
        <v>244.81</v>
      </c>
      <c r="I41" s="4" cm="1">
        <f t="array" aca="1" ref="I41" ca="1">_FV(table1[[#This Row],[DataField]],"P/E",TRUE)</f>
        <v>87.374499999999998</v>
      </c>
      <c r="J41" s="2" t="str">
        <f ca="1">IF(table1[[#This Row],[Price]] &lt; (table1[[#This Row],[52Low]] * 0.25) + table1[[#This Row],[52Low]],  "TRUE", "FALSE")</f>
        <v>TRUE</v>
      </c>
      <c r="K41" s="2" t="str">
        <f ca="1">IF(table1[[#This Row],[Price]] &lt; (table1[[#This Row],[52Low]] * 0.1) + table1[[#This Row],[52Low]],  "TRUE", "FALSE")</f>
        <v>FALSE</v>
      </c>
      <c r="L41" s="6" cm="1">
        <f t="array" aca="1" ref="L41" ca="1">_FV(table1[[#This Row],[DataField]],"Market cap",TRUE)</f>
        <v>362598416830</v>
      </c>
    </row>
    <row r="42" spans="1:12" x14ac:dyDescent="0.2">
      <c r="A42" t="e" vm="42">
        <v>#VALUE!</v>
      </c>
      <c r="B42" t="str" cm="1">
        <f t="array" aca="1" ref="B42" ca="1">_FV(table1[[#This Row],[DataField]],"Ticker symbol",TRUE)</f>
        <v>ADP</v>
      </c>
      <c r="F42" s="2" cm="1">
        <f t="array" aca="1" ref="F42" ca="1">_FV(table1[[#This Row],[DataField]],"Price")</f>
        <v>208.69</v>
      </c>
      <c r="G42" s="2" cm="1">
        <f t="array" aca="1" ref="G42" ca="1">_FV(table1[[#This Row],[DataField]],"52 week low",TRUE)</f>
        <v>203.26</v>
      </c>
      <c r="H42" s="2" cm="1">
        <f t="array" aca="1" ref="H42" ca="1">_FV(table1[[#This Row],[DataField]],"52 week high",TRUE)</f>
        <v>329.92950000000002</v>
      </c>
      <c r="I42" s="4" cm="1">
        <f t="array" aca="1" ref="I42" ca="1">_FV(table1[[#This Row],[DataField]],"P/E",TRUE)</f>
        <v>20.047499999999999</v>
      </c>
      <c r="J42" s="2" t="str">
        <f ca="1">IF(table1[[#This Row],[Price]] &lt; (table1[[#This Row],[52Low]] * 0.25) + table1[[#This Row],[52Low]],  "TRUE", "FALSE")</f>
        <v>TRUE</v>
      </c>
      <c r="K42" s="2" t="str">
        <f ca="1">IF(table1[[#This Row],[Price]] &lt; (table1[[#This Row],[52Low]] * 0.1) + table1[[#This Row],[52Low]],  "TRUE", "FALSE")</f>
        <v>TRUE</v>
      </c>
      <c r="L42" s="6" cm="1">
        <f t="array" aca="1" ref="L42" ca="1">_FV(table1[[#This Row],[DataField]],"Market cap",TRUE)</f>
        <v>84027838967</v>
      </c>
    </row>
    <row r="43" spans="1:12" x14ac:dyDescent="0.2">
      <c r="A43" t="e" vm="43">
        <v>#VALUE!</v>
      </c>
      <c r="B43" t="str" cm="1">
        <f t="array" aca="1" ref="B43" ca="1">_FV(table1[[#This Row],[DataField]],"Ticker symbol",TRUE)</f>
        <v>AMT</v>
      </c>
      <c r="F43" s="2" cm="1">
        <f t="array" aca="1" ref="F43" ca="1">_FV(table1[[#This Row],[DataField]],"Price")</f>
        <v>176.79</v>
      </c>
      <c r="G43" s="2" cm="1">
        <f t="array" aca="1" ref="G43" ca="1">_FV(table1[[#This Row],[DataField]],"52 week low",TRUE)</f>
        <v>166.88</v>
      </c>
      <c r="H43" s="2" cm="1">
        <f t="array" aca="1" ref="H43" ca="1">_FV(table1[[#This Row],[DataField]],"52 week high",TRUE)</f>
        <v>234.33</v>
      </c>
      <c r="I43" s="4" cm="1">
        <f t="array" aca="1" ref="I43" ca="1">_FV(table1[[#This Row],[DataField]],"P/E",TRUE)</f>
        <v>32.758899999999997</v>
      </c>
      <c r="J43" s="2" t="str">
        <f ca="1">IF(table1[[#This Row],[Price]] &lt; (table1[[#This Row],[52Low]] * 0.25) + table1[[#This Row],[52Low]],  "TRUE", "FALSE")</f>
        <v>TRUE</v>
      </c>
      <c r="K43" s="2" t="str">
        <f ca="1">IF(table1[[#This Row],[Price]] &lt; (table1[[#This Row],[52Low]] * 0.1) + table1[[#This Row],[52Low]],  "TRUE", "FALSE")</f>
        <v>TRUE</v>
      </c>
      <c r="L43" s="6" cm="1">
        <f t="array" aca="1" ref="L43" ca="1">_FV(table1[[#This Row],[DataField]],"Market cap",TRUE)</f>
        <v>82399131792</v>
      </c>
    </row>
    <row r="44" spans="1:12" x14ac:dyDescent="0.2">
      <c r="A44" t="e" vm="44">
        <v>#VALUE!</v>
      </c>
      <c r="B44" t="str" cm="1">
        <f t="array" aca="1" ref="B44" ca="1">_FV(table1[[#This Row],[DataField]],"Ticker symbol",TRUE)</f>
        <v>AOS</v>
      </c>
      <c r="F44" s="2" cm="1">
        <f t="array" aca="1" ref="F44" ca="1">_FV(table1[[#This Row],[DataField]],"Price")</f>
        <v>64.09</v>
      </c>
      <c r="G44" s="2" cm="1">
        <f t="array" aca="1" ref="G44" ca="1">_FV(table1[[#This Row],[DataField]],"52 week low",TRUE)</f>
        <v>58.83</v>
      </c>
      <c r="H44" s="2" cm="1">
        <f t="array" aca="1" ref="H44" ca="1">_FV(table1[[#This Row],[DataField]],"52 week high",TRUE)</f>
        <v>81.864999999999995</v>
      </c>
      <c r="I44" s="4" cm="1">
        <f t="array" aca="1" ref="I44" ca="1">_FV(table1[[#This Row],[DataField]],"P/E",TRUE)</f>
        <v>16.6584</v>
      </c>
      <c r="J44" s="2" t="str">
        <f ca="1">IF(table1[[#This Row],[Price]] &lt; (table1[[#This Row],[52Low]] * 0.25) + table1[[#This Row],[52Low]],  "TRUE", "FALSE")</f>
        <v>TRUE</v>
      </c>
      <c r="K44" s="2" t="str">
        <f ca="1">IF(table1[[#This Row],[Price]] &lt; (table1[[#This Row],[52Low]] * 0.1) + table1[[#This Row],[52Low]],  "TRUE", "FALSE")</f>
        <v>TRUE</v>
      </c>
      <c r="L44" s="6" cm="1">
        <f t="array" aca="1" ref="L44" ca="1">_FV(table1[[#This Row],[DataField]],"Market cap",TRUE)</f>
        <v>8859788782</v>
      </c>
    </row>
    <row r="45" spans="1:12" x14ac:dyDescent="0.2">
      <c r="A45" t="e" vm="45">
        <v>#VALUE!</v>
      </c>
      <c r="B45" t="str" cm="1">
        <f t="array" aca="1" ref="B45" ca="1">_FV(table1[[#This Row],[DataField]],"Ticker symbol",TRUE)</f>
        <v>AVGO</v>
      </c>
      <c r="F45" s="2" cm="1">
        <f t="array" aca="1" ref="F45" ca="1">_FV(table1[[#This Row],[DataField]],"Price")</f>
        <v>310.51</v>
      </c>
      <c r="G45" s="2" cm="1">
        <f t="array" aca="1" ref="G45" ca="1">_FV(table1[[#This Row],[DataField]],"52 week low",TRUE)</f>
        <v>138.1</v>
      </c>
      <c r="H45" s="2" cm="1">
        <f t="array" aca="1" ref="H45" ca="1">_FV(table1[[#This Row],[DataField]],"52 week high",TRUE)</f>
        <v>414.61</v>
      </c>
      <c r="I45" s="4" cm="1">
        <f t="array" aca="1" ref="I45" ca="1">_FV(table1[[#This Row],[DataField]],"P/E",TRUE)</f>
        <v>67.052400000000006</v>
      </c>
      <c r="J45" s="2" t="str">
        <f ca="1">IF(table1[[#This Row],[Price]] &lt; (table1[[#This Row],[52Low]] * 0.25) + table1[[#This Row],[52Low]],  "TRUE", "FALSE")</f>
        <v>FALSE</v>
      </c>
      <c r="K45" s="2" t="str">
        <f ca="1">IF(table1[[#This Row],[Price]] &lt; (table1[[#This Row],[52Low]] * 0.1) + table1[[#This Row],[52Low]],  "TRUE", "FALSE")</f>
        <v>FALSE</v>
      </c>
      <c r="L45" s="6" cm="1">
        <f t="array" aca="1" ref="L45" ca="1">_FV(table1[[#This Row],[DataField]],"Market cap",TRUE)</f>
        <v>1470161760680</v>
      </c>
    </row>
    <row r="46" spans="1:12" x14ac:dyDescent="0.2">
      <c r="A46" t="e" vm="46">
        <v>#VALUE!</v>
      </c>
      <c r="B46" t="str" cm="1">
        <f t="array" aca="1" ref="B46" ca="1">_FV(table1[[#This Row],[DataField]],"Ticker symbol",TRUE)</f>
        <v>AWK</v>
      </c>
      <c r="F46" s="2" cm="1">
        <f t="array" aca="1" ref="F46" ca="1">_FV(table1[[#This Row],[DataField]],"Price")</f>
        <v>135.79</v>
      </c>
      <c r="G46" s="2" cm="1">
        <f t="array" aca="1" ref="G46" ca="1">_FV(table1[[#This Row],[DataField]],"52 week low",TRUE)</f>
        <v>121.27500000000001</v>
      </c>
      <c r="H46" s="2" cm="1">
        <f t="array" aca="1" ref="H46" ca="1">_FV(table1[[#This Row],[DataField]],"52 week high",TRUE)</f>
        <v>155.5</v>
      </c>
      <c r="I46" s="4" cm="1">
        <f t="array" aca="1" ref="I46" ca="1">_FV(table1[[#This Row],[DataField]],"P/E",TRUE)</f>
        <v>24.063500000000001</v>
      </c>
      <c r="J46" s="2" t="str">
        <f ca="1">IF(table1[[#This Row],[Price]] &lt; (table1[[#This Row],[52Low]] * 0.25) + table1[[#This Row],[52Low]],  "TRUE", "FALSE")</f>
        <v>TRUE</v>
      </c>
      <c r="K46" s="2" t="str">
        <f ca="1">IF(table1[[#This Row],[Price]] &lt; (table1[[#This Row],[52Low]] * 0.1) + table1[[#This Row],[52Low]],  "TRUE", "FALSE")</f>
        <v>FALSE</v>
      </c>
      <c r="L46" s="6" cm="1">
        <f t="array" aca="1" ref="L46" ca="1">_FV(table1[[#This Row],[DataField]],"Market cap",TRUE)</f>
        <v>26507389373</v>
      </c>
    </row>
    <row r="47" spans="1:12" x14ac:dyDescent="0.2">
      <c r="A47" t="e" vm="47">
        <v>#VALUE!</v>
      </c>
      <c r="B47" t="str" cm="1">
        <f t="array" aca="1" ref="B47" ca="1">_FV(table1[[#This Row],[DataField]],"Ticker symbol",TRUE)</f>
        <v>BBY</v>
      </c>
      <c r="F47" s="2" cm="1">
        <f t="array" aca="1" ref="F47" ca="1">_FV(table1[[#This Row],[DataField]],"Price")</f>
        <v>62.8</v>
      </c>
      <c r="G47" s="2" cm="1">
        <f t="array" aca="1" ref="G47" ca="1">_FV(table1[[#This Row],[DataField]],"52 week low",TRUE)</f>
        <v>54.99</v>
      </c>
      <c r="H47" s="2" cm="1">
        <f t="array" aca="1" ref="H47" ca="1">_FV(table1[[#This Row],[DataField]],"52 week high",TRUE)</f>
        <v>84.99</v>
      </c>
      <c r="I47" s="4" cm="1">
        <f t="array" aca="1" ref="I47" ca="1">_FV(table1[[#This Row],[DataField]],"P/E",TRUE)</f>
        <v>12.717599999999999</v>
      </c>
      <c r="J47" s="2" t="str">
        <f ca="1">IF(table1[[#This Row],[Price]] &lt; (table1[[#This Row],[52Low]] * 0.25) + table1[[#This Row],[52Low]],  "TRUE", "FALSE")</f>
        <v>TRUE</v>
      </c>
      <c r="K47" s="2" t="str">
        <f ca="1">IF(table1[[#This Row],[Price]] &lt; (table1[[#This Row],[52Low]] * 0.1) + table1[[#This Row],[52Low]],  "TRUE", "FALSE")</f>
        <v>FALSE</v>
      </c>
      <c r="L47" s="6" cm="1">
        <f t="array" aca="1" ref="L47" ca="1">_FV(table1[[#This Row],[DataField]],"Market cap",TRUE)</f>
        <v>13132271280</v>
      </c>
    </row>
    <row r="48" spans="1:12" x14ac:dyDescent="0.2">
      <c r="A48" t="e" vm="48">
        <v>#VALUE!</v>
      </c>
      <c r="B48" t="str" cm="1">
        <f t="array" aca="1" ref="B48" ca="1">_FV(table1[[#This Row],[DataField]],"Ticker symbol",TRUE)</f>
        <v>BF.A</v>
      </c>
      <c r="F48" s="2" cm="1">
        <f t="array" aca="1" ref="F48" ca="1">_FV(table1[[#This Row],[DataField]],"Price")</f>
        <v>23.33</v>
      </c>
      <c r="G48" s="2" cm="1">
        <f t="array" aca="1" ref="G48" ca="1">_FV(table1[[#This Row],[DataField]],"52 week low",TRUE)</f>
        <v>23.01</v>
      </c>
      <c r="H48" s="2" cm="1">
        <f t="array" aca="1" ref="H48" ca="1">_FV(table1[[#This Row],[DataField]],"52 week high",TRUE)</f>
        <v>35.954999999999998</v>
      </c>
      <c r="I48" s="4" t="e" cm="1" vm="15">
        <f t="array" ref="I48">_FV(table1[[#This Row],[DataField]],"P/E",TRUE)</f>
        <v>#VALUE!</v>
      </c>
      <c r="J48" s="2" t="str">
        <f ca="1">IF(table1[[#This Row],[Price]] &lt; (table1[[#This Row],[52Low]] * 0.25) + table1[[#This Row],[52Low]],  "TRUE", "FALSE")</f>
        <v>TRUE</v>
      </c>
      <c r="K48" s="2" t="str">
        <f ca="1">IF(table1[[#This Row],[Price]] &lt; (table1[[#This Row],[52Low]] * 0.1) + table1[[#This Row],[52Low]],  "TRUE", "FALSE")</f>
        <v>TRUE</v>
      </c>
      <c r="L48" s="6" cm="1">
        <f t="array" aca="1" ref="L48" ca="1">_FV(table1[[#This Row],[DataField]],"Market cap",TRUE)</f>
        <v>10701554988</v>
      </c>
    </row>
    <row r="49" spans="1:12" x14ac:dyDescent="0.2">
      <c r="A49" t="e" vm="49">
        <v>#VALUE!</v>
      </c>
      <c r="B49" t="str" cm="1">
        <f t="array" aca="1" ref="B49" ca="1">_FV(table1[[#This Row],[DataField]],"Ticker symbol",TRUE)</f>
        <v>CAT</v>
      </c>
      <c r="F49" s="2" cm="1">
        <f t="array" aca="1" ref="F49" ca="1">_FV(table1[[#This Row],[DataField]],"Price")</f>
        <v>680.88</v>
      </c>
      <c r="G49" s="2" cm="1">
        <f t="array" aca="1" ref="G49" ca="1">_FV(table1[[#This Row],[DataField]],"52 week low",TRUE)</f>
        <v>267.3</v>
      </c>
      <c r="H49" s="2" cm="1">
        <f t="array" aca="1" ref="H49" ca="1">_FV(table1[[#This Row],[DataField]],"52 week high",TRUE)</f>
        <v>789.81</v>
      </c>
      <c r="I49" s="4" cm="1">
        <f t="array" aca="1" ref="I49" ca="1">_FV(table1[[#This Row],[DataField]],"P/E",TRUE)</f>
        <v>36.165999999999997</v>
      </c>
      <c r="J49" s="2" t="str">
        <f ca="1">IF(table1[[#This Row],[Price]] &lt; (table1[[#This Row],[52Low]] * 0.25) + table1[[#This Row],[52Low]],  "TRUE", "FALSE")</f>
        <v>FALSE</v>
      </c>
      <c r="K49" s="2" t="str">
        <f ca="1">IF(table1[[#This Row],[Price]] &lt; (table1[[#This Row],[52Low]] * 0.1) + table1[[#This Row],[52Low]],  "TRUE", "FALSE")</f>
        <v>FALSE</v>
      </c>
      <c r="L49" s="6" cm="1">
        <f t="array" aca="1" ref="L49" ca="1">_FV(table1[[#This Row],[DataField]],"Market cap",TRUE)</f>
        <v>316804816824</v>
      </c>
    </row>
    <row r="50" spans="1:12" x14ac:dyDescent="0.2">
      <c r="A50" t="e" vm="50">
        <v>#VALUE!</v>
      </c>
      <c r="B50" t="str" cm="1">
        <f t="array" aca="1" ref="B50" ca="1">_FV(table1[[#This Row],[DataField]],"Ticker symbol",TRUE)</f>
        <v>CCI</v>
      </c>
      <c r="F50" s="2" cm="1">
        <f t="array" aca="1" ref="F50" ca="1">_FV(table1[[#This Row],[DataField]],"Price")</f>
        <v>82.36</v>
      </c>
      <c r="G50" s="2" cm="1">
        <f t="array" aca="1" ref="G50" ca="1">_FV(table1[[#This Row],[DataField]],"52 week low",TRUE)</f>
        <v>77.010000000000005</v>
      </c>
      <c r="H50" s="2" cm="1">
        <f t="array" aca="1" ref="H50" ca="1">_FV(table1[[#This Row],[DataField]],"52 week high",TRUE)</f>
        <v>115.76</v>
      </c>
      <c r="I50" s="4" cm="1">
        <f t="array" aca="1" ref="I50" ca="1">_FV(table1[[#This Row],[DataField]],"P/E",TRUE)</f>
        <v>32.630699999999997</v>
      </c>
      <c r="J50" s="2" t="str">
        <f ca="1">IF(table1[[#This Row],[Price]] &lt; (table1[[#This Row],[52Low]] * 0.25) + table1[[#This Row],[52Low]],  "TRUE", "FALSE")</f>
        <v>TRUE</v>
      </c>
      <c r="K50" s="2" t="str">
        <f ca="1">IF(table1[[#This Row],[Price]] &lt; (table1[[#This Row],[52Low]] * 0.1) + table1[[#This Row],[52Low]],  "TRUE", "FALSE")</f>
        <v>TRUE</v>
      </c>
      <c r="L50" s="6" cm="1">
        <f t="array" aca="1" ref="L50" ca="1">_FV(table1[[#This Row],[DataField]],"Market cap",TRUE)</f>
        <v>35914758144</v>
      </c>
    </row>
    <row r="51" spans="1:12" x14ac:dyDescent="0.2">
      <c r="A51" t="e" vm="51">
        <v>#VALUE!</v>
      </c>
      <c r="B51" t="str" cm="1">
        <f t="array" aca="1" ref="B51" ca="1">_FV(table1[[#This Row],[DataField]],"Ticker symbol",TRUE)</f>
        <v>CL</v>
      </c>
      <c r="F51" s="2" cm="1">
        <f t="array" aca="1" ref="F51" ca="1">_FV(table1[[#This Row],[DataField]],"Price")</f>
        <v>85.12</v>
      </c>
      <c r="G51" s="2" cm="1">
        <f t="array" aca="1" ref="G51" ca="1">_FV(table1[[#This Row],[DataField]],"52 week low",TRUE)</f>
        <v>74.545000000000002</v>
      </c>
      <c r="H51" s="2" cm="1">
        <f t="array" aca="1" ref="H51" ca="1">_FV(table1[[#This Row],[DataField]],"52 week high",TRUE)</f>
        <v>99.33</v>
      </c>
      <c r="I51" s="4" cm="1">
        <f t="array" aca="1" ref="I51" ca="1">_FV(table1[[#This Row],[DataField]],"P/E",TRUE)</f>
        <v>32.616199999999999</v>
      </c>
      <c r="J51" s="2" t="str">
        <f ca="1">IF(table1[[#This Row],[Price]] &lt; (table1[[#This Row],[52Low]] * 0.25) + table1[[#This Row],[52Low]],  "TRUE", "FALSE")</f>
        <v>TRUE</v>
      </c>
      <c r="K51" s="2" t="str">
        <f ca="1">IF(table1[[#This Row],[Price]] &lt; (table1[[#This Row],[52Low]] * 0.1) + table1[[#This Row],[52Low]],  "TRUE", "FALSE")</f>
        <v>FALSE</v>
      </c>
      <c r="L51" s="6" cm="1">
        <f t="array" aca="1" ref="L51" ca="1">_FV(table1[[#This Row],[DataField]],"Market cap",TRUE)</f>
        <v>68227765760</v>
      </c>
    </row>
    <row r="52" spans="1:12" x14ac:dyDescent="0.2">
      <c r="A52" t="e" vm="52">
        <v>#VALUE!</v>
      </c>
      <c r="B52" t="str" cm="1">
        <f t="array" aca="1" ref="B52" ca="1">_FV(table1[[#This Row],[DataField]],"Ticker symbol",TRUE)</f>
        <v>CNI</v>
      </c>
      <c r="F52" s="2" cm="1">
        <f t="array" aca="1" ref="F52" ca="1">_FV(table1[[#This Row],[DataField]],"Price")</f>
        <v>98.41</v>
      </c>
      <c r="G52" s="2" cm="1">
        <f t="array" aca="1" ref="G52" ca="1">_FV(table1[[#This Row],[DataField]],"52 week low",TRUE)</f>
        <v>90.74</v>
      </c>
      <c r="H52" s="2" cm="1">
        <f t="array" aca="1" ref="H52" ca="1">_FV(table1[[#This Row],[DataField]],"52 week high",TRUE)</f>
        <v>113.08499999999999</v>
      </c>
      <c r="I52" s="4" cm="1">
        <f t="array" aca="1" ref="I52" ca="1">_FV(table1[[#This Row],[DataField]],"P/E",TRUE)</f>
        <v>17.846699999999998</v>
      </c>
      <c r="J52" s="2" t="str">
        <f ca="1">IF(table1[[#This Row],[Price]] &lt; (table1[[#This Row],[52Low]] * 0.25) + table1[[#This Row],[52Low]],  "TRUE", "FALSE")</f>
        <v>TRUE</v>
      </c>
      <c r="K52" s="2" t="str">
        <f ca="1">IF(table1[[#This Row],[Price]] &lt; (table1[[#This Row],[52Low]] * 0.1) + table1[[#This Row],[52Low]],  "TRUE", "FALSE")</f>
        <v>TRUE</v>
      </c>
      <c r="L52" s="6" cm="1">
        <f t="array" aca="1" ref="L52" ca="1">_FV(table1[[#This Row],[DataField]],"Market cap",TRUE)</f>
        <v>64942908000</v>
      </c>
    </row>
    <row r="53" spans="1:12" x14ac:dyDescent="0.2">
      <c r="A53" t="e" vm="53">
        <v>#VALUE!</v>
      </c>
      <c r="B53" t="str" cm="1">
        <f t="array" aca="1" ref="B53" ca="1">_FV(table1[[#This Row],[DataField]],"Ticker symbol",TRUE)</f>
        <v>COST</v>
      </c>
      <c r="F53" s="2" cm="1">
        <f t="array" aca="1" ref="F53" ca="1">_FV(table1[[#This Row],[DataField]],"Price")</f>
        <v>972.33</v>
      </c>
      <c r="G53" s="2" cm="1">
        <f t="array" aca="1" ref="G53" ca="1">_FV(table1[[#This Row],[DataField]],"52 week low",TRUE)</f>
        <v>844.06</v>
      </c>
      <c r="H53" s="2" cm="1">
        <f t="array" aca="1" ref="H53" ca="1">_FV(table1[[#This Row],[DataField]],"52 week high",TRUE)</f>
        <v>1067.08</v>
      </c>
      <c r="I53" s="4" cm="1">
        <f t="array" aca="1" ref="I53" ca="1">_FV(table1[[#This Row],[DataField]],"P/E",TRUE)</f>
        <v>52.084800000000001</v>
      </c>
      <c r="J53" s="2" t="str">
        <f ca="1">IF(table1[[#This Row],[Price]] &lt; (table1[[#This Row],[52Low]] * 0.25) + table1[[#This Row],[52Low]],  "TRUE", "FALSE")</f>
        <v>TRUE</v>
      </c>
      <c r="K53" s="2" t="str">
        <f ca="1">IF(table1[[#This Row],[Price]] &lt; (table1[[#This Row],[52Low]] * 0.1) + table1[[#This Row],[52Low]],  "TRUE", "FALSE")</f>
        <v>FALSE</v>
      </c>
      <c r="L53" s="6" cm="1">
        <f t="array" aca="1" ref="L53" ca="1">_FV(table1[[#This Row],[DataField]],"Market cap",TRUE)</f>
        <v>431376635325</v>
      </c>
    </row>
    <row r="54" spans="1:12" x14ac:dyDescent="0.2">
      <c r="A54" t="e" vm="54">
        <v>#VALUE!</v>
      </c>
      <c r="B54" t="str" cm="1">
        <f t="array" aca="1" ref="B54" ca="1">_FV(table1[[#This Row],[DataField]],"Ticker symbol",TRUE)</f>
        <v>CPB</v>
      </c>
      <c r="F54" s="2" cm="1">
        <f t="array" aca="1" ref="F54" ca="1">_FV(table1[[#This Row],[DataField]],"Price")</f>
        <v>21.07</v>
      </c>
      <c r="G54" s="2" cm="1">
        <f t="array" aca="1" ref="G54" ca="1">_FV(table1[[#This Row],[DataField]],"52 week low",TRUE)</f>
        <v>20.8</v>
      </c>
      <c r="H54" s="2" cm="1">
        <f t="array" aca="1" ref="H54" ca="1">_FV(table1[[#This Row],[DataField]],"52 week high",TRUE)</f>
        <v>40.590000000000003</v>
      </c>
      <c r="I54" s="4" cm="1">
        <f t="array" aca="1" ref="I54" ca="1">_FV(table1[[#This Row],[DataField]],"P/E",TRUE)</f>
        <v>10.909700000000001</v>
      </c>
      <c r="J54" s="2" t="str">
        <f ca="1">IF(table1[[#This Row],[Price]] &lt; (table1[[#This Row],[52Low]] * 0.25) + table1[[#This Row],[52Low]],  "TRUE", "FALSE")</f>
        <v>TRUE</v>
      </c>
      <c r="K54" s="2" t="str">
        <f ca="1">IF(table1[[#This Row],[Price]] &lt; (table1[[#This Row],[52Low]] * 0.1) + table1[[#This Row],[52Low]],  "TRUE", "FALSE")</f>
        <v>TRUE</v>
      </c>
      <c r="L54" s="6" cm="1">
        <f t="array" aca="1" ref="L54" ca="1">_FV(table1[[#This Row],[DataField]],"Market cap",TRUE)</f>
        <v>6281946755</v>
      </c>
    </row>
    <row r="55" spans="1:12" x14ac:dyDescent="0.2">
      <c r="A55" t="e" vm="55">
        <v>#VALUE!</v>
      </c>
      <c r="B55" t="str" cm="1">
        <f t="array" aca="1" ref="B55" ca="1">_FV(table1[[#This Row],[DataField]],"Ticker symbol",TRUE)</f>
        <v>D</v>
      </c>
      <c r="F55" s="2" cm="1">
        <f t="array" aca="1" ref="F55" ca="1">_FV(table1[[#This Row],[DataField]],"Price")</f>
        <v>59.38</v>
      </c>
      <c r="G55" s="2" cm="1">
        <f t="array" aca="1" ref="G55" ca="1">_FV(table1[[#This Row],[DataField]],"52 week low",TRUE)</f>
        <v>48.07</v>
      </c>
      <c r="H55" s="2" cm="1">
        <f t="array" aca="1" ref="H55" ca="1">_FV(table1[[#This Row],[DataField]],"52 week high",TRUE)</f>
        <v>67.569900000000004</v>
      </c>
      <c r="I55" s="4" cm="1">
        <f t="array" aca="1" ref="I55" ca="1">_FV(table1[[#This Row],[DataField]],"P/E",TRUE)</f>
        <v>17.1996</v>
      </c>
      <c r="J55" s="2" t="str">
        <f ca="1">IF(table1[[#This Row],[Price]] &lt; (table1[[#This Row],[52Low]] * 0.25) + table1[[#This Row],[52Low]],  "TRUE", "FALSE")</f>
        <v>TRUE</v>
      </c>
      <c r="K55" s="2" t="str">
        <f ca="1">IF(table1[[#This Row],[Price]] &lt; (table1[[#This Row],[52Low]] * 0.1) + table1[[#This Row],[52Low]],  "TRUE", "FALSE")</f>
        <v>FALSE</v>
      </c>
      <c r="L55" s="6" cm="1">
        <f t="array" aca="1" ref="L55" ca="1">_FV(table1[[#This Row],[DataField]],"Market cap",TRUE)</f>
        <v>52182288928</v>
      </c>
    </row>
    <row r="56" spans="1:12" x14ac:dyDescent="0.2">
      <c r="A56" t="e" vm="56">
        <v>#VALUE!</v>
      </c>
      <c r="B56" t="str" cm="1">
        <f t="array" aca="1" ref="B56" ca="1">_FV(table1[[#This Row],[DataField]],"Ticker symbol",TRUE)</f>
        <v>DE</v>
      </c>
      <c r="F56" s="2" cm="1">
        <f t="array" aca="1" ref="F56" ca="1">_FV(table1[[#This Row],[DataField]],"Price")</f>
        <v>559.73</v>
      </c>
      <c r="G56" s="2" cm="1">
        <f t="array" aca="1" ref="G56" ca="1">_FV(table1[[#This Row],[DataField]],"52 week low",TRUE)</f>
        <v>404.42</v>
      </c>
      <c r="H56" s="2" cm="1">
        <f t="array" aca="1" ref="H56" ca="1">_FV(table1[[#This Row],[DataField]],"52 week high",TRUE)</f>
        <v>674.18989999999997</v>
      </c>
      <c r="I56" s="4" cm="1">
        <f t="array" aca="1" ref="I56" ca="1">_FV(table1[[#This Row],[DataField]],"P/E",TRUE)</f>
        <v>31.557700000000001</v>
      </c>
      <c r="J56" s="2" t="str">
        <f ca="1">IF(table1[[#This Row],[Price]] &lt; (table1[[#This Row],[52Low]] * 0.25) + table1[[#This Row],[52Low]],  "TRUE", "FALSE")</f>
        <v>FALSE</v>
      </c>
      <c r="K56" s="2" t="str">
        <f ca="1">IF(table1[[#This Row],[Price]] &lt; (table1[[#This Row],[52Low]] * 0.1) + table1[[#This Row],[52Low]],  "TRUE", "FALSE")</f>
        <v>FALSE</v>
      </c>
      <c r="L56" s="6" cm="1">
        <f t="array" aca="1" ref="L56" ca="1">_FV(table1[[#This Row],[DataField]],"Market cap",TRUE)</f>
        <v>151187159029</v>
      </c>
    </row>
    <row r="57" spans="1:12" x14ac:dyDescent="0.2">
      <c r="A57" t="e" vm="57">
        <v>#VALUE!</v>
      </c>
      <c r="B57" t="str" cm="1">
        <f t="array" aca="1" ref="B57" ca="1">_FV(table1[[#This Row],[DataField]],"Ticker symbol",TRUE)</f>
        <v>DEO</v>
      </c>
      <c r="F57" s="2" cm="1">
        <f t="array" aca="1" ref="F57" ca="1">_FV(table1[[#This Row],[DataField]],"Price")</f>
        <v>73.87</v>
      </c>
      <c r="G57" s="2" cm="1">
        <f t="array" aca="1" ref="G57" ca="1">_FV(table1[[#This Row],[DataField]],"52 week low",TRUE)</f>
        <v>73.64</v>
      </c>
      <c r="H57" s="2" cm="1">
        <f t="array" aca="1" ref="H57" ca="1">_FV(table1[[#This Row],[DataField]],"52 week high",TRUE)</f>
        <v>116.69</v>
      </c>
      <c r="I57" s="4" cm="1">
        <f t="array" aca="1" ref="I57" ca="1">_FV(table1[[#This Row],[DataField]],"P/E",TRUE)</f>
        <v>17.063600000000001</v>
      </c>
      <c r="J57" s="2" t="str">
        <f ca="1">IF(table1[[#This Row],[Price]] &lt; (table1[[#This Row],[52Low]] * 0.25) + table1[[#This Row],[52Low]],  "TRUE", "FALSE")</f>
        <v>TRUE</v>
      </c>
      <c r="K57" s="2" t="str">
        <f ca="1">IF(table1[[#This Row],[Price]] &lt; (table1[[#This Row],[52Low]] * 0.1) + table1[[#This Row],[52Low]],  "TRUE", "FALSE")</f>
        <v>TRUE</v>
      </c>
      <c r="L57" s="6" cm="1">
        <f t="array" aca="1" ref="L57" ca="1">_FV(table1[[#This Row],[DataField]],"Market cap",TRUE)</f>
        <v>42803539700</v>
      </c>
    </row>
    <row r="58" spans="1:12" x14ac:dyDescent="0.2">
      <c r="A58" t="e" vm="58">
        <v>#VALUE!</v>
      </c>
      <c r="B58" t="str" cm="1">
        <f t="array" aca="1" ref="B58" ca="1">_FV(table1[[#This Row],[DataField]],"Ticker symbol",TRUE)</f>
        <v>DLR</v>
      </c>
      <c r="F58" s="2" cm="1">
        <f t="array" aca="1" ref="F58" ca="1">_FV(table1[[#This Row],[DataField]],"Price")</f>
        <v>173.3</v>
      </c>
      <c r="G58" s="2" cm="1">
        <f t="array" aca="1" ref="G58" ca="1">_FV(table1[[#This Row],[DataField]],"52 week low",TRUE)</f>
        <v>129.94999999999999</v>
      </c>
      <c r="H58" s="2" cm="1">
        <f t="array" aca="1" ref="H58" ca="1">_FV(table1[[#This Row],[DataField]],"52 week high",TRUE)</f>
        <v>184.79</v>
      </c>
      <c r="I58" s="4" cm="1">
        <f t="array" aca="1" ref="I58" ca="1">_FV(table1[[#This Row],[DataField]],"P/E",TRUE)</f>
        <v>48.407800000000002</v>
      </c>
      <c r="J58" s="2" t="str">
        <f ca="1">IF(table1[[#This Row],[Price]] &lt; (table1[[#This Row],[52Low]] * 0.25) + table1[[#This Row],[52Low]],  "TRUE", "FALSE")</f>
        <v>FALSE</v>
      </c>
      <c r="K58" s="2" t="str">
        <f ca="1">IF(table1[[#This Row],[Price]] &lt; (table1[[#This Row],[52Low]] * 0.1) + table1[[#This Row],[52Low]],  "TRUE", "FALSE")</f>
        <v>FALSE</v>
      </c>
      <c r="L58" s="6" cm="1">
        <f t="array" aca="1" ref="L58" ca="1">_FV(table1[[#This Row],[DataField]],"Market cap",TRUE)</f>
        <v>59548548820</v>
      </c>
    </row>
    <row r="59" spans="1:12" x14ac:dyDescent="0.2">
      <c r="A59" t="e" vm="59">
        <v>#VALUE!</v>
      </c>
      <c r="B59" t="str" cm="1">
        <f t="array" aca="1" ref="B59" ca="1">_FV(table1[[#This Row],[DataField]],"Ticker symbol",TRUE)</f>
        <v>DOW</v>
      </c>
      <c r="F59" s="2" cm="1">
        <f t="array" aca="1" ref="F59" ca="1">_FV(table1[[#This Row],[DataField]],"Price")</f>
        <v>36.65</v>
      </c>
      <c r="G59" s="2" cm="1">
        <f t="array" aca="1" ref="G59" ca="1">_FV(table1[[#This Row],[DataField]],"52 week low",TRUE)</f>
        <v>20.401900000000001</v>
      </c>
      <c r="H59" s="2" cm="1">
        <f t="array" aca="1" ref="H59" ca="1">_FV(table1[[#This Row],[DataField]],"52 week high",TRUE)</f>
        <v>38.58</v>
      </c>
      <c r="I59" s="4" t="e" cm="1" vm="15">
        <f t="array" ref="I59">_FV(table1[[#This Row],[DataField]],"P/E",TRUE)</f>
        <v>#VALUE!</v>
      </c>
      <c r="J59" s="2" t="str">
        <f ca="1">IF(table1[[#This Row],[Price]] &lt; (table1[[#This Row],[52Low]] * 0.25) + table1[[#This Row],[52Low]],  "TRUE", "FALSE")</f>
        <v>FALSE</v>
      </c>
      <c r="K59" s="2" t="str">
        <f ca="1">IF(table1[[#This Row],[Price]] &lt; (table1[[#This Row],[52Low]] * 0.1) + table1[[#This Row],[52Low]],  "TRUE", "FALSE")</f>
        <v>FALSE</v>
      </c>
      <c r="L59" s="6" cm="1">
        <f t="array" aca="1" ref="L59" ca="1">_FV(table1[[#This Row],[DataField]],"Market cap",TRUE)</f>
        <v>26374051010</v>
      </c>
    </row>
    <row r="60" spans="1:12" x14ac:dyDescent="0.2">
      <c r="A60" t="e" vm="60">
        <v>#VALUE!</v>
      </c>
      <c r="B60" t="str" cm="1">
        <f t="array" aca="1" ref="B60" ca="1">_FV(table1[[#This Row],[DataField]],"Ticker symbol",TRUE)</f>
        <v>DUK</v>
      </c>
      <c r="F60" s="2" cm="1">
        <f t="array" aca="1" ref="F60" ca="1">_FV(table1[[#This Row],[DataField]],"Price")</f>
        <v>126.81</v>
      </c>
      <c r="G60" s="2" cm="1">
        <f t="array" aca="1" ref="G60" ca="1">_FV(table1[[#This Row],[DataField]],"52 week low",TRUE)</f>
        <v>111.22</v>
      </c>
      <c r="H60" s="2" cm="1">
        <f t="array" aca="1" ref="H60" ca="1">_FV(table1[[#This Row],[DataField]],"52 week high",TRUE)</f>
        <v>134.49</v>
      </c>
      <c r="I60" s="4" cm="1">
        <f t="array" aca="1" ref="I60" ca="1">_FV(table1[[#This Row],[DataField]],"P/E",TRUE)</f>
        <v>20.060400000000001</v>
      </c>
      <c r="J60" s="2" t="str">
        <f ca="1">IF(table1[[#This Row],[Price]] &lt; (table1[[#This Row],[52Low]] * 0.25) + table1[[#This Row],[52Low]],  "TRUE", "FALSE")</f>
        <v>TRUE</v>
      </c>
      <c r="K60" s="2" t="str">
        <f ca="1">IF(table1[[#This Row],[Price]] &lt; (table1[[#This Row],[52Low]] * 0.1) + table1[[#This Row],[52Low]],  "TRUE", "FALSE")</f>
        <v>FALSE</v>
      </c>
      <c r="L60" s="6" cm="1">
        <f t="array" aca="1" ref="L60" ca="1">_FV(table1[[#This Row],[DataField]],"Market cap",TRUE)</f>
        <v>98616446829</v>
      </c>
    </row>
    <row r="61" spans="1:12" x14ac:dyDescent="0.2">
      <c r="A61" t="e" vm="61">
        <v>#VALUE!</v>
      </c>
      <c r="B61" t="str" cm="1">
        <f t="array" aca="1" ref="B61" ca="1">_FV(table1[[#This Row],[DataField]],"Ticker symbol",TRUE)</f>
        <v>ED</v>
      </c>
      <c r="F61" s="2" cm="1">
        <f t="array" aca="1" ref="F61" ca="1">_FV(table1[[#This Row],[DataField]],"Price")</f>
        <v>109.45</v>
      </c>
      <c r="G61" s="2" cm="1">
        <f t="array" aca="1" ref="G61" ca="1">_FV(table1[[#This Row],[DataField]],"52 week low",TRUE)</f>
        <v>94.96</v>
      </c>
      <c r="H61" s="2" cm="1">
        <f t="array" aca="1" ref="H61" ca="1">_FV(table1[[#This Row],[DataField]],"52 week high",TRUE)</f>
        <v>116.23</v>
      </c>
      <c r="I61" s="4" cm="1">
        <f t="array" aca="1" ref="I61" ca="1">_FV(table1[[#This Row],[DataField]],"P/E",TRUE)</f>
        <v>19.756699999999999</v>
      </c>
      <c r="J61" s="2" t="str">
        <f ca="1">IF(table1[[#This Row],[Price]] &lt; (table1[[#This Row],[52Low]] * 0.25) + table1[[#This Row],[52Low]],  "TRUE", "FALSE")</f>
        <v>TRUE</v>
      </c>
      <c r="K61" s="2" t="str">
        <f ca="1">IF(table1[[#This Row],[Price]] &lt; (table1[[#This Row],[52Low]] * 0.1) + table1[[#This Row],[52Low]],  "TRUE", "FALSE")</f>
        <v>FALSE</v>
      </c>
      <c r="L61" s="6" cm="1">
        <f t="array" aca="1" ref="L61" ca="1">_FV(table1[[#This Row],[DataField]],"Market cap",TRUE)</f>
        <v>39544580515</v>
      </c>
    </row>
    <row r="62" spans="1:12" x14ac:dyDescent="0.2">
      <c r="A62" t="e" vm="62">
        <v>#VALUE!</v>
      </c>
      <c r="B62" t="str" cm="1">
        <f t="array" aca="1" ref="B62" ca="1">_FV(table1[[#This Row],[DataField]],"Ticker symbol",TRUE)</f>
        <v>EOG</v>
      </c>
      <c r="F62" s="2" cm="1">
        <f t="array" aca="1" ref="F62" ca="1">_FV(table1[[#This Row],[DataField]],"Price")</f>
        <v>138.72999999999999</v>
      </c>
      <c r="G62" s="2" cm="1">
        <f t="array" aca="1" ref="G62" ca="1">_FV(table1[[#This Row],[DataField]],"52 week low",TRUE)</f>
        <v>101.5936</v>
      </c>
      <c r="H62" s="2" cm="1">
        <f t="array" aca="1" ref="H62" ca="1">_FV(table1[[#This Row],[DataField]],"52 week high",TRUE)</f>
        <v>140.91990000000001</v>
      </c>
      <c r="I62" s="4" cm="1">
        <f t="array" aca="1" ref="I62" ca="1">_FV(table1[[#This Row],[DataField]],"P/E",TRUE)</f>
        <v>15.2265</v>
      </c>
      <c r="J62" s="2" t="str">
        <f ca="1">IF(table1[[#This Row],[Price]] &lt; (table1[[#This Row],[52Low]] * 0.25) + table1[[#This Row],[52Low]],  "TRUE", "FALSE")</f>
        <v>FALSE</v>
      </c>
      <c r="K62" s="2" t="str">
        <f ca="1">IF(table1[[#This Row],[Price]] &lt; (table1[[#This Row],[52Low]] * 0.1) + table1[[#This Row],[52Low]],  "TRUE", "FALSE")</f>
        <v>FALSE</v>
      </c>
      <c r="L62" s="6" cm="1">
        <f t="array" aca="1" ref="L62" ca="1">_FV(table1[[#This Row],[DataField]],"Market cap",TRUE)</f>
        <v>74427465795</v>
      </c>
    </row>
    <row r="63" spans="1:12" x14ac:dyDescent="0.2">
      <c r="A63" t="e" vm="63">
        <v>#VALUE!</v>
      </c>
      <c r="B63" t="str" cm="1">
        <f t="array" aca="1" ref="B63" ca="1">_FV(table1[[#This Row],[DataField]],"Ticker symbol",TRUE)</f>
        <v>EQIX</v>
      </c>
      <c r="F63" s="2" cm="1">
        <f t="array" aca="1" ref="F63" ca="1">_FV(table1[[#This Row],[DataField]],"Price")</f>
        <v>959.16</v>
      </c>
      <c r="G63" s="2" cm="1">
        <f t="array" aca="1" ref="G63" ca="1">_FV(table1[[#This Row],[DataField]],"52 week low",TRUE)</f>
        <v>701.41</v>
      </c>
      <c r="H63" s="2" cm="1">
        <f t="array" aca="1" ref="H63" ca="1">_FV(table1[[#This Row],[DataField]],"52 week high",TRUE)</f>
        <v>992.9</v>
      </c>
      <c r="I63" s="4" cm="1">
        <f t="array" aca="1" ref="I63" ca="1">_FV(table1[[#This Row],[DataField]],"P/E",TRUE)</f>
        <v>69.704400000000007</v>
      </c>
      <c r="J63" s="2" t="str">
        <f ca="1">IF(table1[[#This Row],[Price]] &lt; (table1[[#This Row],[52Low]] * 0.25) + table1[[#This Row],[52Low]],  "TRUE", "FALSE")</f>
        <v>FALSE</v>
      </c>
      <c r="K63" s="2" t="str">
        <f ca="1">IF(table1[[#This Row],[Price]] &lt; (table1[[#This Row],[52Low]] * 0.1) + table1[[#This Row],[52Low]],  "TRUE", "FALSE")</f>
        <v>FALSE</v>
      </c>
      <c r="L63" s="6" cm="1">
        <f t="array" aca="1" ref="L63" ca="1">_FV(table1[[#This Row],[DataField]],"Market cap",TRUE)</f>
        <v>94242198658</v>
      </c>
    </row>
    <row r="64" spans="1:12" x14ac:dyDescent="0.2">
      <c r="A64" t="e" vm="64">
        <v>#VALUE!</v>
      </c>
      <c r="B64" t="str" cm="1">
        <f t="array" aca="1" ref="B64" ca="1">_FV(table1[[#This Row],[DataField]],"Ticker symbol",TRUE)</f>
        <v>FAST</v>
      </c>
      <c r="F64" s="2" cm="1">
        <f t="array" aca="1" ref="F64" ca="1">_FV(table1[[#This Row],[DataField]],"Price")</f>
        <v>43.76</v>
      </c>
      <c r="G64" s="2" cm="1">
        <f t="array" aca="1" ref="G64" ca="1">_FV(table1[[#This Row],[DataField]],"52 week low",TRUE)</f>
        <v>35.305</v>
      </c>
      <c r="H64" s="2" cm="1">
        <f t="array" aca="1" ref="H64" ca="1">_FV(table1[[#This Row],[DataField]],"52 week high",TRUE)</f>
        <v>50.63</v>
      </c>
      <c r="I64" s="4" cm="1">
        <f t="array" aca="1" ref="I64" ca="1">_FV(table1[[#This Row],[DataField]],"P/E",TRUE)</f>
        <v>39.996299999999998</v>
      </c>
      <c r="J64" s="2" t="str">
        <f ca="1">IF(table1[[#This Row],[Price]] &lt; (table1[[#This Row],[52Low]] * 0.25) + table1[[#This Row],[52Low]],  "TRUE", "FALSE")</f>
        <v>TRUE</v>
      </c>
      <c r="K64" s="2" t="str">
        <f ca="1">IF(table1[[#This Row],[Price]] &lt; (table1[[#This Row],[52Low]] * 0.1) + table1[[#This Row],[52Low]],  "TRUE", "FALSE")</f>
        <v>FALSE</v>
      </c>
      <c r="L64" s="6" cm="1">
        <f t="array" aca="1" ref="L64" ca="1">_FV(table1[[#This Row],[DataField]],"Market cap",TRUE)</f>
        <v>50250833280</v>
      </c>
    </row>
    <row r="65" spans="1:12" x14ac:dyDescent="0.2">
      <c r="A65" t="e" vm="65">
        <v>#VALUE!</v>
      </c>
      <c r="B65" t="str" cm="1">
        <f t="array" aca="1" ref="B65" ca="1">_FV(table1[[#This Row],[DataField]],"Ticker symbol",TRUE)</f>
        <v>FDX</v>
      </c>
      <c r="F65" s="2" cm="1">
        <f t="array" aca="1" ref="F65" ca="1">_FV(table1[[#This Row],[DataField]],"Price")</f>
        <v>358.85</v>
      </c>
      <c r="G65" s="2" cm="1">
        <f t="array" aca="1" ref="G65" ca="1">_FV(table1[[#This Row],[DataField]],"52 week low",TRUE)</f>
        <v>194.29499999999999</v>
      </c>
      <c r="H65" s="2" cm="1">
        <f t="array" aca="1" ref="H65" ca="1">_FV(table1[[#This Row],[DataField]],"52 week high",TRUE)</f>
        <v>392.86</v>
      </c>
      <c r="I65" s="4" cm="1">
        <f t="array" aca="1" ref="I65" ca="1">_FV(table1[[#This Row],[DataField]],"P/E",TRUE)</f>
        <v>19.658300000000001</v>
      </c>
      <c r="J65" s="2" t="str">
        <f ca="1">IF(table1[[#This Row],[Price]] &lt; (table1[[#This Row],[52Low]] * 0.25) + table1[[#This Row],[52Low]],  "TRUE", "FALSE")</f>
        <v>FALSE</v>
      </c>
      <c r="K65" s="2" t="str">
        <f ca="1">IF(table1[[#This Row],[Price]] &lt; (table1[[#This Row],[52Low]] * 0.1) + table1[[#This Row],[52Low]],  "TRUE", "FALSE")</f>
        <v>FALSE</v>
      </c>
      <c r="L65" s="6" cm="1">
        <f t="array" aca="1" ref="L65" ca="1">_FV(table1[[#This Row],[DataField]],"Market cap",TRUE)</f>
        <v>85624050180</v>
      </c>
    </row>
    <row r="66" spans="1:12" x14ac:dyDescent="0.2">
      <c r="A66" t="e" vm="66">
        <v>#VALUE!</v>
      </c>
      <c r="B66" t="str" cm="1">
        <f t="array" aca="1" ref="B66" ca="1">_FV(table1[[#This Row],[DataField]],"Ticker symbol",TRUE)</f>
        <v>FLO</v>
      </c>
      <c r="F66" s="2" cm="1">
        <f t="array" aca="1" ref="F66" ca="1">_FV(table1[[#This Row],[DataField]],"Price")</f>
        <v>8.18</v>
      </c>
      <c r="G66" s="2" cm="1">
        <f t="array" aca="1" ref="G66" ca="1">_FV(table1[[#This Row],[DataField]],"52 week low",TRUE)</f>
        <v>8.17</v>
      </c>
      <c r="H66" s="2" cm="1">
        <f t="array" aca="1" ref="H66" ca="1">_FV(table1[[#This Row],[DataField]],"52 week high",TRUE)</f>
        <v>20.23</v>
      </c>
      <c r="I66" s="4" cm="1">
        <f t="array" aca="1" ref="I66" ca="1">_FV(table1[[#This Row],[DataField]],"P/E",TRUE)</f>
        <v>21.179099999999998</v>
      </c>
      <c r="J66" s="2" t="str">
        <f ca="1">IF(table1[[#This Row],[Price]] &lt; (table1[[#This Row],[52Low]] * 0.25) + table1[[#This Row],[52Low]],  "TRUE", "FALSE")</f>
        <v>TRUE</v>
      </c>
      <c r="K66" s="2" t="str">
        <f ca="1">IF(table1[[#This Row],[Price]] &lt; (table1[[#This Row],[52Low]] * 0.1) + table1[[#This Row],[52Low]],  "TRUE", "FALSE")</f>
        <v>TRUE</v>
      </c>
      <c r="L66" s="6" cm="1">
        <f t="array" aca="1" ref="L66" ca="1">_FV(table1[[#This Row],[DataField]],"Market cap",TRUE)</f>
        <v>1730514174</v>
      </c>
    </row>
    <row r="67" spans="1:12" x14ac:dyDescent="0.2">
      <c r="A67" t="e" vm="67">
        <v>#VALUE!</v>
      </c>
      <c r="B67" t="str" cm="1">
        <f t="array" aca="1" ref="B67" ca="1">_FV(table1[[#This Row],[DataField]],"Ticker symbol",TRUE)</f>
        <v>GIS</v>
      </c>
      <c r="F67" s="2" cm="1">
        <f t="array" aca="1" ref="F67" ca="1">_FV(table1[[#This Row],[DataField]],"Price")</f>
        <v>37.01</v>
      </c>
      <c r="G67" s="2" cm="1">
        <f t="array" aca="1" ref="G67" ca="1">_FV(table1[[#This Row],[DataField]],"52 week low",TRUE)</f>
        <v>37.01</v>
      </c>
      <c r="H67" s="2" cm="1">
        <f t="array" aca="1" ref="H67" ca="1">_FV(table1[[#This Row],[DataField]],"52 week high",TRUE)</f>
        <v>62.61</v>
      </c>
      <c r="I67" s="4" cm="1">
        <f t="array" aca="1" ref="I67" ca="1">_FV(table1[[#This Row],[DataField]],"P/E",TRUE)</f>
        <v>8.0452999999999992</v>
      </c>
      <c r="J67" s="2" t="str">
        <f ca="1">IF(table1[[#This Row],[Price]] &lt; (table1[[#This Row],[52Low]] * 0.25) + table1[[#This Row],[52Low]],  "TRUE", "FALSE")</f>
        <v>TRUE</v>
      </c>
      <c r="K67" s="2" t="str">
        <f ca="1">IF(table1[[#This Row],[Price]] &lt; (table1[[#This Row],[52Low]] * 0.1) + table1[[#This Row],[52Low]],  "TRUE", "FALSE")</f>
        <v>TRUE</v>
      </c>
      <c r="L67" s="6" cm="1">
        <f t="array" aca="1" ref="L67" ca="1">_FV(table1[[#This Row],[DataField]],"Market cap",TRUE)</f>
        <v>19751541212</v>
      </c>
    </row>
    <row r="68" spans="1:12" x14ac:dyDescent="0.2">
      <c r="A68" t="e" vm="68">
        <v>#VALUE!</v>
      </c>
      <c r="B68" t="str" cm="1">
        <f t="array" aca="1" ref="B68" ca="1">_FV(table1[[#This Row],[DataField]],"Ticker symbol",TRUE)</f>
        <v>HRL</v>
      </c>
      <c r="F68" s="2" cm="1">
        <f t="array" aca="1" ref="F68" ca="1">_FV(table1[[#This Row],[DataField]],"Price")</f>
        <v>22.14</v>
      </c>
      <c r="G68" s="2" cm="1">
        <f t="array" aca="1" ref="G68" ca="1">_FV(table1[[#This Row],[DataField]],"52 week low",TRUE)</f>
        <v>21.03</v>
      </c>
      <c r="H68" s="2" cm="1">
        <f t="array" aca="1" ref="H68" ca="1">_FV(table1[[#This Row],[DataField]],"52 week high",TRUE)</f>
        <v>32.07</v>
      </c>
      <c r="I68" s="4" cm="1">
        <f t="array" aca="1" ref="I68" ca="1">_FV(table1[[#This Row],[DataField]],"P/E",TRUE)</f>
        <v>24.912800000000001</v>
      </c>
      <c r="J68" s="2" t="str">
        <f ca="1">IF(table1[[#This Row],[Price]] &lt; (table1[[#This Row],[52Low]] * 0.25) + table1[[#This Row],[52Low]],  "TRUE", "FALSE")</f>
        <v>TRUE</v>
      </c>
      <c r="K68" s="2" t="str">
        <f ca="1">IF(table1[[#This Row],[Price]] &lt; (table1[[#This Row],[52Low]] * 0.1) + table1[[#This Row],[52Low]],  "TRUE", "FALSE")</f>
        <v>TRUE</v>
      </c>
      <c r="L68" s="6" cm="1">
        <f t="array" aca="1" ref="L68" ca="1">_FV(table1[[#This Row],[DataField]],"Market cap",TRUE)</f>
        <v>12183292188</v>
      </c>
    </row>
    <row r="69" spans="1:12" x14ac:dyDescent="0.2">
      <c r="A69" t="e" vm="69">
        <v>#VALUE!</v>
      </c>
      <c r="B69" t="str" cm="1">
        <f t="array" aca="1" ref="B69" ca="1">_FV(table1[[#This Row],[DataField]],"Ticker symbol",TRUE)</f>
        <v>INTC</v>
      </c>
      <c r="F69" s="2" cm="1">
        <f t="array" aca="1" ref="F69" ca="1">_FV(table1[[#This Row],[DataField]],"Price")</f>
        <v>43.87</v>
      </c>
      <c r="G69" s="2" cm="1">
        <f t="array" aca="1" ref="G69" ca="1">_FV(table1[[#This Row],[DataField]],"52 week low",TRUE)</f>
        <v>17.664999999999999</v>
      </c>
      <c r="H69" s="2" cm="1">
        <f t="array" aca="1" ref="H69" ca="1">_FV(table1[[#This Row],[DataField]],"52 week high",TRUE)</f>
        <v>54.6</v>
      </c>
      <c r="I69" s="4" cm="1">
        <f t="array" aca="1" ref="I69" ca="1">_FV(table1[[#This Row],[DataField]],"P/E",TRUE)</f>
        <v>0</v>
      </c>
      <c r="J69" s="2" t="str">
        <f ca="1">IF(table1[[#This Row],[Price]] &lt; (table1[[#This Row],[52Low]] * 0.25) + table1[[#This Row],[52Low]],  "TRUE", "FALSE")</f>
        <v>FALSE</v>
      </c>
      <c r="K69" s="2" t="str">
        <f ca="1">IF(table1[[#This Row],[Price]] &lt; (table1[[#This Row],[52Low]] * 0.1) + table1[[#This Row],[52Low]],  "TRUE", "FALSE")</f>
        <v>FALSE</v>
      </c>
      <c r="L69" s="6" cm="1">
        <f t="array" aca="1" ref="L69" ca="1">_FV(table1[[#This Row],[DataField]],"Market cap",TRUE)</f>
        <v>219130650000</v>
      </c>
    </row>
    <row r="70" spans="1:12" x14ac:dyDescent="0.2">
      <c r="A70" t="e" vm="70">
        <v>#VALUE!</v>
      </c>
      <c r="B70" t="str" cm="1">
        <f t="array" aca="1" ref="B70" ca="1">_FV(table1[[#This Row],[DataField]],"Ticker symbol",TRUE)</f>
        <v>INTU</v>
      </c>
      <c r="F70" s="2" cm="1">
        <f t="array" aca="1" ref="F70" ca="1">_FV(table1[[#This Row],[DataField]],"Price")</f>
        <v>455.56</v>
      </c>
      <c r="G70" s="2" cm="1">
        <f t="array" aca="1" ref="G70" ca="1">_FV(table1[[#This Row],[DataField]],"52 week low",TRUE)</f>
        <v>349</v>
      </c>
      <c r="H70" s="2" cm="1">
        <f t="array" aca="1" ref="H70" ca="1">_FV(table1[[#This Row],[DataField]],"52 week high",TRUE)</f>
        <v>813.7</v>
      </c>
      <c r="I70" s="4" cm="1">
        <f t="array" aca="1" ref="I70" ca="1">_FV(table1[[#This Row],[DataField]],"P/E",TRUE)</f>
        <v>29.6127</v>
      </c>
      <c r="J70" s="2" t="str">
        <f ca="1">IF(table1[[#This Row],[Price]] &lt; (table1[[#This Row],[52Low]] * 0.25) + table1[[#This Row],[52Low]],  "TRUE", "FALSE")</f>
        <v>FALSE</v>
      </c>
      <c r="K70" s="2" t="str">
        <f ca="1">IF(table1[[#This Row],[Price]] &lt; (table1[[#This Row],[52Low]] * 0.1) + table1[[#This Row],[52Low]],  "TRUE", "FALSE")</f>
        <v>FALSE</v>
      </c>
      <c r="L70" s="6" cm="1">
        <f t="array" aca="1" ref="L70" ca="1">_FV(table1[[#This Row],[DataField]],"Market cap",TRUE)</f>
        <v>125985118000</v>
      </c>
    </row>
    <row r="71" spans="1:12" x14ac:dyDescent="0.2">
      <c r="A71" t="e" vm="71">
        <v>#VALUE!</v>
      </c>
      <c r="B71" t="str" cm="1">
        <f t="array" aca="1" ref="B71" ca="1">_FV(table1[[#This Row],[DataField]],"Ticker symbol",TRUE)</f>
        <v>IRM</v>
      </c>
      <c r="F71" s="2" cm="1">
        <f t="array" aca="1" ref="F71" ca="1">_FV(table1[[#This Row],[DataField]],"Price")</f>
        <v>99.61</v>
      </c>
      <c r="G71" s="2" cm="1">
        <f t="array" aca="1" ref="G71" ca="1">_FV(table1[[#This Row],[DataField]],"52 week low",TRUE)</f>
        <v>72.33</v>
      </c>
      <c r="H71" s="2" cm="1">
        <f t="array" aca="1" ref="H71" ca="1">_FV(table1[[#This Row],[DataField]],"52 week high",TRUE)</f>
        <v>115.24</v>
      </c>
      <c r="I71" s="4" cm="1">
        <f t="array" aca="1" ref="I71" ca="1">_FV(table1[[#This Row],[DataField]],"P/E",TRUE)</f>
        <v>205.976</v>
      </c>
      <c r="J71" s="2" t="str">
        <f ca="1">IF(table1[[#This Row],[Price]] &lt; (table1[[#This Row],[52Low]] * 0.25) + table1[[#This Row],[52Low]],  "TRUE", "FALSE")</f>
        <v>FALSE</v>
      </c>
      <c r="K71" s="2" t="str">
        <f ca="1">IF(table1[[#This Row],[Price]] &lt; (table1[[#This Row],[52Low]] * 0.1) + table1[[#This Row],[52Low]],  "TRUE", "FALSE")</f>
        <v>FALSE</v>
      </c>
      <c r="L71" s="6" cm="1">
        <f t="array" aca="1" ref="L71" ca="1">_FV(table1[[#This Row],[DataField]],"Market cap",TRUE)</f>
        <v>29468144272</v>
      </c>
    </row>
    <row r="72" spans="1:12" x14ac:dyDescent="0.2">
      <c r="A72" t="e" vm="72">
        <v>#VALUE!</v>
      </c>
      <c r="B72" t="str" cm="1">
        <f t="array" aca="1" ref="B72" ca="1">_FV(table1[[#This Row],[DataField]],"Ticker symbol",TRUE)</f>
        <v>ITW</v>
      </c>
      <c r="F72" s="2" cm="1">
        <f t="array" aca="1" ref="F72" ca="1">_FV(table1[[#This Row],[DataField]],"Price")</f>
        <v>257.68</v>
      </c>
      <c r="G72" s="2" cm="1">
        <f t="array" aca="1" ref="G72" ca="1">_FV(table1[[#This Row],[DataField]],"52 week low",TRUE)</f>
        <v>214.66</v>
      </c>
      <c r="H72" s="2" cm="1">
        <f t="array" aca="1" ref="H72" ca="1">_FV(table1[[#This Row],[DataField]],"52 week high",TRUE)</f>
        <v>303.15499999999997</v>
      </c>
      <c r="I72" s="4" cm="1">
        <f t="array" aca="1" ref="I72" ca="1">_FV(table1[[#This Row],[DataField]],"P/E",TRUE)</f>
        <v>24.8413</v>
      </c>
      <c r="J72" s="2" t="str">
        <f ca="1">IF(table1[[#This Row],[Price]] &lt; (table1[[#This Row],[52Low]] * 0.25) + table1[[#This Row],[52Low]],  "TRUE", "FALSE")</f>
        <v>TRUE</v>
      </c>
      <c r="K72" s="7" t="str">
        <f ca="1">IF(table1[[#This Row],[Price]] &lt; (table1[[#This Row],[52Low]] * 0.1) + table1[[#This Row],[52Low]],  "TRUE", "FALSE")</f>
        <v>FALSE</v>
      </c>
      <c r="L72" s="6" cm="1">
        <f t="array" aca="1" ref="L72" ca="1">_FV(table1[[#This Row],[DataField]],"Market cap",TRUE)</f>
        <v>74263376000</v>
      </c>
    </row>
    <row r="73" spans="1:12" x14ac:dyDescent="0.2">
      <c r="A73" t="e" vm="73">
        <v>#VALUE!</v>
      </c>
      <c r="B73" t="str" cm="1">
        <f t="array" aca="1" ref="B73" ca="1">_FV(table1[[#This Row],[DataField]],"Ticker symbol",TRUE)</f>
        <v>KO</v>
      </c>
      <c r="F73" s="2" cm="1">
        <f t="array" aca="1" ref="F73" ca="1">_FV(table1[[#This Row],[DataField]],"Price")</f>
        <v>74.75</v>
      </c>
      <c r="G73" s="2" cm="1">
        <f t="array" aca="1" ref="G73" ca="1">_FV(table1[[#This Row],[DataField]],"52 week low",TRUE)</f>
        <v>65.353800000000007</v>
      </c>
      <c r="H73" s="2" cm="1">
        <f t="array" aca="1" ref="H73" ca="1">_FV(table1[[#This Row],[DataField]],"52 week high",TRUE)</f>
        <v>82</v>
      </c>
      <c r="I73" s="4" cm="1">
        <f t="array" aca="1" ref="I73" ca="1">_FV(table1[[#This Row],[DataField]],"P/E",TRUE)</f>
        <v>24.596900000000002</v>
      </c>
      <c r="J73" s="2" t="str">
        <f ca="1">IF(table1[[#This Row],[Price]] &lt; (table1[[#This Row],[52Low]] * 0.25) + table1[[#This Row],[52Low]],  "TRUE", "FALSE")</f>
        <v>TRUE</v>
      </c>
      <c r="K73" s="2" t="str">
        <f ca="1">IF(table1[[#This Row],[Price]] &lt; (table1[[#This Row],[52Low]] * 0.1) + table1[[#This Row],[52Low]],  "TRUE", "FALSE")</f>
        <v>FALSE</v>
      </c>
      <c r="L73" s="6" cm="1">
        <f t="array" aca="1" ref="L73" ca="1">_FV(table1[[#This Row],[DataField]],"Market cap",TRUE)</f>
        <v>321735436750</v>
      </c>
    </row>
    <row r="74" spans="1:12" x14ac:dyDescent="0.2">
      <c r="A74" t="e" vm="74">
        <v>#VALUE!</v>
      </c>
      <c r="B74" t="str" cm="1">
        <f t="array" aca="1" ref="B74" ca="1">_FV(table1[[#This Row],[DataField]],"Ticker symbol",TRUE)</f>
        <v>LLY</v>
      </c>
      <c r="F74" s="2" cm="1">
        <f t="array" aca="1" ref="F74" ca="1">_FV(table1[[#This Row],[DataField]],"Price")</f>
        <v>906.7</v>
      </c>
      <c r="G74" s="2" cm="1">
        <f t="array" aca="1" ref="G74" ca="1">_FV(table1[[#This Row],[DataField]],"52 week low",TRUE)</f>
        <v>623.78</v>
      </c>
      <c r="H74" s="2" cm="1">
        <f t="array" aca="1" ref="H74" ca="1">_FV(table1[[#This Row],[DataField]],"52 week high",TRUE)</f>
        <v>1133.95</v>
      </c>
      <c r="I74" s="4" cm="1">
        <f t="array" aca="1" ref="I74" ca="1">_FV(table1[[#This Row],[DataField]],"P/E",TRUE)</f>
        <v>39.966799999999999</v>
      </c>
      <c r="J74" s="2" t="str">
        <f ca="1">IF(table1[[#This Row],[Price]] &lt; (table1[[#This Row],[52Low]] * 0.25) + table1[[#This Row],[52Low]],  "TRUE", "FALSE")</f>
        <v>FALSE</v>
      </c>
      <c r="K74" s="2" t="str">
        <f ca="1">IF(table1[[#This Row],[Price]] &lt; (table1[[#This Row],[52Low]] * 0.1) + table1[[#This Row],[52Low]],  "TRUE", "FALSE")</f>
        <v>FALSE</v>
      </c>
      <c r="L74" s="6" cm="1">
        <f t="array" aca="1" ref="L74" ca="1">_FV(table1[[#This Row],[DataField]],"Market cap",TRUE)</f>
        <v>855342154580</v>
      </c>
    </row>
    <row r="75" spans="1:12" x14ac:dyDescent="0.2">
      <c r="A75" t="e" vm="75">
        <v>#VALUE!</v>
      </c>
      <c r="B75" t="str" cm="1">
        <f t="array" aca="1" ref="B75" ca="1">_FV(table1[[#This Row],[DataField]],"Ticker symbol",TRUE)</f>
        <v>MAN</v>
      </c>
      <c r="F75" s="2" cm="1">
        <f t="array" aca="1" ref="F75" ca="1">_FV(table1[[#This Row],[DataField]],"Price")</f>
        <v>26.62</v>
      </c>
      <c r="G75" s="2" cm="1">
        <f t="array" aca="1" ref="G75" ca="1">_FV(table1[[#This Row],[DataField]],"52 week low",TRUE)</f>
        <v>25.15</v>
      </c>
      <c r="H75" s="2" cm="1">
        <f t="array" aca="1" ref="H75" ca="1">_FV(table1[[#This Row],[DataField]],"52 week high",TRUE)</f>
        <v>60.45</v>
      </c>
      <c r="I75" s="4" t="e" cm="1" vm="15">
        <f t="array" ref="I75">_FV(table1[[#This Row],[DataField]],"P/E",TRUE)</f>
        <v>#VALUE!</v>
      </c>
      <c r="J75" s="2" t="str">
        <f ca="1">IF(table1[[#This Row],[Price]] &lt; (table1[[#This Row],[52Low]] * 0.25) + table1[[#This Row],[52Low]],  "TRUE", "FALSE")</f>
        <v>TRUE</v>
      </c>
      <c r="K75" s="2" t="str">
        <f ca="1">IF(table1[[#This Row],[Price]] &lt; (table1[[#This Row],[52Low]] * 0.1) + table1[[#This Row],[52Low]],  "TRUE", "FALSE")</f>
        <v>TRUE</v>
      </c>
      <c r="L75" s="6" cm="1">
        <f t="array" aca="1" ref="L75" ca="1">_FV(table1[[#This Row],[DataField]],"Market cap",TRUE)</f>
        <v>1235691083</v>
      </c>
    </row>
    <row r="76" spans="1:12" x14ac:dyDescent="0.2">
      <c r="A76" t="e" vm="76">
        <v>#VALUE!</v>
      </c>
      <c r="B76" t="str" cm="1">
        <f t="array" aca="1" ref="B76" ca="1">_FV(table1[[#This Row],[DataField]],"Ticker symbol",TRUE)</f>
        <v>MCO</v>
      </c>
      <c r="F76" s="2" cm="1">
        <f t="array" aca="1" ref="F76" ca="1">_FV(table1[[#This Row],[DataField]],"Price")</f>
        <v>435.12</v>
      </c>
      <c r="G76" s="2" cm="1">
        <f t="array" aca="1" ref="G76" ca="1">_FV(table1[[#This Row],[DataField]],"52 week low",TRUE)</f>
        <v>378.71</v>
      </c>
      <c r="H76" s="2" cm="1">
        <f t="array" aca="1" ref="H76" ca="1">_FV(table1[[#This Row],[DataField]],"52 week high",TRUE)</f>
        <v>546.88</v>
      </c>
      <c r="I76" s="4" cm="1">
        <f t="array" aca="1" ref="I76" ca="1">_FV(table1[[#This Row],[DataField]],"P/E",TRUE)</f>
        <v>31.833300000000001</v>
      </c>
      <c r="J76" s="2" t="str">
        <f ca="1">IF(table1[[#This Row],[Price]] &lt; (table1[[#This Row],[52Low]] * 0.25) + table1[[#This Row],[52Low]],  "TRUE", "FALSE")</f>
        <v>TRUE</v>
      </c>
      <c r="K76" s="7" t="str">
        <f ca="1">IF(table1[[#This Row],[Price]] &lt; (table1[[#This Row],[52Low]] * 0.1) + table1[[#This Row],[52Low]],  "TRUE", "FALSE")</f>
        <v>FALSE</v>
      </c>
      <c r="L76" s="6" cm="1">
        <f t="array" aca="1" ref="L76" ca="1">_FV(table1[[#This Row],[DataField]],"Market cap",TRUE)</f>
        <v>77453056968</v>
      </c>
    </row>
    <row r="77" spans="1:12" x14ac:dyDescent="0.2">
      <c r="A77" t="e" vm="77">
        <v>#VALUE!</v>
      </c>
      <c r="B77" t="str" cm="1">
        <f t="array" aca="1" ref="B77" ca="1">_FV(table1[[#This Row],[DataField]],"Ticker symbol",TRUE)</f>
        <v>MDLZ</v>
      </c>
      <c r="F77" s="2" cm="1">
        <f t="array" aca="1" ref="F77" ca="1">_FV(table1[[#This Row],[DataField]],"Price")</f>
        <v>56.21</v>
      </c>
      <c r="G77" s="2" cm="1">
        <f t="array" aca="1" ref="G77" ca="1">_FV(table1[[#This Row],[DataField]],"52 week low",TRUE)</f>
        <v>51.200800000000001</v>
      </c>
      <c r="H77" s="2" cm="1">
        <f t="array" aca="1" ref="H77" ca="1">_FV(table1[[#This Row],[DataField]],"52 week high",TRUE)</f>
        <v>71.150000000000006</v>
      </c>
      <c r="I77" s="4" cm="1">
        <f t="array" aca="1" ref="I77" ca="1">_FV(table1[[#This Row],[DataField]],"P/E",TRUE)</f>
        <v>29.7486</v>
      </c>
      <c r="J77" s="2" t="str">
        <f ca="1">IF(table1[[#This Row],[Price]] &lt; (table1[[#This Row],[52Low]] * 0.25) + table1[[#This Row],[52Low]],  "TRUE", "FALSE")</f>
        <v>TRUE</v>
      </c>
      <c r="K77" s="2" t="str">
        <f ca="1">IF(table1[[#This Row],[Price]] &lt; (table1[[#This Row],[52Low]] * 0.1) + table1[[#This Row],[52Low]],  "TRUE", "FALSE")</f>
        <v>TRUE</v>
      </c>
      <c r="L77" s="6" cm="1">
        <f t="array" aca="1" ref="L77" ca="1">_FV(table1[[#This Row],[DataField]],"Market cap",TRUE)</f>
        <v>72052563660</v>
      </c>
    </row>
    <row r="78" spans="1:12" x14ac:dyDescent="0.2">
      <c r="A78" t="e" vm="78">
        <v>#VALUE!</v>
      </c>
      <c r="B78" t="str" cm="1">
        <f t="array" aca="1" ref="B78" ca="1">_FV(table1[[#This Row],[DataField]],"Ticker symbol",TRUE)</f>
        <v>META</v>
      </c>
      <c r="F78" s="2" cm="1">
        <f t="array" aca="1" ref="F78" ca="1">_FV(table1[[#This Row],[DataField]],"Price")</f>
        <v>593.66</v>
      </c>
      <c r="G78" s="2" cm="1">
        <f t="array" aca="1" ref="G78" ca="1">_FV(table1[[#This Row],[DataField]],"52 week low",TRUE)</f>
        <v>479.8</v>
      </c>
      <c r="H78" s="2" cm="1">
        <f t="array" aca="1" ref="H78" ca="1">_FV(table1[[#This Row],[DataField]],"52 week high",TRUE)</f>
        <v>796.25</v>
      </c>
      <c r="I78" s="4" cm="1">
        <f t="array" aca="1" ref="I78" ca="1">_FV(table1[[#This Row],[DataField]],"P/E",TRUE)</f>
        <v>20.3095</v>
      </c>
      <c r="J78" s="2" t="str">
        <f ca="1">IF(table1[[#This Row],[Price]] &lt; (table1[[#This Row],[52Low]] * 0.25) + table1[[#This Row],[52Low]],  "TRUE", "FALSE")</f>
        <v>TRUE</v>
      </c>
      <c r="K78" s="2" t="str">
        <f ca="1">IF(table1[[#This Row],[Price]] &lt; (table1[[#This Row],[52Low]] * 0.1) + table1[[#This Row],[52Low]],  "TRUE", "FALSE")</f>
        <v>FALSE</v>
      </c>
      <c r="L78" s="6" cm="1">
        <f t="array" aca="1" ref="L78" ca="1">_FV(table1[[#This Row],[DataField]],"Market cap",TRUE)</f>
        <v>1501695621300</v>
      </c>
    </row>
    <row r="79" spans="1:12" x14ac:dyDescent="0.2">
      <c r="A79" t="e" vm="79">
        <v>#VALUE!</v>
      </c>
      <c r="B79" t="str" cm="1">
        <f t="array" aca="1" ref="B79" ca="1">_FV(table1[[#This Row],[DataField]],"Ticker symbol",TRUE)</f>
        <v>MMM</v>
      </c>
      <c r="F79" s="2" cm="1">
        <f t="array" aca="1" ref="F79" ca="1">_FV(table1[[#This Row],[DataField]],"Price")</f>
        <v>141.19999999999999</v>
      </c>
      <c r="G79" s="2" cm="1">
        <f t="array" aca="1" ref="G79" ca="1">_FV(table1[[#This Row],[DataField]],"52 week low",TRUE)</f>
        <v>121.97709999999999</v>
      </c>
      <c r="H79" s="2" cm="1">
        <f t="array" aca="1" ref="H79" ca="1">_FV(table1[[#This Row],[DataField]],"52 week high",TRUE)</f>
        <v>177.41</v>
      </c>
      <c r="I79" s="4" cm="1">
        <f t="array" aca="1" ref="I79" ca="1">_FV(table1[[#This Row],[DataField]],"P/E",TRUE)</f>
        <v>23.550599999999999</v>
      </c>
      <c r="J79" s="2" t="str">
        <f ca="1">IF(table1[[#This Row],[Price]] &lt; (table1[[#This Row],[52Low]] * 0.25) + table1[[#This Row],[52Low]],  "TRUE", "FALSE")</f>
        <v>TRUE</v>
      </c>
      <c r="K79" s="2" t="str">
        <f ca="1">IF(table1[[#This Row],[Price]] &lt; (table1[[#This Row],[52Low]] * 0.1) + table1[[#This Row],[52Low]],  "TRUE", "FALSE")</f>
        <v>FALSE</v>
      </c>
      <c r="L79" s="6" cm="1">
        <f t="array" aca="1" ref="L79" ca="1">_FV(table1[[#This Row],[DataField]],"Market cap",TRUE)</f>
        <v>74370040000</v>
      </c>
    </row>
    <row r="80" spans="1:12" x14ac:dyDescent="0.2">
      <c r="A80" t="e" vm="80">
        <v>#VALUE!</v>
      </c>
      <c r="B80" t="str" cm="1">
        <f t="array" aca="1" ref="B80" ca="1">_FV(table1[[#This Row],[DataField]],"Ticker symbol",TRUE)</f>
        <v>MO</v>
      </c>
      <c r="F80" s="2" cm="1">
        <f t="array" aca="1" ref="F80" ca="1">_FV(table1[[#This Row],[DataField]],"Price")</f>
        <v>64.47</v>
      </c>
      <c r="G80" s="2" cm="1">
        <f t="array" aca="1" ref="G80" ca="1">_FV(table1[[#This Row],[DataField]],"52 week low",TRUE)</f>
        <v>52.82</v>
      </c>
      <c r="H80" s="2" cm="1">
        <f t="array" aca="1" ref="H80" ca="1">_FV(table1[[#This Row],[DataField]],"52 week high",TRUE)</f>
        <v>70.510000000000005</v>
      </c>
      <c r="I80" s="4" cm="1">
        <f t="array" aca="1" ref="I80" ca="1">_FV(table1[[#This Row],[DataField]],"P/E",TRUE)</f>
        <v>15.660600000000001</v>
      </c>
      <c r="J80" s="2" t="str">
        <f ca="1">IF(table1[[#This Row],[Price]] &lt; (table1[[#This Row],[52Low]] * 0.25) + table1[[#This Row],[52Low]],  "TRUE", "FALSE")</f>
        <v>TRUE</v>
      </c>
      <c r="K80" s="2" t="str">
        <f ca="1">IF(table1[[#This Row],[Price]] &lt; (table1[[#This Row],[52Low]] * 0.1) + table1[[#This Row],[52Low]],  "TRUE", "FALSE")</f>
        <v>FALSE</v>
      </c>
      <c r="L80" s="6" cm="1">
        <f t="array" aca="1" ref="L80" ca="1">_FV(table1[[#This Row],[DataField]],"Market cap",TRUE)</f>
        <v>107787264060</v>
      </c>
    </row>
    <row r="81" spans="1:12" x14ac:dyDescent="0.2">
      <c r="A81" t="e" vm="81">
        <v>#VALUE!</v>
      </c>
      <c r="B81" t="str" cm="1">
        <f t="array" aca="1" ref="B81" ca="1">_FV(table1[[#This Row],[DataField]],"Ticker symbol",TRUE)</f>
        <v>MRK</v>
      </c>
      <c r="F81" s="2" cm="1">
        <f t="array" aca="1" ref="F81" ca="1">_FV(table1[[#This Row],[DataField]],"Price")</f>
        <v>114.18</v>
      </c>
      <c r="G81" s="2" cm="1">
        <f t="array" aca="1" ref="G81" ca="1">_FV(table1[[#This Row],[DataField]],"52 week low",TRUE)</f>
        <v>73.31</v>
      </c>
      <c r="H81" s="2" cm="1">
        <f t="array" aca="1" ref="H81" ca="1">_FV(table1[[#This Row],[DataField]],"52 week high",TRUE)</f>
        <v>125.14</v>
      </c>
      <c r="I81" s="4" cm="1">
        <f t="array" aca="1" ref="I81" ca="1">_FV(table1[[#This Row],[DataField]],"P/E",TRUE)</f>
        <v>15.692500000000001</v>
      </c>
      <c r="J81" s="2" t="str">
        <f ca="1">IF(table1[[#This Row],[Price]] &lt; (table1[[#This Row],[52Low]] * 0.25) + table1[[#This Row],[52Low]],  "TRUE", "FALSE")</f>
        <v>FALSE</v>
      </c>
      <c r="K81" s="2" t="str">
        <f ca="1">IF(table1[[#This Row],[Price]] &lt; (table1[[#This Row],[52Low]] * 0.1) + table1[[#This Row],[52Low]],  "TRUE", "FALSE")</f>
        <v>FALSE</v>
      </c>
      <c r="L81" s="6" cm="1">
        <f t="array" aca="1" ref="L81" ca="1">_FV(table1[[#This Row],[DataField]],"Market cap",TRUE)</f>
        <v>282297718560</v>
      </c>
    </row>
    <row r="82" spans="1:12" x14ac:dyDescent="0.2">
      <c r="A82" t="e" vm="82">
        <v>#VALUE!</v>
      </c>
      <c r="B82" t="str" cm="1">
        <f t="array" aca="1" ref="B82" ca="1">_FV(table1[[#This Row],[DataField]],"Ticker symbol",TRUE)</f>
        <v>NOC</v>
      </c>
      <c r="F82" s="2" cm="1">
        <f t="array" aca="1" ref="F82" ca="1">_FV(table1[[#This Row],[DataField]],"Price")</f>
        <v>706.95</v>
      </c>
      <c r="G82" s="2" cm="1">
        <f t="array" aca="1" ref="G82" ca="1">_FV(table1[[#This Row],[DataField]],"52 week low",TRUE)</f>
        <v>450.13</v>
      </c>
      <c r="H82" s="2" cm="1">
        <f t="array" aca="1" ref="H82" ca="1">_FV(table1[[#This Row],[DataField]],"52 week high",TRUE)</f>
        <v>774</v>
      </c>
      <c r="I82" s="4" cm="1">
        <f t="array" aca="1" ref="I82" ca="1">_FV(table1[[#This Row],[DataField]],"P/E",TRUE)</f>
        <v>24.308800000000002</v>
      </c>
      <c r="J82" s="2" t="str">
        <f ca="1">IF(table1[[#This Row],[Price]] &lt; (table1[[#This Row],[52Low]] * 0.25) + table1[[#This Row],[52Low]],  "TRUE", "FALSE")</f>
        <v>FALSE</v>
      </c>
      <c r="K82" s="2" t="str">
        <f ca="1">IF(table1[[#This Row],[Price]] &lt; (table1[[#This Row],[52Low]] * 0.1) + table1[[#This Row],[52Low]],  "TRUE", "FALSE")</f>
        <v>FALSE</v>
      </c>
      <c r="L82" s="6" cm="1">
        <f t="array" aca="1" ref="L82" ca="1">_FV(table1[[#This Row],[DataField]],"Market cap",TRUE)</f>
        <v>100331475120</v>
      </c>
    </row>
    <row r="83" spans="1:12" x14ac:dyDescent="0.2">
      <c r="A83" t="e" vm="83">
        <v>#VALUE!</v>
      </c>
      <c r="B83" t="str" cm="1">
        <f t="array" aca="1" ref="B83" ca="1">_FV(table1[[#This Row],[DataField]],"Ticker symbol",TRUE)</f>
        <v>NSRGY</v>
      </c>
      <c r="F83" s="2" cm="1">
        <f t="array" aca="1" ref="F83" ca="1">_FV(table1[[#This Row],[DataField]],"Price")</f>
        <v>95.6</v>
      </c>
      <c r="G83" s="2" cm="1">
        <f t="array" aca="1" ref="G83" ca="1">_FV(table1[[#This Row],[DataField]],"52 week low",TRUE)</f>
        <v>86.98</v>
      </c>
      <c r="H83" s="2" cm="1">
        <f t="array" aca="1" ref="H83" ca="1">_FV(table1[[#This Row],[DataField]],"52 week high",TRUE)</f>
        <v>109.59</v>
      </c>
      <c r="I83" s="4" cm="1">
        <f t="array" aca="1" ref="I83" ca="1">_FV(table1[[#This Row],[DataField]],"P/E",TRUE)</f>
        <v>21.575199999999999</v>
      </c>
      <c r="J83" s="2" t="str">
        <f ca="1">IF(table1[[#This Row],[Price]] &lt; (table1[[#This Row],[52Low]] * 0.25) + table1[[#This Row],[52Low]],  "TRUE", "FALSE")</f>
        <v>TRUE</v>
      </c>
      <c r="K83" s="7" t="str">
        <f ca="1">IF(table1[[#This Row],[Price]] &lt; (table1[[#This Row],[52Low]] * 0.1) + table1[[#This Row],[52Low]],  "TRUE", "FALSE")</f>
        <v>TRUE</v>
      </c>
      <c r="L83" s="6" cm="1">
        <f t="array" aca="1" ref="L83" ca="1">_FV(table1[[#This Row],[DataField]],"Market cap",TRUE)</f>
        <v>264273656399</v>
      </c>
    </row>
    <row r="84" spans="1:12" x14ac:dyDescent="0.2">
      <c r="A84" t="e" vm="84">
        <v>#VALUE!</v>
      </c>
      <c r="B84" t="str" cm="1">
        <f t="array" aca="1" ref="B84" ca="1">_FV(table1[[#This Row],[DataField]],"Ticker symbol",TRUE)</f>
        <v>PFE</v>
      </c>
      <c r="F84" s="2" cm="1">
        <f t="array" aca="1" ref="F84" ca="1">_FV(table1[[#This Row],[DataField]],"Price")</f>
        <v>26.97</v>
      </c>
      <c r="G84" s="2" cm="1">
        <f t="array" aca="1" ref="G84" ca="1">_FV(table1[[#This Row],[DataField]],"52 week low",TRUE)</f>
        <v>20.914999999999999</v>
      </c>
      <c r="H84" s="2" cm="1">
        <f t="array" aca="1" ref="H84" ca="1">_FV(table1[[#This Row],[DataField]],"52 week high",TRUE)</f>
        <v>27.94</v>
      </c>
      <c r="I84" s="4" cm="1">
        <f t="array" aca="1" ref="I84" ca="1">_FV(table1[[#This Row],[DataField]],"P/E",TRUE)</f>
        <v>19.890799999999999</v>
      </c>
      <c r="J84" s="2" t="str">
        <f ca="1">IF(table1[[#This Row],[Price]] &lt; (table1[[#This Row],[52Low]] * 0.25) + table1[[#This Row],[52Low]],  "TRUE", "FALSE")</f>
        <v>FALSE</v>
      </c>
      <c r="K84" s="2" t="str">
        <f ca="1">IF(table1[[#This Row],[Price]] &lt; (table1[[#This Row],[52Low]] * 0.1) + table1[[#This Row],[52Low]],  "TRUE", "FALSE")</f>
        <v>FALSE</v>
      </c>
      <c r="L84" s="6" cm="1">
        <f t="array" aca="1" ref="L84" ca="1">_FV(table1[[#This Row],[DataField]],"Market cap",TRUE)</f>
        <v>153414961320</v>
      </c>
    </row>
    <row r="85" spans="1:12" x14ac:dyDescent="0.2">
      <c r="A85" t="e" vm="85">
        <v>#VALUE!</v>
      </c>
      <c r="B85" t="str" cm="1">
        <f t="array" aca="1" ref="B85" ca="1">_FV(table1[[#This Row],[DataField]],"Ticker symbol",TRUE)</f>
        <v>PM</v>
      </c>
      <c r="F85" s="2" cm="1">
        <f t="array" aca="1" ref="F85" ca="1">_FV(table1[[#This Row],[DataField]],"Price")</f>
        <v>163.11000000000001</v>
      </c>
      <c r="G85" s="2" cm="1">
        <f t="array" aca="1" ref="G85" ca="1">_FV(table1[[#This Row],[DataField]],"52 week low",TRUE)</f>
        <v>142.11000000000001</v>
      </c>
      <c r="H85" s="2" cm="1">
        <f t="array" aca="1" ref="H85" ca="1">_FV(table1[[#This Row],[DataField]],"52 week high",TRUE)</f>
        <v>191.3</v>
      </c>
      <c r="I85" s="4" cm="1">
        <f t="array" aca="1" ref="I85" ca="1">_FV(table1[[#This Row],[DataField]],"P/E",TRUE)</f>
        <v>22.457000000000001</v>
      </c>
      <c r="J85" s="2" t="str">
        <f ca="1">IF(table1[[#This Row],[Price]] &lt; (table1[[#This Row],[52Low]] * 0.25) + table1[[#This Row],[52Low]],  "TRUE", "FALSE")</f>
        <v>TRUE</v>
      </c>
      <c r="K85" s="7" t="str">
        <f ca="1">IF(table1[[#This Row],[Price]] &lt; (table1[[#This Row],[52Low]] * 0.1) + table1[[#This Row],[52Low]],  "TRUE", "FALSE")</f>
        <v>FALSE</v>
      </c>
      <c r="L85" s="6" cm="1">
        <f t="array" aca="1" ref="L85" ca="1">_FV(table1[[#This Row],[DataField]],"Market cap",TRUE)</f>
        <v>253910074800</v>
      </c>
    </row>
    <row r="86" spans="1:12" x14ac:dyDescent="0.2">
      <c r="A86" t="e" vm="86">
        <v>#VALUE!</v>
      </c>
      <c r="B86" t="str" cm="1">
        <f t="array" aca="1" ref="B86" ca="1">_FV(table1[[#This Row],[DataField]],"Ticker symbol",TRUE)</f>
        <v>PPG</v>
      </c>
      <c r="F86" s="2" cm="1">
        <f t="array" aca="1" ref="F86" ca="1">_FV(table1[[#This Row],[DataField]],"Price")</f>
        <v>97.22</v>
      </c>
      <c r="G86" s="2" cm="1">
        <f t="array" aca="1" ref="G86" ca="1">_FV(table1[[#This Row],[DataField]],"52 week low",TRUE)</f>
        <v>90.24</v>
      </c>
      <c r="H86" s="2" cm="1">
        <f t="array" aca="1" ref="H86" ca="1">_FV(table1[[#This Row],[DataField]],"52 week high",TRUE)</f>
        <v>133.43</v>
      </c>
      <c r="I86" s="4" cm="1">
        <f t="array" aca="1" ref="I86" ca="1">_FV(table1[[#This Row],[DataField]],"P/E",TRUE)</f>
        <v>14.0589</v>
      </c>
      <c r="J86" s="2" t="str">
        <f ca="1">IF(table1[[#This Row],[Price]] &lt; (table1[[#This Row],[52Low]] * 0.25) + table1[[#This Row],[52Low]],  "TRUE", "FALSE")</f>
        <v>TRUE</v>
      </c>
      <c r="K86" s="7" t="str">
        <f ca="1">IF(table1[[#This Row],[Price]] &lt; (table1[[#This Row],[52Low]] * 0.1) + table1[[#This Row],[52Low]],  "TRUE", "FALSE")</f>
        <v>TRUE</v>
      </c>
      <c r="L86" s="6" cm="1">
        <f t="array" aca="1" ref="L86" ca="1">_FV(table1[[#This Row],[DataField]],"Market cap",TRUE)</f>
        <v>21757699892</v>
      </c>
    </row>
    <row r="87" spans="1:12" x14ac:dyDescent="0.2">
      <c r="A87" t="e" vm="87">
        <v>#VALUE!</v>
      </c>
      <c r="B87" t="str" cm="1">
        <f t="array" aca="1" ref="B87" ca="1">_FV(table1[[#This Row],[DataField]],"Ticker symbol",TRUE)</f>
        <v>QCOM</v>
      </c>
      <c r="F87" s="2" cm="1">
        <f t="array" aca="1" ref="F87" ca="1">_FV(table1[[#This Row],[DataField]],"Price")</f>
        <v>129.9</v>
      </c>
      <c r="G87" s="2" cm="1">
        <f t="array" aca="1" ref="G87" ca="1">_FV(table1[[#This Row],[DataField]],"52 week low",TRUE)</f>
        <v>120.8019</v>
      </c>
      <c r="H87" s="2" cm="1">
        <f t="array" aca="1" ref="H87" ca="1">_FV(table1[[#This Row],[DataField]],"52 week high",TRUE)</f>
        <v>205.95</v>
      </c>
      <c r="I87" s="4" cm="1">
        <f t="array" aca="1" ref="I87" ca="1">_FV(table1[[#This Row],[DataField]],"P/E",TRUE)</f>
        <v>27.121700000000001</v>
      </c>
      <c r="J87" s="2" t="str">
        <f ca="1">IF(table1[[#This Row],[Price]] &lt; (table1[[#This Row],[52Low]] * 0.25) + table1[[#This Row],[52Low]],  "TRUE", "FALSE")</f>
        <v>TRUE</v>
      </c>
      <c r="K87" s="2" t="str">
        <f ca="1">IF(table1[[#This Row],[Price]] &lt; (table1[[#This Row],[52Low]] * 0.1) + table1[[#This Row],[52Low]],  "TRUE", "FALSE")</f>
        <v>TRUE</v>
      </c>
      <c r="L87" s="6" cm="1">
        <f t="array" aca="1" ref="L87" ca="1">_FV(table1[[#This Row],[DataField]],"Market cap",TRUE)</f>
        <v>138603300000</v>
      </c>
    </row>
    <row r="88" spans="1:12" x14ac:dyDescent="0.2">
      <c r="A88" t="e" vm="88">
        <v>#VALUE!</v>
      </c>
      <c r="B88" t="str" cm="1">
        <f t="array" aca="1" ref="B88" ca="1">_FV(table1[[#This Row],[DataField]],"Ticker symbol",TRUE)</f>
        <v>SBUX</v>
      </c>
      <c r="F88" s="2" cm="1">
        <f t="array" aca="1" ref="F88" ca="1">_FV(table1[[#This Row],[DataField]],"Price")</f>
        <v>92.55</v>
      </c>
      <c r="G88" s="2" cm="1">
        <f t="array" aca="1" ref="G88" ca="1">_FV(table1[[#This Row],[DataField]],"52 week low",TRUE)</f>
        <v>75.5</v>
      </c>
      <c r="H88" s="2" cm="1">
        <f t="array" aca="1" ref="H88" ca="1">_FV(table1[[#This Row],[DataField]],"52 week high",TRUE)</f>
        <v>104.82</v>
      </c>
      <c r="I88" s="4" cm="1">
        <f t="array" aca="1" ref="I88" ca="1">_FV(table1[[#This Row],[DataField]],"P/E",TRUE)</f>
        <v>77.099299999999999</v>
      </c>
      <c r="J88" s="2" t="str">
        <f ca="1">IF(table1[[#This Row],[Price]] &lt; (table1[[#This Row],[52Low]] * 0.25) + table1[[#This Row],[52Low]],  "TRUE", "FALSE")</f>
        <v>TRUE</v>
      </c>
      <c r="K88" s="7" t="str">
        <f ca="1">IF(table1[[#This Row],[Price]] &lt; (table1[[#This Row],[52Low]] * 0.1) + table1[[#This Row],[52Low]],  "TRUE", "FALSE")</f>
        <v>FALSE</v>
      </c>
      <c r="L88" s="6" cm="1">
        <f t="array" aca="1" ref="L88" ca="1">_FV(table1[[#This Row],[DataField]],"Market cap",TRUE)</f>
        <v>105442215000</v>
      </c>
    </row>
    <row r="89" spans="1:12" ht="18" customHeight="1" x14ac:dyDescent="0.2">
      <c r="A89" t="e" vm="89">
        <v>#VALUE!</v>
      </c>
      <c r="B89" t="str" cm="1">
        <f t="array" aca="1" ref="B89" ca="1">_FV(table1[[#This Row],[DataField]],"Ticker symbol",TRUE)</f>
        <v>SCHW</v>
      </c>
      <c r="F89" s="2" cm="1">
        <f t="array" aca="1" ref="F89" ca="1">_FV(table1[[#This Row],[DataField]],"Price")</f>
        <v>94.66</v>
      </c>
      <c r="G89" s="2" cm="1">
        <f t="array" aca="1" ref="G89" ca="1">_FV(table1[[#This Row],[DataField]],"52 week low",TRUE)</f>
        <v>65.88</v>
      </c>
      <c r="H89" s="2" cm="1">
        <f t="array" aca="1" ref="H89" ca="1">_FV(table1[[#This Row],[DataField]],"52 week high",TRUE)</f>
        <v>107.5</v>
      </c>
      <c r="I89" s="4" cm="1">
        <f t="array" aca="1" ref="I89" ca="1">_FV(table1[[#This Row],[DataField]],"P/E",TRUE)</f>
        <v>20.157499999999999</v>
      </c>
      <c r="J89" s="2" t="str">
        <f ca="1">IF(table1[[#This Row],[Price]] &lt; (table1[[#This Row],[52Low]] * 0.25) + table1[[#This Row],[52Low]],  "TRUE", "FALSE")</f>
        <v>FALSE</v>
      </c>
      <c r="K89" s="2" t="str">
        <f ca="1">IF(table1[[#This Row],[Price]] &lt; (table1[[#This Row],[52Low]] * 0.1) + table1[[#This Row],[52Low]],  "TRUE", "FALSE")</f>
        <v>FALSE</v>
      </c>
      <c r="L89" s="6" cm="1">
        <f t="array" aca="1" ref="L89" ca="1">_FV(table1[[#This Row],[DataField]],"Market cap",TRUE)</f>
        <v>165864198600</v>
      </c>
    </row>
    <row r="90" spans="1:12" x14ac:dyDescent="0.2">
      <c r="A90" t="e" vm="90">
        <v>#VALUE!</v>
      </c>
      <c r="B90" t="str" cm="1">
        <f t="array" aca="1" ref="B90" ca="1">_FV(table1[[#This Row],[DataField]],"Ticker symbol",TRUE)</f>
        <v>SHW</v>
      </c>
      <c r="F90" s="2" cm="1">
        <f t="array" aca="1" ref="F90" ca="1">_FV(table1[[#This Row],[DataField]],"Price")</f>
        <v>303.52999999999997</v>
      </c>
      <c r="G90" s="2" cm="1">
        <f t="array" aca="1" ref="G90" ca="1">_FV(table1[[#This Row],[DataField]],"52 week low",TRUE)</f>
        <v>301.58</v>
      </c>
      <c r="H90" s="2" cm="1">
        <f t="array" aca="1" ref="H90" ca="1">_FV(table1[[#This Row],[DataField]],"52 week high",TRUE)</f>
        <v>379.65</v>
      </c>
      <c r="I90" s="4" cm="1">
        <f t="array" aca="1" ref="I90" ca="1">_FV(table1[[#This Row],[DataField]],"P/E",TRUE)</f>
        <v>29.590699999999998</v>
      </c>
      <c r="J90" s="2" t="str">
        <f ca="1">IF(table1[[#This Row],[Price]] &lt; (table1[[#This Row],[52Low]] * 0.25) + table1[[#This Row],[52Low]],  "TRUE", "FALSE")</f>
        <v>TRUE</v>
      </c>
      <c r="K90" s="2" t="str">
        <f ca="1">IF(table1[[#This Row],[Price]] &lt; (table1[[#This Row],[52Low]] * 0.1) + table1[[#This Row],[52Low]],  "TRUE", "FALSE")</f>
        <v>TRUE</v>
      </c>
      <c r="L90" s="6" cm="1">
        <f t="array" aca="1" ref="L90" ca="1">_FV(table1[[#This Row],[DataField]],"Market cap",TRUE)</f>
        <v>75081909272</v>
      </c>
    </row>
    <row r="91" spans="1:12" x14ac:dyDescent="0.2">
      <c r="A91" t="e" vm="91">
        <v>#VALUE!</v>
      </c>
      <c r="B91" t="str" cm="1">
        <f t="array" aca="1" ref="B91" ca="1">_FV(table1[[#This Row],[DataField]],"Ticker symbol",TRUE)</f>
        <v>SNA</v>
      </c>
      <c r="F91" s="2" cm="1">
        <f t="array" aca="1" ref="F91" ca="1">_FV(table1[[#This Row],[DataField]],"Price")</f>
        <v>356.9</v>
      </c>
      <c r="G91" s="2" cm="1">
        <f t="array" aca="1" ref="G91" ca="1">_FV(table1[[#This Row],[DataField]],"52 week low",TRUE)</f>
        <v>289.81</v>
      </c>
      <c r="H91" s="2" cm="1">
        <f t="array" aca="1" ref="H91" ca="1">_FV(table1[[#This Row],[DataField]],"52 week high",TRUE)</f>
        <v>390.13</v>
      </c>
      <c r="I91" s="4" cm="1">
        <f t="array" aca="1" ref="I91" ca="1">_FV(table1[[#This Row],[DataField]],"P/E",TRUE)</f>
        <v>18.803000000000001</v>
      </c>
      <c r="J91" s="2" t="str">
        <f ca="1">IF(table1[[#This Row],[Price]] &lt; (table1[[#This Row],[52Low]] * 0.25) + table1[[#This Row],[52Low]],  "TRUE", "FALSE")</f>
        <v>TRUE</v>
      </c>
      <c r="K91" s="2" t="str">
        <f ca="1">IF(table1[[#This Row],[Price]] &lt; (table1[[#This Row],[52Low]] * 0.1) + table1[[#This Row],[52Low]],  "TRUE", "FALSE")</f>
        <v>FALSE</v>
      </c>
      <c r="L91" s="6" cm="1">
        <f t="array" aca="1" ref="L91" ca="1">_FV(table1[[#This Row],[DataField]],"Market cap",TRUE)</f>
        <v>18579264646</v>
      </c>
    </row>
    <row r="92" spans="1:12" x14ac:dyDescent="0.2">
      <c r="A92" t="e" vm="92">
        <v>#VALUE!</v>
      </c>
      <c r="B92" t="str" cm="1">
        <f t="array" aca="1" ref="B92" ca="1">_FV(table1[[#This Row],[DataField]],"Ticker symbol",TRUE)</f>
        <v>SO</v>
      </c>
      <c r="F92" s="2" cm="1">
        <f t="array" aca="1" ref="F92" ca="1">_FV(table1[[#This Row],[DataField]],"Price")</f>
        <v>93.39</v>
      </c>
      <c r="G92" s="2" cm="1">
        <f t="array" aca="1" ref="G92" ca="1">_FV(table1[[#This Row],[DataField]],"52 week low",TRUE)</f>
        <v>83.09</v>
      </c>
      <c r="H92" s="2" cm="1">
        <f t="array" aca="1" ref="H92" ca="1">_FV(table1[[#This Row],[DataField]],"52 week high",TRUE)</f>
        <v>100.83499999999999</v>
      </c>
      <c r="I92" s="4" cm="1">
        <f t="array" aca="1" ref="I92" ca="1">_FV(table1[[#This Row],[DataField]],"P/E",TRUE)</f>
        <v>23.842199999999998</v>
      </c>
      <c r="J92" s="2" t="str">
        <f ca="1">IF(table1[[#This Row],[Price]] &lt; (table1[[#This Row],[52Low]] * 0.25) + table1[[#This Row],[52Low]],  "TRUE", "FALSE")</f>
        <v>TRUE</v>
      </c>
      <c r="K92" s="2" t="str">
        <f ca="1">IF(table1[[#This Row],[Price]] &lt; (table1[[#This Row],[52Low]] * 0.1) + table1[[#This Row],[52Low]],  "TRUE", "FALSE")</f>
        <v>FALSE</v>
      </c>
      <c r="L92" s="6" cm="1">
        <f t="array" aca="1" ref="L92" ca="1">_FV(table1[[#This Row],[DataField]],"Market cap",TRUE)</f>
        <v>104539925490</v>
      </c>
    </row>
    <row r="93" spans="1:12" x14ac:dyDescent="0.2">
      <c r="A93" t="e" vm="93">
        <v>#VALUE!</v>
      </c>
      <c r="B93" t="str" cm="1">
        <f t="array" aca="1" ref="B93" ca="1">_FV(table1[[#This Row],[DataField]],"Ticker symbol",TRUE)</f>
        <v>SPGI</v>
      </c>
      <c r="F93" s="2" cm="1">
        <f t="array" aca="1" ref="F93" ca="1">_FV(table1[[#This Row],[DataField]],"Price")</f>
        <v>424.43</v>
      </c>
      <c r="G93" s="2" cm="1">
        <f t="array" aca="1" ref="G93" ca="1">_FV(table1[[#This Row],[DataField]],"52 week low",TRUE)</f>
        <v>381.60500000000002</v>
      </c>
      <c r="H93" s="2" cm="1">
        <f t="array" aca="1" ref="H93" ca="1">_FV(table1[[#This Row],[DataField]],"52 week high",TRUE)</f>
        <v>579.04999999999995</v>
      </c>
      <c r="I93" s="4" cm="1">
        <f t="array" aca="1" ref="I93" ca="1">_FV(table1[[#This Row],[DataField]],"P/E",TRUE)</f>
        <v>28.951000000000001</v>
      </c>
      <c r="J93" s="2" t="str">
        <f ca="1">IF(table1[[#This Row],[Price]] &lt; (table1[[#This Row],[52Low]] * 0.25) + table1[[#This Row],[52Low]],  "TRUE", "FALSE")</f>
        <v>TRUE</v>
      </c>
      <c r="K93" s="2" t="str">
        <f ca="1">IF(table1[[#This Row],[Price]] &lt; (table1[[#This Row],[52Low]] * 0.1) + table1[[#This Row],[52Low]],  "TRUE", "FALSE")</f>
        <v>FALSE</v>
      </c>
      <c r="L93" s="6" cm="1">
        <f t="array" aca="1" ref="L93" ca="1">_FV(table1[[#This Row],[DataField]],"Market cap",TRUE)</f>
        <v>126819684000</v>
      </c>
    </row>
    <row r="94" spans="1:12" x14ac:dyDescent="0.2">
      <c r="A94" t="e" vm="94">
        <v>#VALUE!</v>
      </c>
      <c r="B94" t="str" cm="1">
        <f t="array" aca="1" ref="B94" ca="1">_FV(table1[[#This Row],[DataField]],"Ticker symbol",TRUE)</f>
        <v>TGT</v>
      </c>
      <c r="F94" s="2" cm="1">
        <f t="array" aca="1" ref="F94" ca="1">_FV(table1[[#This Row],[DataField]],"Price")</f>
        <v>113.26</v>
      </c>
      <c r="G94" s="2" cm="1">
        <f t="array" aca="1" ref="G94" ca="1">_FV(table1[[#This Row],[DataField]],"52 week low",TRUE)</f>
        <v>83.44</v>
      </c>
      <c r="H94" s="2" cm="1">
        <f t="array" aca="1" ref="H94" ca="1">_FV(table1[[#This Row],[DataField]],"52 week high",TRUE)</f>
        <v>126</v>
      </c>
      <c r="I94" s="4" cm="1">
        <f t="array" aca="1" ref="I94" ca="1">_FV(table1[[#This Row],[DataField]],"P/E",TRUE)</f>
        <v>13.743</v>
      </c>
      <c r="J94" s="2" t="str">
        <f ca="1">IF(table1[[#This Row],[Price]] &lt; (table1[[#This Row],[52Low]] * 0.25) + table1[[#This Row],[52Low]],  "TRUE", "FALSE")</f>
        <v>FALSE</v>
      </c>
      <c r="K94" s="2" t="str">
        <f ca="1">IF(table1[[#This Row],[Price]] &lt; (table1[[#This Row],[52Low]] * 0.1) + table1[[#This Row],[52Low]],  "TRUE", "FALSE")</f>
        <v>FALSE</v>
      </c>
      <c r="L94" s="6" cm="1">
        <f t="array" aca="1" ref="L94" ca="1">_FV(table1[[#This Row],[DataField]],"Market cap",TRUE)</f>
        <v>51290425256</v>
      </c>
    </row>
    <row r="95" spans="1:12" x14ac:dyDescent="0.2">
      <c r="A95" t="e" vm="95">
        <v>#VALUE!</v>
      </c>
      <c r="B95" t="str" cm="1">
        <f t="array" aca="1" ref="B95" ca="1">_FV(table1[[#This Row],[DataField]],"Ticker symbol",TRUE)</f>
        <v>TSCO</v>
      </c>
      <c r="F95" s="2" cm="1">
        <f t="array" aca="1" ref="F95" ca="1">_FV(table1[[#This Row],[DataField]],"Price")</f>
        <v>45.77</v>
      </c>
      <c r="G95" s="2" cm="1">
        <f t="array" aca="1" ref="G95" ca="1">_FV(table1[[#This Row],[DataField]],"52 week low",TRUE)</f>
        <v>45.45</v>
      </c>
      <c r="H95" s="2" cm="1">
        <f t="array" aca="1" ref="H95" ca="1">_FV(table1[[#This Row],[DataField]],"52 week high",TRUE)</f>
        <v>63.989899999999999</v>
      </c>
      <c r="I95" s="4" cm="1">
        <f t="array" aca="1" ref="I95" ca="1">_FV(table1[[#This Row],[DataField]],"P/E",TRUE)</f>
        <v>22.418099999999999</v>
      </c>
      <c r="J95" s="2" t="str">
        <f ca="1">IF(table1[[#This Row],[Price]] &lt; (table1[[#This Row],[52Low]] * 0.25) + table1[[#This Row],[52Low]],  "TRUE", "FALSE")</f>
        <v>TRUE</v>
      </c>
      <c r="K95" s="7" t="str">
        <f ca="1">IF(table1[[#This Row],[Price]] &lt; (table1[[#This Row],[52Low]] * 0.1) + table1[[#This Row],[52Low]],  "TRUE", "FALSE")</f>
        <v>TRUE</v>
      </c>
      <c r="L95" s="6" cm="1">
        <f t="array" aca="1" ref="L95" ca="1">_FV(table1[[#This Row],[DataField]],"Market cap",TRUE)</f>
        <v>24091099001</v>
      </c>
    </row>
    <row r="96" spans="1:12" x14ac:dyDescent="0.2">
      <c r="A96" t="e" vm="96">
        <v>#VALUE!</v>
      </c>
      <c r="B96" t="str" cm="1">
        <f t="array" aca="1" ref="B96" ca="1">_FV(table1[[#This Row],[DataField]],"Ticker symbol",TRUE)</f>
        <v>TSM</v>
      </c>
      <c r="F96" s="2" cm="1">
        <f t="array" aca="1" ref="F96" ca="1">_FV(table1[[#This Row],[DataField]],"Price")</f>
        <v>329.24</v>
      </c>
      <c r="G96" s="2" cm="1">
        <f t="array" aca="1" ref="G96" ca="1">_FV(table1[[#This Row],[DataField]],"52 week low",TRUE)</f>
        <v>134.25</v>
      </c>
      <c r="H96" s="2" cm="1">
        <f t="array" aca="1" ref="H96" ca="1">_FV(table1[[#This Row],[DataField]],"52 week high",TRUE)</f>
        <v>390.20499999999998</v>
      </c>
      <c r="I96" s="4" cm="1">
        <f t="array" aca="1" ref="I96" ca="1">_FV(table1[[#This Row],[DataField]],"P/E",TRUE)</f>
        <v>31.142900000000001</v>
      </c>
      <c r="J96" s="2" t="str">
        <f ca="1">IF(table1[[#This Row],[Price]] &lt; (table1[[#This Row],[52Low]] * 0.25) + table1[[#This Row],[52Low]],  "TRUE", "FALSE")</f>
        <v>FALSE</v>
      </c>
      <c r="K96" s="2" t="str">
        <f ca="1">IF(table1[[#This Row],[Price]] &lt; (table1[[#This Row],[52Low]] * 0.1) + table1[[#This Row],[52Low]],  "TRUE", "FALSE")</f>
        <v>FALSE</v>
      </c>
      <c r="L96" s="6" cm="1">
        <f t="array" aca="1" ref="L96" ca="1">_FV(table1[[#This Row],[DataField]],"Market cap",TRUE)</f>
        <v>1764604596150</v>
      </c>
    </row>
    <row r="97" spans="1:12" x14ac:dyDescent="0.2">
      <c r="A97" t="e" vm="97">
        <v>#VALUE!</v>
      </c>
      <c r="B97" t="str" cm="1">
        <f t="array" aca="1" ref="B97" ca="1">_FV(table1[[#This Row],[DataField]],"Ticker symbol",TRUE)</f>
        <v>UNP</v>
      </c>
      <c r="F97" s="2" cm="1">
        <f t="array" aca="1" ref="F97" ca="1">_FV(table1[[#This Row],[DataField]],"Price")</f>
        <v>234.92</v>
      </c>
      <c r="G97" s="2" cm="1">
        <f t="array" aca="1" ref="G97" ca="1">_FV(table1[[#This Row],[DataField]],"52 week low",TRUE)</f>
        <v>204.66</v>
      </c>
      <c r="H97" s="2" cm="1">
        <f t="array" aca="1" ref="H97" ca="1">_FV(table1[[#This Row],[DataField]],"52 week high",TRUE)</f>
        <v>268.14</v>
      </c>
      <c r="I97" s="4" cm="1">
        <f t="array" aca="1" ref="I97" ca="1">_FV(table1[[#This Row],[DataField]],"P/E",TRUE)</f>
        <v>19.603899999999999</v>
      </c>
      <c r="J97" s="2" t="str">
        <f ca="1">IF(table1[[#This Row],[Price]] &lt; (table1[[#This Row],[52Low]] * 0.25) + table1[[#This Row],[52Low]],  "TRUE", "FALSE")</f>
        <v>TRUE</v>
      </c>
      <c r="K97" s="2" t="str">
        <f ca="1">IF(table1[[#This Row],[Price]] &lt; (table1[[#This Row],[52Low]] * 0.1) + table1[[#This Row],[52Low]],  "TRUE", "FALSE")</f>
        <v>FALSE</v>
      </c>
      <c r="L97" s="6" cm="1">
        <f t="array" aca="1" ref="L97" ca="1">_FV(table1[[#This Row],[DataField]],"Market cap",TRUE)</f>
        <v>139399531180</v>
      </c>
    </row>
    <row r="98" spans="1:12" x14ac:dyDescent="0.2">
      <c r="A98" t="e" vm="98">
        <v>#VALUE!</v>
      </c>
      <c r="B98" t="str" cm="1">
        <f t="array" aca="1" ref="B98" ca="1">_FV(table1[[#This Row],[DataField]],"Ticker symbol",TRUE)</f>
        <v>V</v>
      </c>
      <c r="F98" s="2" cm="1">
        <f t="array" aca="1" ref="F98" ca="1">_FV(table1[[#This Row],[DataField]],"Price")</f>
        <v>301.62</v>
      </c>
      <c r="G98" s="2" cm="1">
        <f t="array" aca="1" ref="G98" ca="1">_FV(table1[[#This Row],[DataField]],"52 week low",TRUE)</f>
        <v>297.03219999999999</v>
      </c>
      <c r="H98" s="2" cm="1">
        <f t="array" aca="1" ref="H98" ca="1">_FV(table1[[#This Row],[DataField]],"52 week high",TRUE)</f>
        <v>375.51</v>
      </c>
      <c r="I98" s="4" cm="1">
        <f t="array" aca="1" ref="I98" ca="1">_FV(table1[[#This Row],[DataField]],"P/E",TRUE)</f>
        <v>28.1234</v>
      </c>
      <c r="J98" s="2" t="str">
        <f ca="1">IF(table1[[#This Row],[Price]] &lt; (table1[[#This Row],[52Low]] * 0.25) + table1[[#This Row],[52Low]],  "TRUE", "FALSE")</f>
        <v>TRUE</v>
      </c>
      <c r="K98" s="2" t="str">
        <f ca="1">IF(table1[[#This Row],[Price]] &lt; (table1[[#This Row],[52Low]] * 0.1) + table1[[#This Row],[52Low]],  "TRUE", "FALSE")</f>
        <v>TRUE</v>
      </c>
      <c r="L98" s="6" cm="1">
        <f t="array" aca="1" ref="L98" ca="1">_FV(table1[[#This Row],[DataField]],"Market cap",TRUE)</f>
        <v>574890434580</v>
      </c>
    </row>
    <row r="99" spans="1:12" x14ac:dyDescent="0.2">
      <c r="A99" t="e" vm="99">
        <v>#VALUE!</v>
      </c>
      <c r="B99" t="str" cm="1">
        <f t="array" aca="1" ref="B99" ca="1">_FV(table1[[#This Row],[DataField]],"Ticker symbol",TRUE)</f>
        <v>VICI</v>
      </c>
      <c r="F99" s="2" cm="1">
        <f t="array" aca="1" ref="F99" ca="1">_FV(table1[[#This Row],[DataField]],"Price")</f>
        <v>26.83</v>
      </c>
      <c r="G99" s="2" cm="1">
        <f t="array" aca="1" ref="G99" ca="1">_FV(table1[[#This Row],[DataField]],"52 week low",TRUE)</f>
        <v>26.754999999999999</v>
      </c>
      <c r="H99" s="2" cm="1">
        <f t="array" aca="1" ref="H99" ca="1">_FV(table1[[#This Row],[DataField]],"52 week high",TRUE)</f>
        <v>34.01</v>
      </c>
      <c r="I99" s="4" cm="1">
        <f t="array" aca="1" ref="I99" ca="1">_FV(table1[[#This Row],[DataField]],"P/E",TRUE)</f>
        <v>10.271800000000001</v>
      </c>
      <c r="J99" s="2" t="str">
        <f ca="1">IF(table1[[#This Row],[Price]] &lt; (table1[[#This Row],[52Low]] * 0.25) + table1[[#This Row],[52Low]],  "TRUE", "FALSE")</f>
        <v>TRUE</v>
      </c>
      <c r="K99" s="7" t="str">
        <f ca="1">IF(table1[[#This Row],[Price]] &lt; (table1[[#This Row],[52Low]] * 0.1) + table1[[#This Row],[52Low]],  "TRUE", "FALSE")</f>
        <v>TRUE</v>
      </c>
      <c r="L99" s="6" cm="1">
        <f t="array" aca="1" ref="L99" ca="1">_FV(table1[[#This Row],[DataField]],"Market cap",TRUE)</f>
        <v>28680974870</v>
      </c>
    </row>
    <row r="100" spans="1:12" x14ac:dyDescent="0.2">
      <c r="A100" t="e" vm="100">
        <v>#VALUE!</v>
      </c>
      <c r="B100" t="str" cm="1">
        <f t="array" aca="1" ref="B100" ca="1">_FV(table1[[#This Row],[DataField]],"Ticker symbol",TRUE)</f>
        <v>WMT</v>
      </c>
      <c r="F100" s="2" cm="1">
        <f t="array" aca="1" ref="F100" ca="1">_FV(table1[[#This Row],[DataField]],"Price")</f>
        <v>119.02</v>
      </c>
      <c r="G100" s="2" cm="1">
        <f t="array" aca="1" ref="G100" ca="1">_FV(table1[[#This Row],[DataField]],"52 week low",TRUE)</f>
        <v>79.81</v>
      </c>
      <c r="H100" s="2" cm="1">
        <f t="array" aca="1" ref="H100" ca="1">_FV(table1[[#This Row],[DataField]],"52 week high",TRUE)</f>
        <v>134.69</v>
      </c>
      <c r="I100" s="4" cm="1">
        <f t="array" aca="1" ref="I100" ca="1">_FV(table1[[#This Row],[DataField]],"P/E",TRUE)</f>
        <v>44.27</v>
      </c>
      <c r="J100" s="2" t="str">
        <f ca="1">IF(table1[[#This Row],[Price]] &lt; (table1[[#This Row],[52Low]] * 0.25) + table1[[#This Row],[52Low]],  "TRUE", "FALSE")</f>
        <v>FALSE</v>
      </c>
      <c r="K100" s="2" t="str">
        <f ca="1">IF(table1[[#This Row],[Price]] &lt; (table1[[#This Row],[52Low]] * 0.1) + table1[[#This Row],[52Low]],  "TRUE", "FALSE")</f>
        <v>FALSE</v>
      </c>
      <c r="L100" s="6" cm="1">
        <f t="array" aca="1" ref="L100" ca="1">_FV(table1[[#This Row],[DataField]],"Market cap",TRUE)</f>
        <v>948875286040</v>
      </c>
    </row>
    <row r="101" spans="1:12" x14ac:dyDescent="0.2">
      <c r="A101" t="e" vm="101">
        <v>#VALUE!</v>
      </c>
      <c r="B101" t="str" cm="1">
        <f t="array" aca="1" ref="B101" ca="1">_FV(table1[[#This Row],[DataField]],"Ticker symbol",TRUE)</f>
        <v>XOM</v>
      </c>
      <c r="F101" s="2" cm="1">
        <f t="array" aca="1" ref="F101" ca="1">_FV(table1[[#This Row],[DataField]],"Price")</f>
        <v>159.66999999999999</v>
      </c>
      <c r="G101" s="2" cm="1">
        <f t="array" aca="1" ref="G101" ca="1">_FV(table1[[#This Row],[DataField]],"52 week low",TRUE)</f>
        <v>97.8</v>
      </c>
      <c r="H101" s="2" cm="1">
        <f t="array" aca="1" ref="H101" ca="1">_FV(table1[[#This Row],[DataField]],"52 week high",TRUE)</f>
        <v>162.44</v>
      </c>
      <c r="I101" s="4" cm="1">
        <f t="array" aca="1" ref="I101" ca="1">_FV(table1[[#This Row],[DataField]],"P/E",TRUE)</f>
        <v>23.9009</v>
      </c>
      <c r="J101" s="2" t="str">
        <f ca="1">IF(table1[[#This Row],[Price]] &lt; (table1[[#This Row],[52Low]] * 0.25) + table1[[#This Row],[52Low]],  "TRUE", "FALSE")</f>
        <v>FALSE</v>
      </c>
      <c r="K101" s="2" t="str">
        <f ca="1">IF(table1[[#This Row],[Price]] &lt; (table1[[#This Row],[52Low]] * 0.1) + table1[[#This Row],[52Low]],  "TRUE", "FALSE")</f>
        <v>FALSE</v>
      </c>
      <c r="L101" s="6" cm="1">
        <f t="array" aca="1" ref="L101" ca="1">_FV(table1[[#This Row],[DataField]],"Market cap",TRUE)</f>
        <v>665307207880</v>
      </c>
    </row>
    <row r="102" spans="1:12" x14ac:dyDescent="0.2">
      <c r="A102" t="e" vm="102">
        <v>#VALUE!</v>
      </c>
      <c r="B102" t="str" cm="1">
        <f t="array" aca="1" ref="B102" ca="1">_FV(table1[[#This Row],[DataField]],"Ticker symbol",TRUE)</f>
        <v>ZTS</v>
      </c>
      <c r="F102" s="2" cm="1">
        <f t="array" aca="1" ref="F102" ca="1">_FV(table1[[#This Row],[DataField]],"Price")</f>
        <v>115.67</v>
      </c>
      <c r="G102" s="2" cm="1">
        <f t="array" aca="1" ref="G102" ca="1">_FV(table1[[#This Row],[DataField]],"52 week low",TRUE)</f>
        <v>114.36</v>
      </c>
      <c r="H102" s="2" cm="1">
        <f t="array" aca="1" ref="H102" ca="1">_FV(table1[[#This Row],[DataField]],"52 week high",TRUE)</f>
        <v>172.23</v>
      </c>
      <c r="I102" s="4" cm="1">
        <f t="array" aca="1" ref="I102" ca="1">_FV(table1[[#This Row],[DataField]],"P/E",TRUE)</f>
        <v>19.207899999999999</v>
      </c>
      <c r="J102" s="2" t="str">
        <f ca="1">IF(table1[[#This Row],[Price]] &lt; (table1[[#This Row],[52Low]] * 0.25) + table1[[#This Row],[52Low]],  "TRUE", "FALSE")</f>
        <v>TRUE</v>
      </c>
      <c r="K102" s="2" t="str">
        <f ca="1">IF(table1[[#This Row],[Price]] &lt; (table1[[#This Row],[52Low]] * 0.1) + table1[[#This Row],[52Low]],  "TRUE", "FALSE")</f>
        <v>TRUE</v>
      </c>
      <c r="L102" s="6" cm="1">
        <f t="array" aca="1" ref="L102" ca="1">_FV(table1[[#This Row],[DataField]],"Market cap",TRUE)</f>
        <v>48827511059</v>
      </c>
    </row>
  </sheetData>
  <phoneticPr fontId="2" type="noConversion"/>
  <conditionalFormatting sqref="B1:B1048576">
    <cfRule type="duplicateValues" dxfId="1" priority="1"/>
  </conditionalFormatting>
  <conditionalFormatting sqref="J1:K102 L95:L1048576">
    <cfRule type="cellIs" dxfId="0" priority="2" operator="equal">
      <formula>"TRUE"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Harvey Wargo</dc:creator>
  <cp:lastModifiedBy>Harvey Wargo</cp:lastModifiedBy>
  <dcterms:created xsi:type="dcterms:W3CDTF">2025-11-18T19:19:58Z</dcterms:created>
  <dcterms:modified xsi:type="dcterms:W3CDTF">2026-03-21T12:21:05Z</dcterms:modified>
</cp:coreProperties>
</file>