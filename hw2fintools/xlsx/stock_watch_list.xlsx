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B4A7042B-B90A-9545-9FAF-5874488E4709}"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a="1"/>
  <c r="B14" i="1" s="1"/>
  <c r="F14" i="1" a="1"/>
  <c r="F14" i="1" s="1"/>
  <c r="G14" i="1" a="1"/>
  <c r="G14" i="1" s="1"/>
  <c r="H14" i="1" a="1"/>
  <c r="H14" i="1" s="1"/>
  <c r="I14" i="1" a="1"/>
  <c r="I14" i="1" s="1"/>
  <c r="L14" i="1" a="1"/>
  <c r="L14" i="1" s="1"/>
  <c r="B104" i="1" a="1"/>
  <c r="B104" i="1" s="1"/>
  <c r="F104" i="1" a="1"/>
  <c r="F104" i="1" s="1"/>
  <c r="G104" i="1" a="1"/>
  <c r="G104" i="1" s="1"/>
  <c r="H104" i="1" a="1"/>
  <c r="H104" i="1" s="1"/>
  <c r="I104" i="1" a="1"/>
  <c r="I104" i="1" s="1"/>
  <c r="L104" i="1" a="1"/>
  <c r="L104" i="1" s="1"/>
  <c r="B102" i="1" a="1"/>
  <c r="B102" i="1" s="1"/>
  <c r="F102" i="1" a="1"/>
  <c r="F102" i="1" s="1"/>
  <c r="G102" i="1" a="1"/>
  <c r="G102" i="1" s="1"/>
  <c r="H102" i="1" a="1"/>
  <c r="H102" i="1" s="1"/>
  <c r="I102" i="1" a="1"/>
  <c r="I102" i="1" s="1"/>
  <c r="L102" i="1" a="1"/>
  <c r="L102" i="1" s="1"/>
  <c r="B99" i="1" a="1"/>
  <c r="B99" i="1" s="1"/>
  <c r="F99" i="1" a="1"/>
  <c r="F99" i="1" s="1"/>
  <c r="G99" i="1" a="1"/>
  <c r="G99" i="1" s="1"/>
  <c r="H99" i="1" a="1"/>
  <c r="H99" i="1" s="1"/>
  <c r="I99" i="1" a="1"/>
  <c r="I99" i="1" s="1"/>
  <c r="L99" i="1" a="1"/>
  <c r="L99" i="1" s="1"/>
  <c r="B98" i="1" a="1"/>
  <c r="B98" i="1" s="1"/>
  <c r="F98" i="1" a="1"/>
  <c r="F98" i="1" s="1"/>
  <c r="G98" i="1" a="1"/>
  <c r="G98" i="1" s="1"/>
  <c r="H98" i="1" a="1"/>
  <c r="H98" i="1" s="1"/>
  <c r="I98" i="1" a="1"/>
  <c r="I98" i="1" s="1"/>
  <c r="L98" i="1" a="1"/>
  <c r="L98" i="1" s="1"/>
  <c r="B60" i="1" a="1"/>
  <c r="B60" i="1" s="1"/>
  <c r="F60" i="1" a="1"/>
  <c r="F60" i="1" s="1"/>
  <c r="G60" i="1" a="1"/>
  <c r="G60" i="1" s="1"/>
  <c r="H60" i="1" a="1"/>
  <c r="H60" i="1" s="1"/>
  <c r="I60" i="1" a="1"/>
  <c r="I60" i="1" s="1"/>
  <c r="L60" i="1" a="1"/>
  <c r="L60" i="1" s="1"/>
  <c r="B55" i="1" a="1"/>
  <c r="B55" i="1" s="1"/>
  <c r="F55" i="1" a="1"/>
  <c r="F55" i="1" s="1"/>
  <c r="G55" i="1" a="1"/>
  <c r="G55" i="1" s="1"/>
  <c r="H55" i="1" a="1"/>
  <c r="H55" i="1" s="1"/>
  <c r="I55" i="1" a="1"/>
  <c r="I55" i="1" s="1"/>
  <c r="L55" i="1" a="1"/>
  <c r="L55" i="1" s="1"/>
  <c r="J14" i="1" l="1"/>
  <c r="K14" i="1"/>
  <c r="J104" i="1"/>
  <c r="K104" i="1"/>
  <c r="K102" i="1"/>
  <c r="J99" i="1"/>
  <c r="J102" i="1"/>
  <c r="K99" i="1"/>
  <c r="K98" i="1"/>
  <c r="J98" i="1"/>
  <c r="J60" i="1"/>
  <c r="K60" i="1"/>
  <c r="J55" i="1"/>
  <c r="K55" i="1"/>
  <c r="B49" i="1" a="1"/>
  <c r="B49" i="1" s="1"/>
  <c r="F49" i="1" a="1"/>
  <c r="F49" i="1" s="1"/>
  <c r="G49" i="1" a="1"/>
  <c r="G49" i="1" s="1"/>
  <c r="H49" i="1" a="1"/>
  <c r="H49" i="1" s="1"/>
  <c r="I49" i="1" a="1"/>
  <c r="I49" i="1" s="1"/>
  <c r="L49" i="1" a="1"/>
  <c r="L49" i="1" s="1"/>
  <c r="B50" i="1" a="1"/>
  <c r="B50" i="1" s="1"/>
  <c r="F50" i="1" a="1"/>
  <c r="F50" i="1" s="1"/>
  <c r="G50" i="1" a="1"/>
  <c r="G50" i="1" s="1"/>
  <c r="H50" i="1" a="1"/>
  <c r="H50" i="1" s="1"/>
  <c r="I50" i="1" a="1"/>
  <c r="I50" i="1" s="1"/>
  <c r="L50" i="1" a="1"/>
  <c r="L50" i="1" s="1"/>
  <c r="B51" i="1" a="1"/>
  <c r="B51" i="1" s="1"/>
  <c r="F51" i="1" a="1"/>
  <c r="F51" i="1" s="1"/>
  <c r="G51" i="1" a="1"/>
  <c r="G51" i="1" s="1"/>
  <c r="H51" i="1" a="1"/>
  <c r="H51" i="1" s="1"/>
  <c r="I51" i="1" a="1"/>
  <c r="I51" i="1" s="1"/>
  <c r="L51" i="1" a="1"/>
  <c r="L51" i="1" s="1"/>
  <c r="F45" i="1" a="1"/>
  <c r="F45" i="1" s="1"/>
  <c r="F101" i="1" a="1"/>
  <c r="F101" i="1" s="1"/>
  <c r="F38" i="1" a="1"/>
  <c r="F38" i="1" s="1"/>
  <c r="F37" i="1" a="1"/>
  <c r="F37" i="1" s="1"/>
  <c r="F17" i="1" a="1"/>
  <c r="F17" i="1" s="1"/>
  <c r="F36" i="1" a="1"/>
  <c r="F36" i="1" s="1"/>
  <c r="F53" i="1" a="1"/>
  <c r="F53" i="1" s="1"/>
  <c r="F103" i="1" a="1"/>
  <c r="F103" i="1" s="1"/>
  <c r="B87" i="1" a="1"/>
  <c r="B87" i="1" s="1"/>
  <c r="F87" i="1" a="1"/>
  <c r="F87" i="1" s="1"/>
  <c r="G87" i="1" a="1"/>
  <c r="G87" i="1" s="1"/>
  <c r="H87" i="1" a="1"/>
  <c r="H87" i="1" s="1"/>
  <c r="I87" i="1" a="1"/>
  <c r="I87" i="1" s="1"/>
  <c r="L87" i="1" a="1"/>
  <c r="L87" i="1" s="1"/>
  <c r="B78" i="1" a="1"/>
  <c r="B78" i="1" s="1"/>
  <c r="F78" i="1" a="1"/>
  <c r="F78" i="1" s="1"/>
  <c r="G78" i="1" a="1"/>
  <c r="G78" i="1" s="1"/>
  <c r="H78" i="1" a="1"/>
  <c r="H78" i="1" s="1"/>
  <c r="I78" i="1" a="1"/>
  <c r="I78" i="1" s="1"/>
  <c r="L78" i="1" a="1"/>
  <c r="L78" i="1" s="1"/>
  <c r="B81" i="1" a="1"/>
  <c r="B81" i="1" s="1"/>
  <c r="F81" i="1" a="1"/>
  <c r="F81" i="1" s="1"/>
  <c r="G81" i="1" a="1"/>
  <c r="G81" i="1" s="1"/>
  <c r="H81" i="1" a="1"/>
  <c r="H81" i="1" s="1"/>
  <c r="I81" i="1" a="1"/>
  <c r="I81" i="1" s="1"/>
  <c r="L81" i="1" a="1"/>
  <c r="L81" i="1" s="1"/>
  <c r="B90" i="1" a="1"/>
  <c r="B90" i="1" s="1"/>
  <c r="F90" i="1" a="1"/>
  <c r="F90" i="1" s="1"/>
  <c r="G90" i="1" a="1"/>
  <c r="G90" i="1" s="1"/>
  <c r="H90" i="1" a="1"/>
  <c r="H90" i="1" s="1"/>
  <c r="I90" i="1" a="1"/>
  <c r="I90" i="1" s="1"/>
  <c r="L90" i="1" a="1"/>
  <c r="L90" i="1" s="1"/>
  <c r="B89" i="1" a="1"/>
  <c r="B89" i="1" s="1"/>
  <c r="F89" i="1" a="1"/>
  <c r="F89" i="1" s="1"/>
  <c r="G89" i="1" a="1"/>
  <c r="G89" i="1" s="1"/>
  <c r="H89" i="1" a="1"/>
  <c r="H89" i="1" s="1"/>
  <c r="I89" i="1" a="1"/>
  <c r="I89" i="1" s="1"/>
  <c r="L89" i="1" a="1"/>
  <c r="L89" i="1" s="1"/>
  <c r="B92" i="1" a="1"/>
  <c r="B92" i="1" s="1"/>
  <c r="F92" i="1" a="1"/>
  <c r="F92" i="1" s="1"/>
  <c r="G92" i="1" a="1"/>
  <c r="G92" i="1" s="1"/>
  <c r="H92" i="1" a="1"/>
  <c r="H92" i="1" s="1"/>
  <c r="I92" i="1" a="1"/>
  <c r="I92" i="1" s="1"/>
  <c r="L92" i="1" a="1"/>
  <c r="L92" i="1" s="1"/>
  <c r="B100" i="1" a="1"/>
  <c r="B100" i="1" s="1"/>
  <c r="F100" i="1" a="1"/>
  <c r="F100" i="1" s="1"/>
  <c r="G100" i="1" a="1"/>
  <c r="G100" i="1" s="1"/>
  <c r="H100" i="1" a="1"/>
  <c r="H100" i="1" s="1"/>
  <c r="I100" i="1" a="1"/>
  <c r="I100" i="1" s="1"/>
  <c r="L100" i="1" a="1"/>
  <c r="L100" i="1" s="1"/>
  <c r="I54" i="1" a="1"/>
  <c r="I54" i="1" s="1"/>
  <c r="I20" i="1" a="1"/>
  <c r="I20" i="1" s="1"/>
  <c r="I39" i="1" a="1"/>
  <c r="I39" i="1" s="1"/>
  <c r="I7" i="1" a="1"/>
  <c r="I7" i="1" s="1"/>
  <c r="I3" i="1" a="1"/>
  <c r="I3" i="1" s="1"/>
  <c r="I56" i="1" a="1"/>
  <c r="I56" i="1" s="1"/>
  <c r="I8" i="1" a="1"/>
  <c r="I8" i="1" s="1"/>
  <c r="I57" i="1" a="1"/>
  <c r="I57" i="1" s="1"/>
  <c r="I58" i="1" a="1"/>
  <c r="I58" i="1" s="1"/>
  <c r="I59" i="1" a="1"/>
  <c r="I59" i="1" s="1"/>
  <c r="I61" i="1" a="1"/>
  <c r="I61" i="1" s="1"/>
  <c r="I46" i="1" a="1"/>
  <c r="I46" i="1" s="1"/>
  <c r="I47" i="1" a="1"/>
  <c r="I47" i="1" s="1"/>
  <c r="I62" i="1" a="1"/>
  <c r="I62" i="1" s="1"/>
  <c r="I63" i="1" a="1"/>
  <c r="I63" i="1" s="1"/>
  <c r="I29" i="1" a="1"/>
  <c r="I29" i="1" s="1"/>
  <c r="I15" i="1" a="1"/>
  <c r="I15" i="1" s="1"/>
  <c r="I64" i="1" a="1"/>
  <c r="I64" i="1" s="1"/>
  <c r="I32" i="1" a="1"/>
  <c r="I32" i="1" s="1"/>
  <c r="I21" i="1" a="1"/>
  <c r="I21" i="1" s="1"/>
  <c r="I42" i="1" a="1"/>
  <c r="I42" i="1" s="1"/>
  <c r="I52" i="1" a="1"/>
  <c r="I52" i="1" s="1"/>
  <c r="I65" i="1" a="1"/>
  <c r="I65" i="1" s="1"/>
  <c r="I66" i="1" a="1"/>
  <c r="I66" i="1" s="1"/>
  <c r="I67" i="1" a="1"/>
  <c r="I67" i="1" s="1"/>
  <c r="I68" i="1" a="1"/>
  <c r="I68" i="1" s="1"/>
  <c r="I69" i="1" a="1"/>
  <c r="I69" i="1" s="1"/>
  <c r="I70" i="1" a="1"/>
  <c r="I70" i="1" s="1"/>
  <c r="I40" i="1" a="1"/>
  <c r="I40" i="1" s="1"/>
  <c r="I71" i="1" a="1"/>
  <c r="I71" i="1" s="1"/>
  <c r="I73" i="1" a="1"/>
  <c r="I73" i="1" s="1"/>
  <c r="I74" i="1" a="1"/>
  <c r="I74" i="1" s="1"/>
  <c r="I75" i="1" a="1"/>
  <c r="I75" i="1" s="1"/>
  <c r="I18" i="1" a="1"/>
  <c r="I18" i="1" s="1"/>
  <c r="I22" i="1" a="1"/>
  <c r="I22" i="1" s="1"/>
  <c r="I4" i="1" a="1"/>
  <c r="I4" i="1" s="1"/>
  <c r="I33" i="1" a="1"/>
  <c r="I33" i="1" s="1"/>
  <c r="I76" i="1" a="1"/>
  <c r="I76" i="1" s="1"/>
  <c r="I23" i="1" a="1"/>
  <c r="I23" i="1" s="1"/>
  <c r="I9" i="1" a="1"/>
  <c r="I9" i="1" s="1"/>
  <c r="I77" i="1" a="1"/>
  <c r="I77" i="1" s="1"/>
  <c r="I43" i="1" a="1"/>
  <c r="I43" i="1" s="1"/>
  <c r="I24" i="1" a="1"/>
  <c r="I24" i="1" s="1"/>
  <c r="I79" i="1" a="1"/>
  <c r="I79" i="1" s="1"/>
  <c r="I80" i="1" a="1"/>
  <c r="I80" i="1" s="1"/>
  <c r="I19" i="1" a="1"/>
  <c r="I19" i="1" s="1"/>
  <c r="I34" i="1" a="1"/>
  <c r="I34" i="1" s="1"/>
  <c r="I10" i="1" a="1"/>
  <c r="I10" i="1" s="1"/>
  <c r="I41" i="1" a="1"/>
  <c r="I41" i="1" s="1"/>
  <c r="I31" i="1" a="1"/>
  <c r="I31" i="1" s="1"/>
  <c r="I82" i="1" a="1"/>
  <c r="I82" i="1" s="1"/>
  <c r="I44" i="1" a="1"/>
  <c r="I44" i="1" s="1"/>
  <c r="I5" i="1" a="1"/>
  <c r="I5" i="1" s="1"/>
  <c r="I25" i="1" a="1"/>
  <c r="I25" i="1" s="1"/>
  <c r="I83" i="1" a="1"/>
  <c r="I83" i="1" s="1"/>
  <c r="I84" i="1" a="1"/>
  <c r="I84" i="1" s="1"/>
  <c r="I85" i="1" a="1"/>
  <c r="I85" i="1" s="1"/>
  <c r="I6" i="1" a="1"/>
  <c r="I6" i="1" s="1"/>
  <c r="I30" i="1" a="1"/>
  <c r="I30" i="1" s="1"/>
  <c r="I86" i="1" a="1"/>
  <c r="I86" i="1" s="1"/>
  <c r="I11" i="1" a="1"/>
  <c r="I11" i="1" s="1"/>
  <c r="I26" i="1" a="1"/>
  <c r="I26" i="1" s="1"/>
  <c r="I88" i="1" a="1"/>
  <c r="I88" i="1" s="1"/>
  <c r="I91" i="1" a="1"/>
  <c r="I91" i="1" s="1"/>
  <c r="I93" i="1" a="1"/>
  <c r="I93" i="1" s="1"/>
  <c r="I94" i="1" a="1"/>
  <c r="I94" i="1" s="1"/>
  <c r="I27" i="1" a="1"/>
  <c r="I27" i="1" s="1"/>
  <c r="I95" i="1" a="1"/>
  <c r="I95" i="1" s="1"/>
  <c r="I96" i="1" a="1"/>
  <c r="I96" i="1" s="1"/>
  <c r="I97" i="1" a="1"/>
  <c r="I97" i="1" s="1"/>
  <c r="I16" i="1" a="1"/>
  <c r="I16" i="1" s="1"/>
  <c r="I35" i="1" a="1"/>
  <c r="I35" i="1" s="1"/>
  <c r="I48" i="1" a="1"/>
  <c r="I48" i="1" s="1"/>
  <c r="I12" i="1" a="1"/>
  <c r="I12" i="1" s="1"/>
  <c r="I28" i="1" a="1"/>
  <c r="I28" i="1" s="1"/>
  <c r="I13" i="1" a="1"/>
  <c r="I13" i="1" s="1"/>
  <c r="I45" i="1" a="1"/>
  <c r="I45" i="1" s="1"/>
  <c r="I101" i="1" a="1"/>
  <c r="I101" i="1" s="1"/>
  <c r="I38" i="1" a="1"/>
  <c r="I38" i="1" s="1"/>
  <c r="I37" i="1" a="1"/>
  <c r="I37" i="1" s="1"/>
  <c r="I17" i="1" a="1"/>
  <c r="I17" i="1" s="1"/>
  <c r="I36" i="1" a="1"/>
  <c r="I36" i="1" s="1"/>
  <c r="I53" i="1" a="1"/>
  <c r="I53" i="1" s="1"/>
  <c r="I103" i="1" a="1"/>
  <c r="I103" i="1" s="1"/>
  <c r="I72" i="1" a="1"/>
  <c r="I72" i="1" s="1"/>
  <c r="I2" i="1" a="1"/>
  <c r="I2" i="1" s="1"/>
  <c r="B72" i="1" a="1"/>
  <c r="B72" i="1" s="1"/>
  <c r="F72" i="1" a="1"/>
  <c r="F72" i="1" s="1"/>
  <c r="G72" i="1" a="1"/>
  <c r="G72" i="1" s="1"/>
  <c r="H72" i="1" a="1"/>
  <c r="H72" i="1" s="1"/>
  <c r="L72" i="1" a="1"/>
  <c r="L72" i="1" s="1"/>
  <c r="B36" i="1" a="1"/>
  <c r="B36" i="1" s="1"/>
  <c r="G36" i="1" a="1"/>
  <c r="G36" i="1" s="1"/>
  <c r="H36" i="1" a="1"/>
  <c r="H36" i="1" s="1"/>
  <c r="L36" i="1" a="1"/>
  <c r="L36" i="1" s="1"/>
  <c r="B88" i="1" a="1"/>
  <c r="B88" i="1" s="1"/>
  <c r="F88" i="1" a="1"/>
  <c r="F88" i="1" s="1"/>
  <c r="G88" i="1" a="1"/>
  <c r="G88" i="1" s="1"/>
  <c r="H88" i="1" a="1"/>
  <c r="H88" i="1" s="1"/>
  <c r="L88" i="1" a="1"/>
  <c r="L88" i="1" s="1"/>
  <c r="B12" i="1" a="1"/>
  <c r="B12" i="1" s="1"/>
  <c r="F12" i="1" a="1"/>
  <c r="F12" i="1" s="1"/>
  <c r="G12" i="1" a="1"/>
  <c r="G12" i="1" s="1"/>
  <c r="H12" i="1" a="1"/>
  <c r="H12" i="1" s="1"/>
  <c r="L12" i="1" a="1"/>
  <c r="L12" i="1" s="1"/>
  <c r="B97" i="1" a="1"/>
  <c r="B97" i="1" s="1"/>
  <c r="F97" i="1" a="1"/>
  <c r="F97" i="1" s="1"/>
  <c r="G97" i="1" a="1"/>
  <c r="G97" i="1" s="1"/>
  <c r="H97" i="1" a="1"/>
  <c r="H97" i="1" s="1"/>
  <c r="L97" i="1" a="1"/>
  <c r="L97" i="1" s="1"/>
  <c r="B58" i="1" a="1"/>
  <c r="B58" i="1" s="1"/>
  <c r="F58" i="1" a="1"/>
  <c r="F58" i="1" s="1"/>
  <c r="G58" i="1" a="1"/>
  <c r="G58" i="1" s="1"/>
  <c r="H58" i="1" a="1"/>
  <c r="H58" i="1" s="1"/>
  <c r="L58" i="1" a="1"/>
  <c r="L58" i="1" s="1"/>
  <c r="B82" i="1" a="1"/>
  <c r="B82" i="1" s="1"/>
  <c r="F82" i="1" a="1"/>
  <c r="F82" i="1" s="1"/>
  <c r="G82" i="1" a="1"/>
  <c r="G82" i="1" s="1"/>
  <c r="H82" i="1" a="1"/>
  <c r="H82" i="1" s="1"/>
  <c r="L82" i="1" a="1"/>
  <c r="L82" i="1" s="1"/>
  <c r="B103" i="1" a="1"/>
  <c r="B103" i="1" s="1"/>
  <c r="G103" i="1" a="1"/>
  <c r="G103" i="1" s="1"/>
  <c r="H103" i="1" a="1"/>
  <c r="H103" i="1" s="1"/>
  <c r="L103" i="1" a="1"/>
  <c r="L103" i="1" s="1"/>
  <c r="B85" i="1" a="1"/>
  <c r="B85" i="1" s="1"/>
  <c r="F85" i="1" a="1"/>
  <c r="F85" i="1" s="1"/>
  <c r="G85" i="1" a="1"/>
  <c r="G85" i="1" s="1"/>
  <c r="H85" i="1" a="1"/>
  <c r="H85" i="1" s="1"/>
  <c r="L85" i="1" a="1"/>
  <c r="L85" i="1" s="1"/>
  <c r="B7" i="1" a="1"/>
  <c r="B7" i="1" s="1"/>
  <c r="F7" i="1" a="1"/>
  <c r="F7" i="1" s="1"/>
  <c r="G7" i="1" a="1"/>
  <c r="G7" i="1" s="1"/>
  <c r="H7" i="1" a="1"/>
  <c r="H7" i="1" s="1"/>
  <c r="L7" i="1" a="1"/>
  <c r="L7" i="1" s="1"/>
  <c r="B83" i="1" a="1"/>
  <c r="B83" i="1" s="1"/>
  <c r="F83" i="1" a="1"/>
  <c r="F83" i="1" s="1"/>
  <c r="G83" i="1" a="1"/>
  <c r="G83" i="1" s="1"/>
  <c r="H83" i="1" a="1"/>
  <c r="H83" i="1" s="1"/>
  <c r="L83" i="1" a="1"/>
  <c r="L83" i="1" s="1"/>
  <c r="B8" i="1" a="1"/>
  <c r="B8" i="1" s="1"/>
  <c r="F8" i="1" a="1"/>
  <c r="F8" i="1" s="1"/>
  <c r="G8" i="1" a="1"/>
  <c r="G8" i="1" s="1"/>
  <c r="H8" i="1" a="1"/>
  <c r="H8" i="1" s="1"/>
  <c r="L8" i="1" a="1"/>
  <c r="L8" i="1" s="1"/>
  <c r="B53" i="1" a="1"/>
  <c r="B53" i="1" s="1"/>
  <c r="G53" i="1" a="1"/>
  <c r="G53" i="1" s="1"/>
  <c r="H53" i="1" a="1"/>
  <c r="H53" i="1" s="1"/>
  <c r="L53" i="1" a="1"/>
  <c r="L53" i="1" s="1"/>
  <c r="B37" i="1" a="1"/>
  <c r="B37" i="1" s="1"/>
  <c r="G37" i="1" a="1"/>
  <c r="G37" i="1" s="1"/>
  <c r="H37" i="1" a="1"/>
  <c r="H37" i="1" s="1"/>
  <c r="L37" i="1" a="1"/>
  <c r="L37" i="1" s="1"/>
  <c r="B45" i="1" a="1"/>
  <c r="B45" i="1" s="1"/>
  <c r="G45" i="1" a="1"/>
  <c r="G45" i="1" s="1"/>
  <c r="H45" i="1" a="1"/>
  <c r="H45" i="1" s="1"/>
  <c r="L45" i="1" a="1"/>
  <c r="L45" i="1" s="1"/>
  <c r="B101" i="1" a="1"/>
  <c r="B101" i="1" s="1"/>
  <c r="G101" i="1" a="1"/>
  <c r="G101" i="1" s="1"/>
  <c r="H101" i="1" a="1"/>
  <c r="H101" i="1" s="1"/>
  <c r="L101" i="1" a="1"/>
  <c r="L101" i="1" s="1"/>
  <c r="B35" i="1" a="1"/>
  <c r="B35" i="1" s="1"/>
  <c r="F35" i="1" a="1"/>
  <c r="F35" i="1" s="1"/>
  <c r="G35" i="1" a="1"/>
  <c r="G35" i="1" s="1"/>
  <c r="H35" i="1" a="1"/>
  <c r="H35" i="1" s="1"/>
  <c r="L35" i="1" a="1"/>
  <c r="L35" i="1" s="1"/>
  <c r="B96" i="1" a="1"/>
  <c r="B96" i="1" s="1"/>
  <c r="F96" i="1" a="1"/>
  <c r="F96" i="1" s="1"/>
  <c r="G96" i="1" a="1"/>
  <c r="G96" i="1" s="1"/>
  <c r="H96" i="1" a="1"/>
  <c r="H96" i="1" s="1"/>
  <c r="L96" i="1" a="1"/>
  <c r="L96" i="1" s="1"/>
  <c r="B95" i="1" a="1"/>
  <c r="B95" i="1" s="1"/>
  <c r="F95" i="1" a="1"/>
  <c r="F95" i="1" s="1"/>
  <c r="G95" i="1" a="1"/>
  <c r="G95" i="1" s="1"/>
  <c r="H95" i="1" a="1"/>
  <c r="H95" i="1" s="1"/>
  <c r="L95" i="1" a="1"/>
  <c r="L95" i="1" s="1"/>
  <c r="B94" i="1" a="1"/>
  <c r="B94" i="1" s="1"/>
  <c r="F94" i="1" a="1"/>
  <c r="F94" i="1" s="1"/>
  <c r="G94" i="1" a="1"/>
  <c r="G94" i="1" s="1"/>
  <c r="H94" i="1" a="1"/>
  <c r="H94" i="1" s="1"/>
  <c r="L94" i="1" a="1"/>
  <c r="L94" i="1" s="1"/>
  <c r="B93" i="1" a="1"/>
  <c r="B93" i="1" s="1"/>
  <c r="F93" i="1" a="1"/>
  <c r="F93" i="1" s="1"/>
  <c r="G93" i="1" a="1"/>
  <c r="G93" i="1" s="1"/>
  <c r="H93" i="1" a="1"/>
  <c r="H93" i="1" s="1"/>
  <c r="L93" i="1" a="1"/>
  <c r="L93" i="1" s="1"/>
  <c r="B91" i="1" a="1"/>
  <c r="B91" i="1" s="1"/>
  <c r="F91" i="1" a="1"/>
  <c r="F91" i="1" s="1"/>
  <c r="G91" i="1" a="1"/>
  <c r="G91" i="1" s="1"/>
  <c r="H91" i="1" a="1"/>
  <c r="H91" i="1" s="1"/>
  <c r="L91" i="1" a="1"/>
  <c r="L91" i="1" s="1"/>
  <c r="B86" i="1" a="1"/>
  <c r="B86" i="1" s="1"/>
  <c r="F86" i="1" a="1"/>
  <c r="F86" i="1" s="1"/>
  <c r="G86" i="1" a="1"/>
  <c r="G86" i="1" s="1"/>
  <c r="H86" i="1" a="1"/>
  <c r="H86" i="1" s="1"/>
  <c r="L86" i="1" a="1"/>
  <c r="L86" i="1" s="1"/>
  <c r="B84" i="1" a="1"/>
  <c r="B84" i="1" s="1"/>
  <c r="F84" i="1" a="1"/>
  <c r="F84" i="1" s="1"/>
  <c r="G84" i="1" a="1"/>
  <c r="G84" i="1" s="1"/>
  <c r="H84" i="1" a="1"/>
  <c r="H84" i="1" s="1"/>
  <c r="L84" i="1" a="1"/>
  <c r="L84" i="1" s="1"/>
  <c r="B80" i="1" a="1"/>
  <c r="B80" i="1" s="1"/>
  <c r="F80" i="1" a="1"/>
  <c r="F80" i="1" s="1"/>
  <c r="G80" i="1" a="1"/>
  <c r="G80" i="1" s="1"/>
  <c r="H80" i="1" a="1"/>
  <c r="H80" i="1" s="1"/>
  <c r="L80" i="1" a="1"/>
  <c r="L80" i="1" s="1"/>
  <c r="B79" i="1" a="1"/>
  <c r="B79" i="1" s="1"/>
  <c r="F79" i="1" a="1"/>
  <c r="F79" i="1" s="1"/>
  <c r="G79" i="1" a="1"/>
  <c r="G79" i="1" s="1"/>
  <c r="H79" i="1" a="1"/>
  <c r="H79" i="1" s="1"/>
  <c r="L79" i="1" a="1"/>
  <c r="L79" i="1" s="1"/>
  <c r="B77" i="1" a="1"/>
  <c r="B77" i="1" s="1"/>
  <c r="F77" i="1" a="1"/>
  <c r="F77" i="1" s="1"/>
  <c r="G77" i="1" a="1"/>
  <c r="G77" i="1" s="1"/>
  <c r="H77" i="1" a="1"/>
  <c r="H77" i="1" s="1"/>
  <c r="L77" i="1" a="1"/>
  <c r="L77" i="1" s="1"/>
  <c r="B9" i="1" a="1"/>
  <c r="B9" i="1" s="1"/>
  <c r="F9" i="1" a="1"/>
  <c r="F9" i="1" s="1"/>
  <c r="G9" i="1" a="1"/>
  <c r="G9" i="1" s="1"/>
  <c r="H9" i="1" a="1"/>
  <c r="H9" i="1" s="1"/>
  <c r="L9" i="1" a="1"/>
  <c r="L9" i="1" s="1"/>
  <c r="B76" i="1" a="1"/>
  <c r="B76" i="1" s="1"/>
  <c r="F76" i="1" a="1"/>
  <c r="F76" i="1" s="1"/>
  <c r="G76" i="1" a="1"/>
  <c r="G76" i="1" s="1"/>
  <c r="H76" i="1" a="1"/>
  <c r="H76" i="1" s="1"/>
  <c r="L76" i="1" a="1"/>
  <c r="L76" i="1" s="1"/>
  <c r="B22" i="1" a="1"/>
  <c r="B22" i="1" s="1"/>
  <c r="F22" i="1" a="1"/>
  <c r="F22" i="1" s="1"/>
  <c r="G22" i="1" a="1"/>
  <c r="G22" i="1" s="1"/>
  <c r="H22" i="1" a="1"/>
  <c r="H22" i="1" s="1"/>
  <c r="L22" i="1" a="1"/>
  <c r="L22" i="1" s="1"/>
  <c r="B75" i="1" a="1"/>
  <c r="B75" i="1" s="1"/>
  <c r="F75" i="1" a="1"/>
  <c r="F75" i="1" s="1"/>
  <c r="G75" i="1" a="1"/>
  <c r="G75" i="1" s="1"/>
  <c r="H75" i="1" a="1"/>
  <c r="H75" i="1" s="1"/>
  <c r="L75" i="1" a="1"/>
  <c r="L75" i="1" s="1"/>
  <c r="B74" i="1" a="1"/>
  <c r="B74" i="1" s="1"/>
  <c r="F74" i="1" a="1"/>
  <c r="F74" i="1" s="1"/>
  <c r="G74" i="1" a="1"/>
  <c r="G74" i="1" s="1"/>
  <c r="H74" i="1" a="1"/>
  <c r="H74" i="1" s="1"/>
  <c r="L74" i="1" a="1"/>
  <c r="L74" i="1" s="1"/>
  <c r="B73" i="1" a="1"/>
  <c r="B73" i="1" s="1"/>
  <c r="F73" i="1" a="1"/>
  <c r="F73" i="1" s="1"/>
  <c r="G73" i="1" a="1"/>
  <c r="G73" i="1" s="1"/>
  <c r="H73" i="1" a="1"/>
  <c r="H73" i="1" s="1"/>
  <c r="L73" i="1" a="1"/>
  <c r="L73" i="1" s="1"/>
  <c r="B71" i="1" a="1"/>
  <c r="B71" i="1" s="1"/>
  <c r="F71" i="1" a="1"/>
  <c r="F71" i="1" s="1"/>
  <c r="G71" i="1" a="1"/>
  <c r="G71" i="1" s="1"/>
  <c r="H71" i="1" a="1"/>
  <c r="H71" i="1" s="1"/>
  <c r="L71" i="1" a="1"/>
  <c r="L71" i="1" s="1"/>
  <c r="B68" i="1" a="1"/>
  <c r="B68" i="1" s="1"/>
  <c r="F68" i="1" a="1"/>
  <c r="F68" i="1" s="1"/>
  <c r="G68" i="1" a="1"/>
  <c r="G68" i="1" s="1"/>
  <c r="H68" i="1" a="1"/>
  <c r="H68" i="1" s="1"/>
  <c r="L68" i="1" a="1"/>
  <c r="L68" i="1" s="1"/>
  <c r="B67" i="1" a="1"/>
  <c r="B67" i="1" s="1"/>
  <c r="F67" i="1" a="1"/>
  <c r="F67" i="1" s="1"/>
  <c r="G67" i="1" a="1"/>
  <c r="G67" i="1" s="1"/>
  <c r="H67" i="1" a="1"/>
  <c r="H67" i="1" s="1"/>
  <c r="L67" i="1" a="1"/>
  <c r="L67" i="1" s="1"/>
  <c r="B70" i="1" a="1"/>
  <c r="B70" i="1" s="1"/>
  <c r="F70" i="1" a="1"/>
  <c r="F70" i="1" s="1"/>
  <c r="G70" i="1" a="1"/>
  <c r="G70" i="1" s="1"/>
  <c r="H70" i="1" a="1"/>
  <c r="H70" i="1" s="1"/>
  <c r="L70" i="1" a="1"/>
  <c r="L70" i="1" s="1"/>
  <c r="B69" i="1" a="1"/>
  <c r="B69" i="1" s="1"/>
  <c r="F69" i="1" a="1"/>
  <c r="F69" i="1" s="1"/>
  <c r="G69" i="1" a="1"/>
  <c r="G69" i="1" s="1"/>
  <c r="H69" i="1" a="1"/>
  <c r="H69" i="1" s="1"/>
  <c r="L69" i="1" a="1"/>
  <c r="L69" i="1" s="1"/>
  <c r="B66" i="1" a="1"/>
  <c r="B66" i="1" s="1"/>
  <c r="F66" i="1" a="1"/>
  <c r="F66" i="1" s="1"/>
  <c r="G66" i="1" a="1"/>
  <c r="G66" i="1" s="1"/>
  <c r="H66" i="1" a="1"/>
  <c r="H66" i="1" s="1"/>
  <c r="L66" i="1" a="1"/>
  <c r="L66" i="1" s="1"/>
  <c r="B65" i="1" a="1"/>
  <c r="B65" i="1" s="1"/>
  <c r="F65" i="1" a="1"/>
  <c r="F65" i="1" s="1"/>
  <c r="G65" i="1" a="1"/>
  <c r="G65" i="1" s="1"/>
  <c r="H65" i="1" a="1"/>
  <c r="H65" i="1" s="1"/>
  <c r="L65" i="1" a="1"/>
  <c r="L65" i="1" s="1"/>
  <c r="B21" i="1" a="1"/>
  <c r="B21" i="1" s="1"/>
  <c r="F21" i="1" a="1"/>
  <c r="F21" i="1" s="1"/>
  <c r="G21" i="1" a="1"/>
  <c r="G21" i="1" s="1"/>
  <c r="H21" i="1" a="1"/>
  <c r="H21" i="1" s="1"/>
  <c r="L21" i="1" a="1"/>
  <c r="L21" i="1" s="1"/>
  <c r="B32" i="1" a="1"/>
  <c r="B32" i="1" s="1"/>
  <c r="F32" i="1" a="1"/>
  <c r="F32" i="1" s="1"/>
  <c r="G32" i="1" a="1"/>
  <c r="G32" i="1" s="1"/>
  <c r="H32" i="1" a="1"/>
  <c r="H32" i="1" s="1"/>
  <c r="L32" i="1" a="1"/>
  <c r="L32" i="1" s="1"/>
  <c r="B64" i="1" a="1"/>
  <c r="B64" i="1" s="1"/>
  <c r="F64" i="1" a="1"/>
  <c r="F64" i="1" s="1"/>
  <c r="G64" i="1" a="1"/>
  <c r="G64" i="1" s="1"/>
  <c r="H64" i="1" a="1"/>
  <c r="H64" i="1" s="1"/>
  <c r="L64" i="1" a="1"/>
  <c r="L64" i="1" s="1"/>
  <c r="B63" i="1" a="1"/>
  <c r="B63" i="1" s="1"/>
  <c r="F63" i="1" a="1"/>
  <c r="F63" i="1" s="1"/>
  <c r="G63" i="1" a="1"/>
  <c r="G63" i="1" s="1"/>
  <c r="H63" i="1" a="1"/>
  <c r="H63" i="1" s="1"/>
  <c r="L63" i="1" a="1"/>
  <c r="L63" i="1" s="1"/>
  <c r="B62" i="1" a="1"/>
  <c r="B62" i="1" s="1"/>
  <c r="F62" i="1" a="1"/>
  <c r="F62" i="1" s="1"/>
  <c r="G62" i="1" a="1"/>
  <c r="G62" i="1" s="1"/>
  <c r="H62" i="1" a="1"/>
  <c r="H62" i="1" s="1"/>
  <c r="L62" i="1" a="1"/>
  <c r="L62" i="1" s="1"/>
  <c r="B61" i="1" a="1"/>
  <c r="B61" i="1" s="1"/>
  <c r="F61" i="1" a="1"/>
  <c r="F61" i="1" s="1"/>
  <c r="G61" i="1" a="1"/>
  <c r="G61" i="1" s="1"/>
  <c r="H61" i="1" a="1"/>
  <c r="H61" i="1" s="1"/>
  <c r="L61" i="1" a="1"/>
  <c r="L61" i="1" s="1"/>
  <c r="B59" i="1" a="1"/>
  <c r="B59" i="1" s="1"/>
  <c r="F59" i="1" a="1"/>
  <c r="F59" i="1" s="1"/>
  <c r="G59" i="1" a="1"/>
  <c r="G59" i="1" s="1"/>
  <c r="H59" i="1" a="1"/>
  <c r="H59" i="1" s="1"/>
  <c r="L59" i="1" a="1"/>
  <c r="L59" i="1" s="1"/>
  <c r="B57" i="1" a="1"/>
  <c r="B57" i="1" s="1"/>
  <c r="F57" i="1" a="1"/>
  <c r="F57" i="1" s="1"/>
  <c r="G57" i="1" a="1"/>
  <c r="G57" i="1" s="1"/>
  <c r="H57" i="1" a="1"/>
  <c r="H57" i="1" s="1"/>
  <c r="L57" i="1" a="1"/>
  <c r="L57" i="1" s="1"/>
  <c r="B56" i="1" a="1"/>
  <c r="B56" i="1" s="1"/>
  <c r="F56" i="1" a="1"/>
  <c r="F56" i="1" s="1"/>
  <c r="G56" i="1" a="1"/>
  <c r="G56" i="1" s="1"/>
  <c r="H56" i="1" a="1"/>
  <c r="H56" i="1" s="1"/>
  <c r="L56" i="1" a="1"/>
  <c r="L56" i="1" s="1"/>
  <c r="B39" i="1" a="1"/>
  <c r="B39" i="1" s="1"/>
  <c r="F39" i="1" a="1"/>
  <c r="F39" i="1" s="1"/>
  <c r="G39" i="1" a="1"/>
  <c r="G39" i="1" s="1"/>
  <c r="H39" i="1" a="1"/>
  <c r="H39" i="1" s="1"/>
  <c r="L39" i="1" a="1"/>
  <c r="L39" i="1" s="1"/>
  <c r="B54" i="1" a="1"/>
  <c r="B54" i="1" s="1"/>
  <c r="F54" i="1" a="1"/>
  <c r="F54" i="1" s="1"/>
  <c r="G54" i="1" a="1"/>
  <c r="G54" i="1" s="1"/>
  <c r="H54" i="1" a="1"/>
  <c r="H54" i="1" s="1"/>
  <c r="L54" i="1" a="1"/>
  <c r="L54" i="1" s="1"/>
  <c r="J49" i="1" l="1"/>
  <c r="K49" i="1"/>
  <c r="J50" i="1"/>
  <c r="J51" i="1"/>
  <c r="K50" i="1"/>
  <c r="K51" i="1"/>
  <c r="J87" i="1"/>
  <c r="K87" i="1"/>
  <c r="J78" i="1"/>
  <c r="J81" i="1"/>
  <c r="K78" i="1"/>
  <c r="K81" i="1"/>
  <c r="J90" i="1"/>
  <c r="K90" i="1"/>
  <c r="K89" i="1"/>
  <c r="J92" i="1"/>
  <c r="J89" i="1"/>
  <c r="J100" i="1"/>
  <c r="K92" i="1"/>
  <c r="K100" i="1"/>
  <c r="J72" i="1"/>
  <c r="K72" i="1"/>
  <c r="J36" i="1"/>
  <c r="K36" i="1"/>
  <c r="J88" i="1"/>
  <c r="K88" i="1"/>
  <c r="K12" i="1"/>
  <c r="J12" i="1"/>
  <c r="J97" i="1"/>
  <c r="K97" i="1"/>
  <c r="J58" i="1"/>
  <c r="J82" i="1"/>
  <c r="K58" i="1"/>
  <c r="J103" i="1"/>
  <c r="K82" i="1"/>
  <c r="J85" i="1"/>
  <c r="K103" i="1"/>
  <c r="K85" i="1"/>
  <c r="J7" i="1"/>
  <c r="J83" i="1"/>
  <c r="K7" i="1"/>
  <c r="J8" i="1"/>
  <c r="K83" i="1"/>
  <c r="K8" i="1"/>
  <c r="K37" i="1"/>
  <c r="J53" i="1"/>
  <c r="K53" i="1"/>
  <c r="J37" i="1"/>
  <c r="J45" i="1"/>
  <c r="K45" i="1"/>
  <c r="J101" i="1"/>
  <c r="J35" i="1"/>
  <c r="K101" i="1"/>
  <c r="J96" i="1"/>
  <c r="K35" i="1"/>
  <c r="J95" i="1"/>
  <c r="K96" i="1"/>
  <c r="J94" i="1"/>
  <c r="K95" i="1"/>
  <c r="J93" i="1"/>
  <c r="K94" i="1"/>
  <c r="K93" i="1"/>
  <c r="J91" i="1"/>
  <c r="J86" i="1"/>
  <c r="K91" i="1"/>
  <c r="J84" i="1"/>
  <c r="K86" i="1"/>
  <c r="K84" i="1"/>
  <c r="J80" i="1"/>
  <c r="K79" i="1"/>
  <c r="K80" i="1"/>
  <c r="J79" i="1"/>
  <c r="J77" i="1"/>
  <c r="J9" i="1"/>
  <c r="K77" i="1"/>
  <c r="K9" i="1"/>
  <c r="J76" i="1"/>
  <c r="K76" i="1"/>
  <c r="J22" i="1"/>
  <c r="K22" i="1"/>
  <c r="J75" i="1"/>
  <c r="K74" i="1"/>
  <c r="K75" i="1"/>
  <c r="J74" i="1"/>
  <c r="J73" i="1"/>
  <c r="K73" i="1"/>
  <c r="J71" i="1"/>
  <c r="K71" i="1"/>
  <c r="J68" i="1"/>
  <c r="K68" i="1"/>
  <c r="J70" i="1"/>
  <c r="J67" i="1"/>
  <c r="K67" i="1"/>
  <c r="J69" i="1"/>
  <c r="K70" i="1"/>
  <c r="J66" i="1"/>
  <c r="K69" i="1"/>
  <c r="K66" i="1"/>
  <c r="J65" i="1"/>
  <c r="K65" i="1"/>
  <c r="K21" i="1"/>
  <c r="J21" i="1"/>
  <c r="J32" i="1"/>
  <c r="K32" i="1"/>
  <c r="J64" i="1"/>
  <c r="K64" i="1"/>
  <c r="J63" i="1"/>
  <c r="K63" i="1"/>
  <c r="J62" i="1"/>
  <c r="K62" i="1"/>
  <c r="J61" i="1"/>
  <c r="J59" i="1"/>
  <c r="K61" i="1"/>
  <c r="K59" i="1"/>
  <c r="J57" i="1"/>
  <c r="J56" i="1"/>
  <c r="K57" i="1"/>
  <c r="K56" i="1"/>
  <c r="J39" i="1"/>
  <c r="K39" i="1"/>
  <c r="K54" i="1"/>
  <c r="J54" i="1"/>
  <c r="B5" i="1" l="1" a="1"/>
  <c r="B5" i="1" s="1"/>
  <c r="F5" i="1" a="1"/>
  <c r="F5" i="1" s="1"/>
  <c r="G5" i="1" a="1"/>
  <c r="G5" i="1" s="1"/>
  <c r="H5" i="1" a="1"/>
  <c r="H5" i="1" s="1"/>
  <c r="L5" i="1" a="1"/>
  <c r="L5" i="1" s="1"/>
  <c r="B11" i="1" a="1"/>
  <c r="B11" i="1" s="1"/>
  <c r="F11" i="1" a="1"/>
  <c r="F11" i="1" s="1"/>
  <c r="G11" i="1" a="1"/>
  <c r="G11" i="1" s="1"/>
  <c r="H11" i="1" a="1"/>
  <c r="H11" i="1" s="1"/>
  <c r="L11" i="1" a="1"/>
  <c r="L11" i="1" s="1"/>
  <c r="B4" i="1" a="1"/>
  <c r="B4" i="1" s="1"/>
  <c r="F4" i="1" a="1"/>
  <c r="F4" i="1" s="1"/>
  <c r="G4" i="1" a="1"/>
  <c r="G4" i="1" s="1"/>
  <c r="H4" i="1" a="1"/>
  <c r="H4" i="1" s="1"/>
  <c r="L4" i="1" a="1"/>
  <c r="L4" i="1" s="1"/>
  <c r="F30" i="1" a="1"/>
  <c r="F30" i="1" s="1"/>
  <c r="F26" i="1" a="1"/>
  <c r="F26" i="1" s="1"/>
  <c r="F27" i="1" a="1"/>
  <c r="F27" i="1" s="1"/>
  <c r="F16" i="1" a="1"/>
  <c r="F16" i="1" s="1"/>
  <c r="F48" i="1" a="1"/>
  <c r="F48" i="1" s="1"/>
  <c r="F28" i="1" a="1"/>
  <c r="F28" i="1" s="1"/>
  <c r="F13" i="1" a="1"/>
  <c r="F13" i="1" s="1"/>
  <c r="F10" i="1" a="1"/>
  <c r="F10" i="1" s="1"/>
  <c r="F31" i="1" a="1"/>
  <c r="F31" i="1" s="1"/>
  <c r="F24" i="1" a="1"/>
  <c r="F24" i="1" s="1"/>
  <c r="L2" i="1" a="1"/>
  <c r="L2" i="1" s="1"/>
  <c r="L20" i="1" a="1"/>
  <c r="L20" i="1" s="1"/>
  <c r="L3" i="1" a="1"/>
  <c r="L3" i="1" s="1"/>
  <c r="L46" i="1" a="1"/>
  <c r="L46" i="1" s="1"/>
  <c r="L47" i="1" a="1"/>
  <c r="L47" i="1" s="1"/>
  <c r="L29" i="1" a="1"/>
  <c r="L29" i="1" s="1"/>
  <c r="L15" i="1" a="1"/>
  <c r="L15" i="1" s="1"/>
  <c r="L42" i="1" a="1"/>
  <c r="L42" i="1" s="1"/>
  <c r="L52" i="1" a="1"/>
  <c r="L52" i="1" s="1"/>
  <c r="L40" i="1" a="1"/>
  <c r="L40" i="1" s="1"/>
  <c r="L18" i="1" a="1"/>
  <c r="L18" i="1" s="1"/>
  <c r="L33" i="1" a="1"/>
  <c r="L33" i="1" s="1"/>
  <c r="L23" i="1" a="1"/>
  <c r="L23" i="1" s="1"/>
  <c r="L43" i="1" a="1"/>
  <c r="L43" i="1" s="1"/>
  <c r="L19" i="1" a="1"/>
  <c r="L19" i="1" s="1"/>
  <c r="L34" i="1" a="1"/>
  <c r="L34" i="1" s="1"/>
  <c r="L41" i="1" a="1"/>
  <c r="L41" i="1" s="1"/>
  <c r="L44" i="1" a="1"/>
  <c r="L44" i="1" s="1"/>
  <c r="L25" i="1" a="1"/>
  <c r="L25" i="1" s="1"/>
  <c r="L6" i="1" a="1"/>
  <c r="L6" i="1" s="1"/>
  <c r="L30" i="1" a="1"/>
  <c r="L30" i="1" s="1"/>
  <c r="L26" i="1" a="1"/>
  <c r="L26" i="1" s="1"/>
  <c r="L27" i="1" a="1"/>
  <c r="L27" i="1" s="1"/>
  <c r="L16" i="1" a="1"/>
  <c r="L16" i="1" s="1"/>
  <c r="L48" i="1" a="1"/>
  <c r="L48" i="1" s="1"/>
  <c r="L28" i="1" a="1"/>
  <c r="L28" i="1" s="1"/>
  <c r="L13" i="1" a="1"/>
  <c r="L13" i="1" s="1"/>
  <c r="L38" i="1" a="1"/>
  <c r="L38" i="1" s="1"/>
  <c r="L17" i="1" a="1"/>
  <c r="L17" i="1" s="1"/>
  <c r="L10" i="1" a="1"/>
  <c r="L10" i="1" s="1"/>
  <c r="L31" i="1" a="1"/>
  <c r="L31" i="1" s="1"/>
  <c r="L24" i="1" a="1"/>
  <c r="L24" i="1" s="1"/>
  <c r="H2" i="1" a="1"/>
  <c r="H2" i="1" s="1"/>
  <c r="H20" i="1" a="1"/>
  <c r="H20" i="1" s="1"/>
  <c r="H3" i="1" a="1"/>
  <c r="H3" i="1" s="1"/>
  <c r="H46" i="1" a="1"/>
  <c r="H46" i="1" s="1"/>
  <c r="H47" i="1" a="1"/>
  <c r="H47" i="1" s="1"/>
  <c r="H29" i="1" a="1"/>
  <c r="H29" i="1" s="1"/>
  <c r="H15" i="1" a="1"/>
  <c r="H15" i="1" s="1"/>
  <c r="H42" i="1" a="1"/>
  <c r="H42" i="1" s="1"/>
  <c r="H52" i="1" a="1"/>
  <c r="H52" i="1" s="1"/>
  <c r="H40" i="1" a="1"/>
  <c r="H40" i="1" s="1"/>
  <c r="H18" i="1" a="1"/>
  <c r="H18" i="1" s="1"/>
  <c r="H33" i="1" a="1"/>
  <c r="H33" i="1" s="1"/>
  <c r="H23" i="1" a="1"/>
  <c r="H23" i="1" s="1"/>
  <c r="H43" i="1" a="1"/>
  <c r="H43" i="1" s="1"/>
  <c r="H19" i="1" a="1"/>
  <c r="H19" i="1" s="1"/>
  <c r="H34" i="1" a="1"/>
  <c r="H34" i="1" s="1"/>
  <c r="H41" i="1" a="1"/>
  <c r="H41" i="1" s="1"/>
  <c r="H44" i="1" a="1"/>
  <c r="H44" i="1" s="1"/>
  <c r="H25" i="1" a="1"/>
  <c r="H25" i="1" s="1"/>
  <c r="H6" i="1" a="1"/>
  <c r="H6" i="1" s="1"/>
  <c r="H30" i="1" a="1"/>
  <c r="H30" i="1" s="1"/>
  <c r="H26" i="1" a="1"/>
  <c r="H26" i="1" s="1"/>
  <c r="H27" i="1" a="1"/>
  <c r="H27" i="1" s="1"/>
  <c r="H16" i="1" a="1"/>
  <c r="H16" i="1" s="1"/>
  <c r="H48" i="1" a="1"/>
  <c r="H48" i="1" s="1"/>
  <c r="H28" i="1" a="1"/>
  <c r="H28" i="1" s="1"/>
  <c r="H13" i="1" a="1"/>
  <c r="H13" i="1" s="1"/>
  <c r="H38" i="1" a="1"/>
  <c r="H38" i="1" s="1"/>
  <c r="H17" i="1" a="1"/>
  <c r="H17" i="1" s="1"/>
  <c r="H10" i="1" a="1"/>
  <c r="H10" i="1" s="1"/>
  <c r="H31" i="1" a="1"/>
  <c r="H31" i="1" s="1"/>
  <c r="H24" i="1" a="1"/>
  <c r="H24" i="1" s="1"/>
  <c r="G2" i="1" a="1"/>
  <c r="G2" i="1" s="1"/>
  <c r="G20" i="1" a="1"/>
  <c r="G20" i="1" s="1"/>
  <c r="G3" i="1" a="1"/>
  <c r="G3" i="1" s="1"/>
  <c r="G46" i="1" a="1"/>
  <c r="G46" i="1" s="1"/>
  <c r="G47" i="1" a="1"/>
  <c r="G47" i="1" s="1"/>
  <c r="G29" i="1" a="1"/>
  <c r="G29" i="1" s="1"/>
  <c r="G15" i="1" a="1"/>
  <c r="G15" i="1" s="1"/>
  <c r="G42" i="1" a="1"/>
  <c r="G42" i="1" s="1"/>
  <c r="G52" i="1" a="1"/>
  <c r="G52" i="1" s="1"/>
  <c r="G40" i="1" a="1"/>
  <c r="G40" i="1" s="1"/>
  <c r="G18" i="1" a="1"/>
  <c r="G18" i="1" s="1"/>
  <c r="G33" i="1" a="1"/>
  <c r="G33" i="1" s="1"/>
  <c r="G23" i="1" a="1"/>
  <c r="G23" i="1" s="1"/>
  <c r="G43" i="1" a="1"/>
  <c r="G43" i="1" s="1"/>
  <c r="G19" i="1" a="1"/>
  <c r="G19" i="1" s="1"/>
  <c r="G34" i="1" a="1"/>
  <c r="G34" i="1" s="1"/>
  <c r="G41" i="1" a="1"/>
  <c r="G41" i="1" s="1"/>
  <c r="G44" i="1" a="1"/>
  <c r="G44" i="1" s="1"/>
  <c r="G25" i="1" a="1"/>
  <c r="G25" i="1" s="1"/>
  <c r="G6" i="1" a="1"/>
  <c r="G6" i="1" s="1"/>
  <c r="G30" i="1" a="1"/>
  <c r="G30" i="1" s="1"/>
  <c r="G26" i="1" a="1"/>
  <c r="G26" i="1" s="1"/>
  <c r="G27" i="1" a="1"/>
  <c r="G27" i="1" s="1"/>
  <c r="G16" i="1" a="1"/>
  <c r="G16" i="1" s="1"/>
  <c r="G48" i="1" a="1"/>
  <c r="G48" i="1" s="1"/>
  <c r="G28" i="1" a="1"/>
  <c r="G28" i="1" s="1"/>
  <c r="G13" i="1" a="1"/>
  <c r="G13" i="1" s="1"/>
  <c r="G38" i="1" a="1"/>
  <c r="G38" i="1" s="1"/>
  <c r="G17" i="1" a="1"/>
  <c r="G17" i="1" s="1"/>
  <c r="G10" i="1" a="1"/>
  <c r="G10" i="1" s="1"/>
  <c r="G31" i="1" a="1"/>
  <c r="G31" i="1" s="1"/>
  <c r="G24" i="1" a="1"/>
  <c r="G24" i="1" s="1"/>
  <c r="F2" i="1" a="1"/>
  <c r="F2" i="1" s="1"/>
  <c r="F20" i="1" a="1"/>
  <c r="F20" i="1" s="1"/>
  <c r="F3" i="1" a="1"/>
  <c r="F3" i="1" s="1"/>
  <c r="F46" i="1" a="1"/>
  <c r="F46" i="1" s="1"/>
  <c r="F47" i="1" a="1"/>
  <c r="F47" i="1" s="1"/>
  <c r="F29" i="1" a="1"/>
  <c r="F29" i="1" s="1"/>
  <c r="F15" i="1" a="1"/>
  <c r="F15" i="1" s="1"/>
  <c r="F42" i="1" a="1"/>
  <c r="F42" i="1" s="1"/>
  <c r="F52" i="1" a="1"/>
  <c r="F52" i="1" s="1"/>
  <c r="F40" i="1" a="1"/>
  <c r="F40" i="1" s="1"/>
  <c r="F18" i="1" a="1"/>
  <c r="F18" i="1" s="1"/>
  <c r="F33" i="1" a="1"/>
  <c r="F33" i="1" s="1"/>
  <c r="F23" i="1" a="1"/>
  <c r="F23" i="1" s="1"/>
  <c r="F43" i="1" a="1"/>
  <c r="F43" i="1" s="1"/>
  <c r="F19" i="1" a="1"/>
  <c r="F19" i="1" s="1"/>
  <c r="F34" i="1" a="1"/>
  <c r="F34" i="1" s="1"/>
  <c r="F41" i="1" a="1"/>
  <c r="F41" i="1" s="1"/>
  <c r="F44" i="1" a="1"/>
  <c r="F44" i="1" s="1"/>
  <c r="F25" i="1" a="1"/>
  <c r="F25" i="1" s="1"/>
  <c r="F6" i="1" a="1"/>
  <c r="F6" i="1" s="1"/>
  <c r="B24" i="1" a="1"/>
  <c r="B24" i="1" s="1"/>
  <c r="B31" i="1" a="1"/>
  <c r="B31" i="1" s="1"/>
  <c r="B10" i="1" a="1"/>
  <c r="B10" i="1" s="1"/>
  <c r="B17" i="1" a="1"/>
  <c r="B17" i="1" s="1"/>
  <c r="B38" i="1" a="1"/>
  <c r="B38" i="1" s="1"/>
  <c r="B13" i="1" a="1"/>
  <c r="B13" i="1" s="1"/>
  <c r="B28" i="1" a="1"/>
  <c r="B28" i="1" s="1"/>
  <c r="B48" i="1" a="1"/>
  <c r="B48" i="1" s="1"/>
  <c r="B16" i="1" a="1"/>
  <c r="B16" i="1" s="1"/>
  <c r="B27" i="1" a="1"/>
  <c r="B27" i="1" s="1"/>
  <c r="B26" i="1" a="1"/>
  <c r="B26" i="1" s="1"/>
  <c r="B30" i="1" a="1"/>
  <c r="B30" i="1" s="1"/>
  <c r="B6" i="1" a="1"/>
  <c r="B6" i="1" s="1"/>
  <c r="B25" i="1" a="1"/>
  <c r="B25" i="1" s="1"/>
  <c r="B44" i="1" a="1"/>
  <c r="B44" i="1" s="1"/>
  <c r="B41" i="1" a="1"/>
  <c r="B41" i="1" s="1"/>
  <c r="B34" i="1" a="1"/>
  <c r="B34" i="1" s="1"/>
  <c r="B19" i="1" a="1"/>
  <c r="B19" i="1" s="1"/>
  <c r="B43" i="1" a="1"/>
  <c r="B43" i="1" s="1"/>
  <c r="B23" i="1" a="1"/>
  <c r="B23" i="1" s="1"/>
  <c r="B33" i="1" a="1"/>
  <c r="B33" i="1" s="1"/>
  <c r="B18" i="1" a="1"/>
  <c r="B18" i="1" s="1"/>
  <c r="B40" i="1" a="1"/>
  <c r="B40" i="1" s="1"/>
  <c r="B52" i="1" a="1"/>
  <c r="B52" i="1" s="1"/>
  <c r="B42" i="1" a="1"/>
  <c r="B42" i="1" s="1"/>
  <c r="B15" i="1" a="1"/>
  <c r="B15" i="1" s="1"/>
  <c r="B29" i="1" a="1"/>
  <c r="B29" i="1" s="1"/>
  <c r="B47" i="1" a="1"/>
  <c r="B47" i="1" s="1"/>
  <c r="B46" i="1" a="1"/>
  <c r="B46" i="1" s="1"/>
  <c r="B3" i="1" a="1"/>
  <c r="B3" i="1" s="1"/>
  <c r="B20" i="1" a="1"/>
  <c r="B20" i="1" s="1"/>
  <c r="B2" i="1" a="1"/>
  <c r="B2" i="1" s="1"/>
  <c r="J5" i="1" l="1"/>
  <c r="J11" i="1"/>
  <c r="K5" i="1"/>
  <c r="K11" i="1"/>
  <c r="J4" i="1"/>
  <c r="K4" i="1"/>
  <c r="K43" i="1"/>
  <c r="K47" i="1"/>
  <c r="K24" i="1"/>
  <c r="K27" i="1"/>
  <c r="K38" i="1"/>
  <c r="K6" i="1"/>
  <c r="K20" i="1"/>
  <c r="J48" i="1"/>
  <c r="J41" i="1"/>
  <c r="J42" i="1"/>
  <c r="K40" i="1"/>
  <c r="K16" i="1"/>
  <c r="K34" i="1"/>
  <c r="J15" i="1"/>
  <c r="K13" i="1"/>
  <c r="K25" i="1"/>
  <c r="K2" i="1"/>
  <c r="K31" i="1"/>
  <c r="K26" i="1"/>
  <c r="K23" i="1"/>
  <c r="K46" i="1"/>
  <c r="K3" i="1"/>
  <c r="J28" i="1"/>
  <c r="J44" i="1"/>
  <c r="K10" i="1"/>
  <c r="K33" i="1"/>
  <c r="J52" i="1"/>
  <c r="K19" i="1"/>
  <c r="K29" i="1"/>
  <c r="K17" i="1"/>
  <c r="K30" i="1"/>
  <c r="K18" i="1"/>
  <c r="K28" i="1"/>
  <c r="K44" i="1"/>
  <c r="K52" i="1"/>
  <c r="K48" i="1"/>
  <c r="K41" i="1"/>
  <c r="K42" i="1"/>
  <c r="J2" i="1"/>
  <c r="K15" i="1"/>
  <c r="J16" i="1"/>
  <c r="J34" i="1"/>
  <c r="J43" i="1"/>
  <c r="J24" i="1"/>
  <c r="J27" i="1"/>
  <c r="J47" i="1"/>
  <c r="J13" i="1"/>
  <c r="J25" i="1"/>
  <c r="J40" i="1"/>
  <c r="J38" i="1"/>
  <c r="J6" i="1"/>
  <c r="J20" i="1"/>
  <c r="J19" i="1"/>
  <c r="J29" i="1"/>
  <c r="J31" i="1"/>
  <c r="J26" i="1"/>
  <c r="J23" i="1"/>
  <c r="J46" i="1"/>
  <c r="J33" i="1"/>
  <c r="J3" i="1"/>
  <c r="J10" i="1"/>
  <c r="J17" i="1"/>
  <c r="J30" i="1"/>
  <c r="J1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8"/>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bk>
      <extLst>
        <ext uri="{3e2802c4-a4d2-4d8b-9148-e3be6c30e623}">
          <xlrd:rvb i="298"/>
        </ext>
      </extLst>
    </bk>
    <bk>
      <extLst>
        <ext uri="{3e2802c4-a4d2-4d8b-9148-e3be6c30e623}">
          <xlrd:rvb i="301"/>
        </ext>
      </extLst>
    </bk>
    <bk>
      <extLst>
        <ext uri="{3e2802c4-a4d2-4d8b-9148-e3be6c30e623}">
          <xlrd:rvb i="304"/>
        </ext>
      </extLst>
    </bk>
    <bk>
      <extLst>
        <ext uri="{3e2802c4-a4d2-4d8b-9148-e3be6c30e623}">
          <xlrd:rvb i="307"/>
        </ext>
      </extLst>
    </bk>
    <bk>
      <extLst>
        <ext uri="{3e2802c4-a4d2-4d8b-9148-e3be6c30e623}">
          <xlrd:rvb i="310"/>
        </ext>
      </extLst>
    </bk>
    <bk>
      <extLst>
        <ext uri="{3e2802c4-a4d2-4d8b-9148-e3be6c30e623}">
          <xlrd:rvb i="313"/>
        </ext>
      </extLst>
    </bk>
    <bk>
      <extLst>
        <ext uri="{3e2802c4-a4d2-4d8b-9148-e3be6c30e623}">
          <xlrd:rvb i="316"/>
        </ext>
      </extLst>
    </bk>
    <bk>
      <extLst>
        <ext uri="{3e2802c4-a4d2-4d8b-9148-e3be6c30e623}">
          <xlrd:rvb i="319"/>
        </ext>
      </extLst>
    </bk>
    <bk>
      <extLst>
        <ext uri="{3e2802c4-a4d2-4d8b-9148-e3be6c30e623}">
          <xlrd:rvb i="322"/>
        </ext>
      </extLst>
    </bk>
    <bk>
      <extLst>
        <ext uri="{3e2802c4-a4d2-4d8b-9148-e3be6c30e623}">
          <xlrd:rvb i="325"/>
        </ext>
      </extLst>
    </bk>
  </futureMetadata>
  <cellMetadata count="1">
    <bk>
      <rc t="1" v="0"/>
    </bk>
  </cellMetadata>
  <valueMetadata count="10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<sst xmlns="http://schemas.openxmlformats.org/spreadsheetml/2006/main" count="12" uniqueCount="12">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</sst>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2">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26">
  <rv s="0">
    <v>https://www.bing.com/financeapi/forcetrigger?t=a1mou2&amp;q=XNAS%3aAAPL&amp;form=skydnc</v>
    <v>Learn more on Bing</v>
  </rv>
  <rv s="1">
    <v>0</v>
    <v>APPLE INC. (XNAS:AAPL)</v>
    <v>2</v>
    <v>3</v>
    <v>Finance</v>
    <v>4</v>
    <v>en-US</v>
    <v>a1mou2</v>
    <v>268435456</v>
    <v>1</v>
    <v>Powered by Refinitiv</v>
    <v>288.62</v>
    <v>169.21010000000001</v>
    <v>1.1013999999999999</v>
    <v>-4.09</v>
    <v>-1.6173E-2</v>
    <v>-1.55</v>
    <v>-6.2300000000000003E-3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255.49299999999999</v>
    <v>Computers, Phones &amp; Household Electronics</v>
    <v>Stock</v>
    <v>46108.99993173594</v>
    <v>0</v>
    <v>248.07</v>
    <v>3658031760000</v>
    <v>APPLE INC.</v>
    <v>APPLE INC.</v>
    <v>253.9</v>
    <v>31.609300000000001</v>
    <v>252.89</v>
    <v>248.8</v>
    <v>247.25</v>
    <v>14702700000</v>
    <v>AAPL</v>
    <v>APPLE INC. (XNAS:AAPL)</v>
    <v>47899998</v>
    <v>41116428</v>
    <v>1977</v>
  </rv>
  <rv s="2">
    <v>1</v>
  </rv>
  <rv s="0">
    <v>https://www.bing.com/financeapi/forcetrigger?t=a1nhlh&amp;q=XNAS%3aAMZN&amp;form=skydnc</v>
    <v>Learn more on Bing</v>
  </rv>
  <rv s="1">
    <v>0</v>
    <v>AMAZON.COM, INC. (XNAS:AMZN)</v>
    <v>2</v>
    <v>3</v>
    <v>Finance</v>
    <v>4</v>
    <v>en-US</v>
    <v>a1nhlh</v>
    <v>268435456</v>
    <v>1</v>
    <v>Powered by Refinitiv</v>
    <v>258.60000000000002</v>
    <v>161.38</v>
    <v>1.3776999999999999</v>
    <v>-8.1999999999999993</v>
    <v>-3.9510000000000003E-2</v>
    <v>-0.92</v>
    <v>-4.6150000000000002E-3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206.6</v>
    <v>Diversified Retail</v>
    <v>Stock</v>
    <v>46108.999975682811</v>
    <v>3</v>
    <v>199.14</v>
    <v>2139898952800</v>
    <v>AMAZON.COM, INC.</v>
    <v>AMAZON.COM, INC.</v>
    <v>206.45500000000001</v>
    <v>28.936599999999999</v>
    <v>207.54</v>
    <v>199.34</v>
    <v>198.42</v>
    <v>10734920000</v>
    <v>AMZN</v>
    <v>AMAZON.COM, INC. (XNAS:AMZN)</v>
    <v>56009763</v>
    <v>46223871</v>
    <v>1996</v>
  </rv>
  <rv s="2">
    <v>4</v>
  </rv>
  <rv s="0">
    <v>https://www.bing.com/financeapi/forcetrigger?t=a1u3rw&amp;q=XNAS%3aGOOGL&amp;form=skydnc</v>
    <v>Learn more on Bing</v>
  </rv>
  <rv s="1">
    <v>0</v>
    <v>ALPHABET INC. (XNAS:GOOGL)</v>
    <v>2</v>
    <v>3</v>
    <v>Finance</v>
    <v>4</v>
    <v>en-US</v>
    <v>a1u3rw</v>
    <v>268435456</v>
    <v>1</v>
    <v>Powered by Refinitiv</v>
    <v>349</v>
    <v>140.53</v>
    <v>1.1458999999999999</v>
    <v>-6.58</v>
    <v>-2.3422999999999999E-2</v>
    <v>-1.54</v>
    <v>-5.6129999999999999E-3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279.37</v>
    <v>Software &amp; IT Services</v>
    <v>Stock</v>
    <v>46108.999998657033</v>
    <v>6</v>
    <v>273.95</v>
    <v>3318690979999</v>
    <v>ALPHABET INC.</v>
    <v>ALPHABET INC.</v>
    <v>277.27499999999998</v>
    <v>25.378399999999999</v>
    <v>280.92</v>
    <v>274.33999999999997</v>
    <v>272.8</v>
    <v>12097000000</v>
    <v>GOOGL</v>
    <v>ALPHABET INC. (XNAS:GOOGL)</v>
    <v>35890612</v>
    <v>31095743</v>
    <v>2015</v>
  </rv>
  <rv s="2">
    <v>7</v>
  </rv>
  <rv s="0">
    <v>https://www.bing.com/financeapi/forcetrigger?t=a1slm7&amp;q=XNAS%3aMETA&amp;form=skydnc</v>
    <v>Learn more on Bing</v>
  </rv>
  <rv s="1">
    <v>0</v>
    <v>META PLATFORMS, INC. (XNAS:META)</v>
    <v>2</v>
    <v>3</v>
    <v>Finance</v>
    <v>4</v>
    <v>en-US</v>
    <v>a1slm7</v>
    <v>268435456</v>
    <v>1</v>
    <v>Powered by Refinitiv</v>
    <v>796.25</v>
    <v>479.8</v>
    <v>1.3498000000000001</v>
    <v>-21.82</v>
    <v>-3.9850999999999998E-2</v>
    <v>-5.52</v>
    <v>-1.0500000000000001E-2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543.59990000000005</v>
    <v>Software &amp; IT Services</v>
    <v>Stock</v>
    <v>46108.999984710157</v>
    <v>9</v>
    <v>520.26</v>
    <v>1329837654600</v>
    <v>META PLATFORMS, INC.</v>
    <v>META PLATFORMS, INC.</v>
    <v>540.1</v>
    <v>17.985299999999999</v>
    <v>547.54</v>
    <v>525.72</v>
    <v>520.20000000000005</v>
    <v>2529555000</v>
    <v>META</v>
    <v>META PLATFORMS, INC. (XNAS:META)</v>
    <v>30133010</v>
    <v>13492153</v>
    <v>2004</v>
  </rv>
  <rv s="2">
    <v>10</v>
  </rv>
  <rv s="0">
    <v>http://en.wikipedia.org/wiki/Public_domain</v>
    <v>Public domain</v>
  </rv>
  <rv s="0">
    <v>https://en.wikipedia.org/wiki/Microsoft</v>
    <v>Wikipedia</v>
  </rv>
  <rv s="3">
    <v>12</v>
    <v>13</v>
  </rv>
  <rv s="4">
    <v>9</v>
    <v>https://www.bing.com/th?id=AMMS_e6e837c7bf3a77408619758b7447855a&amp;qlt=95</v>
    <v>14</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1.1136999999999999</v>
    <v>-9.1999999999999993</v>
    <v>-2.5139000000000002E-2</v>
    <v>-0.62</v>
    <v>-1.7380000000000002E-3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362.45</v>
    <v>15</v>
    <v>Software &amp; IT Services</v>
    <v>Stock</v>
    <v>46108.999999698441</v>
    <v>16</v>
    <v>356.51</v>
    <v>2649241658330</v>
    <v>MICROSOFT CORPORATION</v>
    <v>MICROSOFT CORPORATION</v>
    <v>361.9</v>
    <v>22.898299999999999</v>
    <v>365.97</v>
    <v>356.77</v>
    <v>356.15</v>
    <v>7425629000</v>
    <v>MSFT</v>
    <v>MICROSOFT CORPORATION (XNAS:MSFT)</v>
    <v>37883400</v>
    <v>34316004</v>
    <v>1993</v>
  </rv>
  <rv s="2">
    <v>17</v>
  </rv>
  <rv s="0">
    <v>https://www.bing.com/financeapi/forcetrigger?t=a1ndww&amp;q=XNAS%3aAMD&amp;form=skydnc</v>
    <v>Learn more on Bing</v>
  </rv>
  <rv s="1">
    <v>0</v>
    <v>ADVANCED MICRO DEVICES, INC. (XNAS:AMD)</v>
    <v>2</v>
    <v>3</v>
    <v>Finance</v>
    <v>4</v>
    <v>en-US</v>
    <v>a1ndww</v>
    <v>268435456</v>
    <v>1</v>
    <v>Powered by Refinitiv</v>
    <v>267.07990000000001</v>
    <v>76.48</v>
    <v>1.9153</v>
    <v>-1.78</v>
    <v>-8.7349999999999997E-3</v>
    <v>-2.09</v>
    <v>-1.0347E-2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203.26990000000001</v>
    <v>Semiconductors &amp; Semiconductor Equipment</v>
    <v>Stock</v>
    <v>46108.999988460157</v>
    <v>19</v>
    <v>197.69</v>
    <v>329326717890</v>
    <v>ADVANCED MICRO DEVICES, INC.</v>
    <v>ADVANCED MICRO DEVICES, INC.</v>
    <v>201.77</v>
    <v>77.557199999999995</v>
    <v>203.77</v>
    <v>201.99</v>
    <v>199.9</v>
    <v>1630411000</v>
    <v>AMD</v>
    <v>ADVANCED MICRO DEVICES, INC. (XNAS:AMD)</v>
    <v>29206578</v>
    <v>35802391</v>
    <v>1969</v>
  </rv>
  <rv s="2">
    <v>20</v>
  </rv>
  <rv s="0">
    <v>https://www.bing.com/financeapi/forcetrigger?t=a1ntlh&amp;q=XNAS%3aASML&amp;form=skydnc</v>
    <v>Learn more on Bing</v>
  </rv>
  <rv s="1">
    <v>0</v>
    <v>ASML Holding NV (XNAS:ASML)</v>
    <v>2</v>
    <v>3</v>
    <v>Finance</v>
    <v>4</v>
    <v>en-US</v>
    <v>a1ntlh</v>
    <v>268435456</v>
    <v>1</v>
    <v>Powered by Refinitiv</v>
    <v>1547.22</v>
    <v>578.51</v>
    <v>1.8563000000000001</v>
    <v>-27.03</v>
    <v>-2.0331000000000002E-2</v>
    <v>-5.89</v>
    <v>-4.522E-3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1333.7750000000001</v>
    <v>Semiconductors &amp; Semiconductor Equipment</v>
    <v>Stock</v>
    <v>46108.99985194375</v>
    <v>22</v>
    <v>1298.52</v>
    <v>505550734819</v>
    <v>ASML Holding NV</v>
    <v>ASML Holding NV</v>
    <v>1318.43</v>
    <v>44.872500000000002</v>
    <v>1329.5</v>
    <v>1302.47</v>
    <v>1296.58</v>
    <v>388147700</v>
    <v>ASML</v>
    <v>ASML Holding NV (XNAS:ASML)</v>
    <v>1759696</v>
    <v>1610994</v>
    <v>1994</v>
  </rv>
  <rv s="2">
    <v>23</v>
  </rv>
  <rv s="0">
    <v>https://www.bing.com/financeapi/forcetrigger?t=a1vmf2&amp;q=XNAS%3aINTC&amp;form=skydnc</v>
    <v>Learn more on Bing</v>
  </rv>
  <rv s="1">
    <v>0</v>
    <v>INTEL CORPORATION (XNAS:INTC)</v>
    <v>2</v>
    <v>3</v>
    <v>Finance</v>
    <v>4</v>
    <v>en-US</v>
    <v>a1vmf2</v>
    <v>268435456</v>
    <v>1</v>
    <v>Powered by Refinitiv</v>
    <v>54.6</v>
    <v>17.664999999999999</v>
    <v>1.3332999999999999</v>
    <v>-0.97</v>
    <v>-2.1995000000000001E-2</v>
    <v>-0.115</v>
    <v>-2.666E-3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44.13</v>
    <v>Semiconductors &amp; Semiconductor Equipment</v>
    <v>Stock</v>
    <v>46108.999753483593</v>
    <v>25</v>
    <v>42.86</v>
    <v>216556161300</v>
    <v>INTEL CORPORATION</v>
    <v>INTEL CORPORATION</v>
    <v>43.62</v>
    <v>0</v>
    <v>44.1</v>
    <v>43.13</v>
    <v>43.015000000000001</v>
    <v>5021010000</v>
    <v>INTC</v>
    <v>INTEL CORPORATION (XNAS:INTC)</v>
    <v>70002236</v>
    <v>84245771</v>
    <v>1989</v>
  </rv>
  <rv s="2">
    <v>26</v>
  </rv>
  <rv s="0">
    <v>https://www.bing.com/financeapi/forcetrigger?t=a1x4f2&amp;q=XNAS%3aLRCX&amp;form=skydnc</v>
    <v>Learn more on Bing</v>
  </rv>
  <rv s="1">
    <v>0</v>
    <v>LAM RESEARCH CORPORATION (XNAS:LRCX)</v>
    <v>2</v>
    <v>3</v>
    <v>Finance</v>
    <v>4</v>
    <v>en-US</v>
    <v>a1x4f2</v>
    <v>268435456</v>
    <v>1</v>
    <v>Powered by Refinitiv</v>
    <v>256.68</v>
    <v>56.32</v>
    <v>1.7693000000000001</v>
    <v>-0.21</v>
    <v>-9.923E-4</v>
    <v>-0.79</v>
    <v>-3.7369999999999999E-3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216.9999</v>
    <v>Semiconductors &amp; Semiconductor Equipment</v>
    <v>Stock</v>
    <v>46108.999968668752</v>
    <v>28</v>
    <v>209</v>
    <v>264002677110</v>
    <v>LAM RESEARCH CORPORATION</v>
    <v>LAM RESEARCH CORPORATION</v>
    <v>209.66499999999999</v>
    <v>43.371299999999998</v>
    <v>211.62</v>
    <v>211.41</v>
    <v>210.62</v>
    <v>1248771000</v>
    <v>LRCX</v>
    <v>LAM RESEARCH CORPORATION (XNAS:LRCX)</v>
    <v>8503305</v>
    <v>10921215</v>
    <v>1989</v>
  </rv>
  <rv s="2">
    <v>29</v>
  </rv>
  <rv s="0">
    <v>https://www.bing.com/financeapi/forcetrigger?t=a1yv52&amp;q=XNAS%3aNVDA&amp;form=skydnc</v>
    <v>Learn more on Bing</v>
  </rv>
  <rv s="1">
    <v>0</v>
    <v>NVIDIA CORPORATION (XNAS:NVDA)</v>
    <v>2</v>
    <v>3</v>
    <v>Finance</v>
    <v>4</v>
    <v>en-US</v>
    <v>a1yv52</v>
    <v>268435456</v>
    <v>1</v>
    <v>Powered by Refinitiv</v>
    <v>212.18989999999999</v>
    <v>86.62</v>
    <v>2.3098999999999998</v>
    <v>-3.72</v>
    <v>-2.1724E-2</v>
    <v>-0.93</v>
    <v>-5.5520000000000005E-3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170.97</v>
    <v>Semiconductors &amp; Semiconductor Equipment</v>
    <v>Stock</v>
    <v>46108.999999108593</v>
    <v>31</v>
    <v>167.01</v>
    <v>4070736000000</v>
    <v>NVIDIA CORPORATION</v>
    <v>NVIDIA CORPORATION</v>
    <v>170</v>
    <v>34.9345</v>
    <v>171.24</v>
    <v>167.52</v>
    <v>166.59</v>
    <v>24300000000</v>
    <v>NVDA</v>
    <v>NVIDIA CORPORATION (XNAS:NVDA)</v>
    <v>196212684</v>
    <v>194693690</v>
    <v>1998</v>
  </rv>
  <rv s="2">
    <v>32</v>
  </rv>
  <rv s="0">
    <v>https://www.bing.com/financeapi/forcetrigger?t=a24kjc&amp;q=XNYS%3aTSM&amp;form=skydnc</v>
    <v>Learn more on Bing</v>
  </rv>
  <rv s="1">
    <v>0</v>
    <v>Taiwan Semiconductor Manufacturing Company Limited (XNYS:TSM)</v>
    <v>2</v>
    <v>3</v>
    <v>Finance</v>
    <v>4</v>
    <v>en-US</v>
    <v>a24kjc</v>
    <v>268435456</v>
    <v>1</v>
    <v>Powered by Refinitiv</v>
    <v>390.20499999999998</v>
    <v>134.25</v>
    <v>1.359</v>
    <v>0.63</v>
    <v>1.9320000000000001E-3</v>
    <v>-2.19</v>
    <v>-6.7029999999999998E-3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329.56</v>
    <v>Semiconductors &amp; Semiconductor Equipment</v>
    <v>Stock</v>
    <v>46108.999994478909</v>
    <v>34</v>
    <v>322.31009999999998</v>
    <v>1694638643700</v>
    <v>Taiwan Semiconductor Manufacturing Company Limited</v>
    <v>Taiwan Semiconductor Manufacturing Company Limited</v>
    <v>324.83</v>
    <v>30.846800000000002</v>
    <v>326.11</v>
    <v>326.74</v>
    <v>324.55</v>
    <v>5186505000</v>
    <v>TSM</v>
    <v>Taiwan Semiconductor Manufacturing Company Limited (XNYS:TSM)</v>
    <v>14484511</v>
    <v>13514886</v>
    <v>1987</v>
  </rv>
  <rv s="2">
    <v>35</v>
  </rv>
  <rv s="0">
    <v>https://www.bing.com/financeapi/forcetrigger?t=a24p1h&amp;q=XNAS%3aTXN&amp;form=skydnc</v>
    <v>Learn more on Bing</v>
  </rv>
  <rv s="1">
    <v>0</v>
    <v>TEXAS INSTRUMENTS INCORPORATED (XNAS:TXN)</v>
    <v>2</v>
    <v>3</v>
    <v>Finance</v>
    <v>4</v>
    <v>en-US</v>
    <v>a24p1h</v>
    <v>268435456</v>
    <v>1</v>
    <v>Powered by Refinitiv</v>
    <v>231.32</v>
    <v>139.94999999999999</v>
    <v>0.99670000000000003</v>
    <v>-3.08</v>
    <v>-1.5925000000000002E-2</v>
    <v>-0.43</v>
    <v>-2.2589999999999997E-3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192.965</v>
    <v>Semiconductors &amp; Semiconductor Equipment</v>
    <v>Stock</v>
    <v>46108.973420902345</v>
    <v>37</v>
    <v>189.33</v>
    <v>173288498922</v>
    <v>TEXAS INSTRUMENTS INCORPORATED</v>
    <v>TEXAS INSTRUMENTS INCORPORATED</v>
    <v>191.71</v>
    <v>35.292999999999999</v>
    <v>193.41</v>
    <v>190.33</v>
    <v>189.9</v>
    <v>910463400</v>
    <v>TXN</v>
    <v>TEXAS INSTRUMENTS INCORPORATED (XNAS:TXN)</v>
    <v>5792752</v>
    <v>6757529</v>
    <v>1938</v>
  </rv>
  <rv s="2">
    <v>38</v>
  </rv>
  <rv s="0">
    <v>https://www.bing.com/financeapi/forcetrigger?t=a1y4oc&amp;q=XNAS%3aMU&amp;form=skydnc</v>
    <v>Learn more on Bing</v>
  </rv>
  <rv s="1">
    <v>0</v>
    <v>MICRON TECHNOLOGY, INC. (XNAS:MU)</v>
    <v>2</v>
    <v>3</v>
    <v>Finance</v>
    <v>4</v>
    <v>en-US</v>
    <v>a1y4oc</v>
    <v>268435456</v>
    <v>1</v>
    <v>Powered by Refinitiv</v>
    <v>471.34</v>
    <v>61.54</v>
    <v>1.5698000000000001</v>
    <v>1.76</v>
    <v>4.9509999999999997E-3</v>
    <v>-4.7699999999999996</v>
    <v>-1.3352999999999999E-2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368.7</v>
    <v>Semiconductors &amp; Semiconductor Equipment</v>
    <v>Stock</v>
    <v>46108.99999755781</v>
    <v>40</v>
    <v>354.06009999999998</v>
    <v>402849139480</v>
    <v>MICRON TECHNOLOGY, INC.</v>
    <v>MICRON TECHNOLOGY, INC.</v>
    <v>359.86</v>
    <v>33.789000000000001</v>
    <v>355.46</v>
    <v>357.22</v>
    <v>352.45</v>
    <v>1127734000</v>
    <v>MU</v>
    <v>MICRON TECHNOLOGY, INC. (XNAS:MU)</v>
    <v>45806655</v>
    <v>40407484</v>
    <v>1984</v>
  </rv>
  <rv s="2">
    <v>41</v>
  </rv>
  <rv s="0">
    <v>https://www.bing.com/financeapi/forcetrigger?t=a1pwqh&amp;q=XNAS%3aCMCSA&amp;form=skydnc</v>
    <v>Learn more on Bing</v>
  </rv>
  <rv s="1">
    <v>0</v>
    <v>COMCAST CORPORATION (XNAS:CMCSA)</v>
    <v>2</v>
    <v>3</v>
    <v>Finance</v>
    <v>4</v>
    <v>en-US</v>
    <v>a1pwqh</v>
    <v>268435456</v>
    <v>1</v>
    <v>Powered by Refinitiv</v>
    <v>35.257599999999996</v>
    <v>24.1234</v>
    <v>0.79159999999999997</v>
    <v>-0.39</v>
    <v>-1.3579000000000001E-2</v>
    <v>0.03</v>
    <v>1.059E-3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28.815000000000001</v>
    <v>Telecommunications Services</v>
    <v>Stock</v>
    <v>46108.999665856252</v>
    <v>43</v>
    <v>28.26</v>
    <v>101926977180</v>
    <v>COMCAST CORPORATION</v>
    <v>COMCAST CORPORATION</v>
    <v>28.7</v>
    <v>5.3426</v>
    <v>28.72</v>
    <v>28.33</v>
    <v>28.36</v>
    <v>3597846000</v>
    <v>CMCSA</v>
    <v>COMCAST CORPORATION (XNAS:CMCSA)</v>
    <v>19776201</v>
    <v>35414650</v>
    <v>2001</v>
  </rv>
  <rv s="2">
    <v>44</v>
  </rv>
  <rv s="0">
    <v>https://www.bing.com/financeapi/forcetrigger?t=a23www&amp;q=XNYS%3aT&amp;form=skydnc</v>
    <v>Learn more on Bing</v>
  </rv>
  <rv s="1">
    <v>0</v>
    <v>AT&amp;T INC. (XNYS:T)</v>
    <v>2</v>
    <v>3</v>
    <v>Finance</v>
    <v>4</v>
    <v>en-US</v>
    <v>a23www</v>
    <v>268435456</v>
    <v>1</v>
    <v>Powered by Refinitiv</v>
    <v>29.79</v>
    <v>22.95</v>
    <v>0.30180000000000001</v>
    <v>0.18</v>
    <v>6.2239999999999995E-3</v>
    <v>-0.04</v>
    <v>-1.3750000000000001E-3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29.364999999999998</v>
    <v>Telecommunications Services</v>
    <v>Stock</v>
    <v>46108.999662441405</v>
    <v>46</v>
    <v>28.82</v>
    <v>203180448600</v>
    <v>AT&amp;T INC.</v>
    <v>AT&amp;T INC.</v>
    <v>29</v>
    <v>9.4770000000000003</v>
    <v>28.92</v>
    <v>29.1</v>
    <v>29.06</v>
    <v>6982146000</v>
    <v>T</v>
    <v>AT&amp;T INC. (XNYS:T)</v>
    <v>38162808</v>
    <v>43460162</v>
    <v>1983</v>
  </rv>
  <rv s="2">
    <v>47</v>
  </rv>
  <rv s="0">
    <v>https://www.bing.com/financeapi/forcetrigger?t=a25obh&amp;q=XNYS%3aVZ&amp;form=skydnc</v>
    <v>Learn more on Bing</v>
  </rv>
  <rv s="1">
    <v>0</v>
    <v>VERIZON COMMUNICATIONS INC. (XNYS:VZ)</v>
    <v>2</v>
    <v>3</v>
    <v>Finance</v>
    <v>4</v>
    <v>en-US</v>
    <v>a25obh</v>
    <v>268435456</v>
    <v>1</v>
    <v>Powered by Refinitiv</v>
    <v>51.68</v>
    <v>38.39</v>
    <v>0.26140000000000002</v>
    <v>-0.43</v>
    <v>-8.4749999999999999E-3</v>
    <v>-4.4999999999999998E-2</v>
    <v>-8.945E-4</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51.45</v>
    <v>Telecommunications Services</v>
    <v>Stock</v>
    <v>46108.999958032029</v>
    <v>49</v>
    <v>50.28</v>
    <v>212191682040</v>
    <v>VERIZON COMMUNICATIONS INC.</v>
    <v>VERIZON COMMUNICATIONS INC.</v>
    <v>51</v>
    <v>12.4977</v>
    <v>50.74</v>
    <v>50.31</v>
    <v>50.265000000000001</v>
    <v>4217684000</v>
    <v>VZ</v>
    <v>VERIZON COMMUNICATIONS INC. (XNYS:VZ)</v>
    <v>26273376</v>
    <v>27027868</v>
    <v>1983</v>
  </rv>
  <rv s="2">
    <v>50</v>
  </rv>
  <rv s="0">
    <v>https://www.bing.com/financeapi/forcetrigger?t=a1tppr&amp;q=XNYS%3aGD&amp;form=skydnc</v>
    <v>Learn more on Bing</v>
  </rv>
  <rv s="1">
    <v>0</v>
    <v>GENERAL DYNAMICS CORPORATION (XNYS:GD)</v>
    <v>2</v>
    <v>3</v>
    <v>Finance</v>
    <v>4</v>
    <v>en-US</v>
    <v>a1tppr</v>
    <v>268435456</v>
    <v>1</v>
    <v>Powered by Refinitiv</v>
    <v>369.7</v>
    <v>239.2</v>
    <v>0.37930000000000003</v>
    <v>-8.52</v>
    <v>-2.3980999999999999E-2</v>
    <v>-1.1599999999999999</v>
    <v>-3.3450000000000003E-3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355.666</v>
    <v>Aerospace &amp; Defense</v>
    <v>Stock</v>
    <v>46108.998621782033</v>
    <v>52</v>
    <v>345.68099999999998</v>
    <v>93760367048</v>
    <v>GENERAL DYNAMICS CORPORATION</v>
    <v>GENERAL DYNAMICS CORPORATION</v>
    <v>353.72</v>
    <v>22.989799999999999</v>
    <v>355.28</v>
    <v>346.76</v>
    <v>345.6</v>
    <v>270389800</v>
    <v>GD</v>
    <v>GENERAL DYNAMICS CORPORATION (XNYS:GD)</v>
    <v>1505704</v>
    <v>1267412</v>
    <v>1952</v>
  </rv>
  <rv s="2">
    <v>53</v>
  </rv>
  <rv s="0">
    <v>https://www.bing.com/financeapi/forcetrigger?t=a1wzw7&amp;q=XNYS%3aLMT&amp;form=skydnc</v>
    <v>Learn more on Bing</v>
  </rv>
  <rv s="1">
    <v>0</v>
    <v>LOCKHEED MARTIN CORPORATION (XNYS:LMT)</v>
    <v>2</v>
    <v>3</v>
    <v>Finance</v>
    <v>4</v>
    <v>en-US</v>
    <v>a1wzw7</v>
    <v>268435456</v>
    <v>1</v>
    <v>Powered by Refinitiv</v>
    <v>692</v>
    <v>410.11</v>
    <v>0.2394</v>
    <v>-11.49</v>
    <v>-1.8315999999999999E-2</v>
    <v>-1.6426000000000001</v>
    <v>-2.6670000000000001E-3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631.44500000000005</v>
    <v>Aerospace &amp; Defense</v>
    <v>Stock</v>
    <v>46108.999880034375</v>
    <v>55</v>
    <v>613.65509999999995</v>
    <v>141927779664</v>
    <v>LOCKHEED MARTIN CORPORATION</v>
    <v>LOCKHEED MARTIN CORPORATION</v>
    <v>625.70000000000005</v>
    <v>29.196999999999999</v>
    <v>627.33000000000004</v>
    <v>615.84</v>
    <v>614.19740000000002</v>
    <v>230462100</v>
    <v>LMT</v>
    <v>LOCKHEED MARTIN CORPORATION (XNYS:LMT)</v>
    <v>1061125</v>
    <v>1785264</v>
    <v>1994</v>
  </rv>
  <rv s="2">
    <v>56</v>
  </rv>
  <rv s="0">
    <v>https://www.bing.com/financeapi/forcetrigger?t=a1mvm7&amp;q=XNYS%3aADM&amp;form=skydnc</v>
    <v>Learn more on Bing</v>
  </rv>
  <rv s="1">
    <v>0</v>
    <v>ARCHER-DANIELS-MIDLAND COMPANY. (XNYS:ADM)</v>
    <v>2</v>
    <v>3</v>
    <v>Finance</v>
    <v>4</v>
    <v>en-US</v>
    <v>a1mvm7</v>
    <v>268435456</v>
    <v>1</v>
    <v>Powered by Refinitiv</v>
    <v>74.19</v>
    <v>40.98</v>
    <v>0.61399999999999999</v>
    <v>-0.1</v>
    <v>-1.3830000000000001E-3</v>
    <v>-7.0000000000000007E-2</v>
    <v>-9.6909999999999997E-4</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74.19</v>
    <v>Food &amp; Tobacco</v>
    <v>Stock</v>
    <v>46108.999688344535</v>
    <v>58</v>
    <v>71.709999999999994</v>
    <v>34807283073</v>
    <v>ARCHER-DANIELS-MIDLAND COMPANY.</v>
    <v>ARCHER-DANIELS-MIDLAND COMPANY.</v>
    <v>72</v>
    <v>32.456200000000003</v>
    <v>72.33</v>
    <v>72.23</v>
    <v>72.16</v>
    <v>481895100</v>
    <v>ADM</v>
    <v>ARCHER-DANIELS-MIDLAND COMPANY. (XNYS:ADM)</v>
    <v>6175599</v>
    <v>4147200</v>
    <v>1923</v>
  </rv>
  <rv s="2">
    <v>59</v>
  </rv>
  <rv s="0">
    <v>https://www.bing.com/financeapi/forcetrigger?t=a1q7jc&amp;q=XNYS%3aCPB&amp;form=skydnc</v>
    <v>Learn more on Bing</v>
  </rv>
  <rv s="1">
    <v>0</v>
    <v>THE CAMPBELL'S COMPANY (XNAS:CPB)</v>
    <v>2</v>
    <v>3</v>
    <v>Finance</v>
    <v>4</v>
    <v>en-US</v>
    <v>a1q7jc</v>
    <v>268435456</v>
    <v>1</v>
    <v>Powered by Refinitiv</v>
    <v>40.590000000000003</v>
    <v>20.62</v>
    <v>6.3399999999999998E-2</v>
    <v>1.04</v>
    <v>4.9641999999999999E-2</v>
    <v>0</v>
    <v>0</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22.13</v>
    <v>Food &amp; Tobacco</v>
    <v>Stock</v>
    <v>46108.999941353904</v>
    <v>61</v>
    <v>20.89</v>
    <v>6556241535</v>
    <v>THE CAMPBELL'S COMPANY</v>
    <v>THE CAMPBELL'S COMPANY</v>
    <v>21.02</v>
    <v>11.386100000000001</v>
    <v>20.95</v>
    <v>21.99</v>
    <v>21.99</v>
    <v>298146500</v>
    <v>CPB</v>
    <v>THE CAMPBELL'S COMPANY (XNAS:CPB)</v>
    <v>14274462</v>
    <v>10285988</v>
    <v>1922</v>
  </rv>
  <rv s="2">
    <v>62</v>
  </rv>
  <rv s="0">
    <v>https://www.bing.com/financeapi/forcetrigger?t=a1tvzr&amp;q=XNYS%3aGIS&amp;form=skydnc</v>
    <v>Learn more on Bing</v>
  </rv>
  <rv s="1">
    <v>0</v>
    <v>GENERAL MILLS, INC. (XNYS:GIS)</v>
    <v>2</v>
    <v>3</v>
    <v>Finance</v>
    <v>4</v>
    <v>en-US</v>
    <v>a1tvzr</v>
    <v>268435456</v>
    <v>1</v>
    <v>Powered by Refinitiv</v>
    <v>62.61</v>
    <v>35.634999999999998</v>
    <v>4.5600000000000002E-2</v>
    <v>0.43</v>
    <v>1.1937999999999999E-2</v>
    <v>0.04</v>
    <v>1.0970000000000001E-3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36.924999999999997</v>
    <v>Food &amp; Tobacco</v>
    <v>Stock</v>
    <v>46108.999908066406</v>
    <v>64</v>
    <v>35.830800000000004</v>
    <v>19452679740</v>
    <v>GENERAL MILLS, INC.</v>
    <v>GENERAL MILLS, INC.</v>
    <v>36.17</v>
    <v>7.7278000000000002</v>
    <v>36.020000000000003</v>
    <v>36.450000000000003</v>
    <v>36.49</v>
    <v>533681200</v>
    <v>GIS</v>
    <v>GENERAL MILLS, INC. (XNYS:GIS)</v>
    <v>8948602</v>
    <v>9733153</v>
    <v>1928</v>
  </rv>
  <rv s="2">
    <v>65</v>
  </rv>
  <rv s="0">
    <v>https://www.bing.com/financeapi/forcetrigger?t=a1uwu2&amp;q=XNYS%3aHSY&amp;form=skydnc</v>
    <v>Learn more on Bing</v>
  </rv>
  <rv s="1">
    <v>0</v>
    <v>THE HERSHEY COMPANY (XNYS:HSY)</v>
    <v>2</v>
    <v>3</v>
    <v>Finance</v>
    <v>4</v>
    <v>en-US</v>
    <v>a1uwu2</v>
    <v>268435456</v>
    <v>1</v>
    <v>Powered by Refinitiv</v>
    <v>239.48</v>
    <v>150.04</v>
    <v>0.1784</v>
    <v>3.3</v>
    <v>1.5682000000000001E-2</v>
    <v>0.22</v>
    <v>1.029E-3</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216.07499999999999</v>
    <v>Food &amp; Tobacco</v>
    <v>Stock</v>
    <v>46108.987007765623</v>
    <v>67</v>
    <v>210.44499999999999</v>
    <v>43321126057</v>
    <v>THE HERSHEY COMPANY</v>
    <v>THE HERSHEY COMPANY</v>
    <v>210.93</v>
    <v>48.467700000000001</v>
    <v>210.43</v>
    <v>213.73</v>
    <v>213.95</v>
    <v>202690900</v>
    <v>HSY</v>
    <v>THE HERSHEY COMPANY (XNYS:HSY)</v>
    <v>1715047</v>
    <v>1766023</v>
    <v>1927</v>
  </rv>
  <rv s="2">
    <v>68</v>
  </rv>
  <rv s="0">
    <v>https://www.bing.com/financeapi/forcetrigger?t=a1wjz2&amp;q=XNYS%3aKMB&amp;form=skydnc</v>
    <v>Learn more on Bing</v>
  </rv>
  <rv s="1">
    <v>0</v>
    <v>KIMBERLY-CLARK CORPORATION (XNAS:KMB)</v>
    <v>2</v>
    <v>3</v>
    <v>Finance</v>
    <v>4</v>
    <v>en-US</v>
    <v>a1wjz2</v>
    <v>268435456</v>
    <v>1</v>
    <v>Powered by Refinitiv</v>
    <v>147.12</v>
    <v>96.26</v>
    <v>0.29930000000000001</v>
    <v>-0.19</v>
    <v>-1.9220000000000001E-3</v>
    <v>0.05</v>
    <v>5.0680000000000007E-4</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99.72</v>
    <v>Personal &amp; Household Products &amp; Services</v>
    <v>Stock</v>
    <v>46108.996905485939</v>
    <v>70</v>
    <v>98.41</v>
    <v>32747799428</v>
    <v>KIMBERLY-CLARK CORPORATION</v>
    <v>KIMBERLY-CLARK CORPORATION</v>
    <v>98.85</v>
    <v>20.234300000000001</v>
    <v>98.85</v>
    <v>98.66</v>
    <v>98.71</v>
    <v>331925800</v>
    <v>KMB</v>
    <v>KIMBERLY-CLARK CORPORATION (XNAS:KMB)</v>
    <v>3251895</v>
    <v>5004701</v>
    <v>1928</v>
  </rv>
  <rv s="2">
    <v>71</v>
  </rv>
  <rv s="0">
    <v>http://zh.wikipedia.org/wiki/味可美</v>
    <v>Wikipedia</v>
  </rv>
  <rv s="3">
    <v>12</v>
    <v>73</v>
  </rv>
  <rv s="4">
    <v>9</v>
    <v>https://www.bing.com/th?id=AMMS_8d96836a886471f7120ce0135f3ca8bd&amp;qlt=95</v>
    <v>74</v>
    <v>0</v>
    <v>https://www.bing.com/images/search?form=xlimg&amp;q=mccormick+%26+company</v>
    <v>Image of MCCORMICK &amp; COMPANY, INCORPORATED</v>
  </rv>
  <rv s="0">
    <v>https://www.bing.com/financeapi/forcetrigger?t=a1xof2&amp;q=XNYS%3aMKC.V&amp;form=skydnc</v>
    <v>Learn more on Bing</v>
  </rv>
  <rv s="6">
    <v>10</v>
    <v>MCCORMICK &amp; COMPANY, INCORPORATED (XNYS:MKC.V)</v>
    <v>7</v>
    <v>11</v>
    <v>Finance</v>
    <v>4</v>
    <v>en-US</v>
    <v>a1xof2</v>
    <v>268435456</v>
    <v>1</v>
    <v>Powered by Refinitiv</v>
    <v>82.53</v>
    <v>51.55</v>
    <v>0.71679999999999999</v>
    <v>1.1200000000000001</v>
    <v>2.1600999999999999E-2</v>
    <v>0</v>
    <v>0</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53.7883</v>
    <v>75</v>
    <v>Food &amp; Tobacco</v>
    <v>Stock</v>
    <v>46108.958333356248</v>
    <v>76</v>
    <v>52.38</v>
    <v>14219171454</v>
    <v>MCCORMICK &amp; COMPANY, INCORPORATED</v>
    <v>MCCORMICK &amp; COMPANY, INCORPORATED</v>
    <v>52.38</v>
    <v>51.85</v>
    <v>52.97</v>
    <v>52.97</v>
    <v>268438200</v>
    <v>MKC.V</v>
    <v>MCCORMICK &amp; COMPANY, INCORPORATED (XNYS:MKC.V)</v>
    <v>5012</v>
    <v>7681</v>
    <v>1915</v>
  </rv>
  <rv s="2">
    <v>77</v>
  </rv>
  <rv s="7">
    <v>12</v>
    <v>P/E</v>
    <v>0</v>
  </rv>
  <rv s="0">
    <v>https://www.bing.com/financeapi/forcetrigger?t=axyhnm&amp;q=XNAS%3aPEP&amp;form=skydnc</v>
    <v>Learn more on Bing</v>
  </rv>
  <rv s="1">
    <v>0</v>
    <v>Pepsico, Inc. (XNAS:PEP)</v>
    <v>2</v>
    <v>3</v>
    <v>Finance</v>
    <v>4</v>
    <v>en-US</v>
    <v>axyhnm</v>
    <v>268435456</v>
    <v>1</v>
    <v>Powered by Refinitiv</v>
    <v>171.48</v>
    <v>127.6</v>
    <v>0.42499999999999999</v>
    <v>2.21</v>
    <v>1.4652E-2</v>
    <v>-0.05</v>
    <v>-3.2669999999999997E-4</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154.54</v>
    <v>Beverages</v>
    <v>Stock</v>
    <v>46108.996594189062</v>
    <v>80</v>
    <v>150.47</v>
    <v>209151962960</v>
    <v>Pepsico, Inc.</v>
    <v>Pepsico, Inc.</v>
    <v>151.13999999999999</v>
    <v>25.500299999999999</v>
    <v>150.83000000000001</v>
    <v>153.04</v>
    <v>152.99</v>
    <v>1366649000</v>
    <v>PEP</v>
    <v>Pepsico, Inc. (XNAS:PEP)</v>
    <v>6663855</v>
    <v>6472128</v>
    <v>1986</v>
  </rv>
  <rv s="2">
    <v>81</v>
  </rv>
  <rv s="0">
    <v>https://www.bing.com/financeapi/forcetrigger?t=a2319c&amp;q=XNYS%3aSJM&amp;form=skydnc</v>
    <v>Learn more on Bing</v>
  </rv>
  <rv s="8">
    <v>12</v>
    <v>THE J. M. SMUCKER COMPANY (XNYS:SJM)</v>
    <v>2</v>
    <v>13</v>
    <v>Finance</v>
    <v>4</v>
    <v>en-US</v>
    <v>a2319c</v>
    <v>268435456</v>
    <v>1</v>
    <v>Powered by Refinitiv</v>
    <v>120.76</v>
    <v>93.3</v>
    <v>0.2918</v>
    <v>0.13</v>
    <v>1.3669999999999999E-3</v>
    <v>-0.08</v>
    <v>-8.4000000000000003E-4</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96.96</v>
    <v>Food &amp; Tobacco</v>
    <v>Stock</v>
    <v>46108.993744953128</v>
    <v>83</v>
    <v>94.72</v>
    <v>10157184092</v>
    <v>THE J. M. SMUCKER COMPANY</v>
    <v>THE J. M. SMUCKER COMPANY</v>
    <v>95.2</v>
    <v>95.11</v>
    <v>95.24</v>
    <v>95.16</v>
    <v>106648300</v>
    <v>SJM</v>
    <v>THE J. M. SMUCKER COMPANY (XNYS:SJM)</v>
    <v>1959359</v>
    <v>2695334</v>
    <v>1921</v>
  </rv>
  <rv s="2">
    <v>84</v>
  </rv>
  <rv s="0">
    <v>https://www.bing.com/financeapi/forcetrigger?t=a24km7&amp;q=XNYS%3aTSN&amp;form=skydnc</v>
    <v>Learn more on Bing</v>
  </rv>
  <rv s="1">
    <v>0</v>
    <v>TYSON FOODS, INCORPORATED (XNYS:TSN)</v>
    <v>2</v>
    <v>3</v>
    <v>Finance</v>
    <v>4</v>
    <v>en-US</v>
    <v>a24km7</v>
    <v>268435456</v>
    <v>1</v>
    <v>Powered by Refinitiv</v>
    <v>66.41</v>
    <v>50.56</v>
    <v>0.42659999999999998</v>
    <v>0.96</v>
    <v>1.5247999999999999E-2</v>
    <v>-0.38009999999999999</v>
    <v>-5.9459999999999999E-3</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64.25</v>
    <v>Food &amp; Tobacco</v>
    <v>Stock</v>
    <v>46108.98129891172</v>
    <v>86</v>
    <v>62.64</v>
    <v>22504889680</v>
    <v>TYSON FOODS, INCORPORATED</v>
    <v>TYSON FOODS, INCORPORATED</v>
    <v>63.03</v>
    <v>110.4058</v>
    <v>62.96</v>
    <v>63.92</v>
    <v>63.539900000000003</v>
    <v>352079000</v>
    <v>TSN</v>
    <v>TYSON FOODS, INCORPORATED (XNYS:TSN)</v>
    <v>2462076</v>
    <v>3434895</v>
    <v>1986</v>
  </rv>
  <rv s="2">
    <v>87</v>
  </rv>
  <rv s="0">
    <v>https://www.bing.com/financeapi/forcetrigger?t=a1pvu2&amp;q=XNYS%3aCLX&amp;form=skydnc</v>
    <v>Learn more on Bing</v>
  </rv>
  <rv s="1">
    <v>0</v>
    <v>THE CLOROX COMPANY (XNYS:CLX)</v>
    <v>2</v>
    <v>3</v>
    <v>Finance</v>
    <v>4</v>
    <v>en-US</v>
    <v>a1pvu2</v>
    <v>268435456</v>
    <v>1</v>
    <v>Powered by Refinitiv</v>
    <v>150.84</v>
    <v>96.6601</v>
    <v>0.67059999999999997</v>
    <v>-0.14000000000000001</v>
    <v>-1.3700000000000001E-3</v>
    <v>-0.12</v>
    <v>-1.176E-3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103.30500000000001</v>
    <v>Personal &amp; Household Products &amp; Services</v>
    <v>Stock</v>
    <v>46108.998838599218</v>
    <v>89</v>
    <v>101.28</v>
    <v>12337850276</v>
    <v>THE CLOROX COMPANY</v>
    <v>THE CLOROX COMPANY</v>
    <v>102.4</v>
    <v>16.695399999999999</v>
    <v>102.18</v>
    <v>102.04</v>
    <v>101.92</v>
    <v>120911900</v>
    <v>CLX</v>
    <v>THE CLOROX COMPANY (XNYS:CLX)</v>
    <v>2216692</v>
    <v>2103636</v>
    <v>1986</v>
  </rv>
  <rv s="2">
    <v>90</v>
  </rv>
  <rv s="0">
    <v>https://www.bing.com/financeapi/forcetrigger?t=a1yjxm&amp;q=XNYS%3aNKE&amp;form=skydnc</v>
    <v>Learn more on Bing</v>
  </rv>
  <rv s="1">
    <v>0</v>
    <v>NIKE, INC. (XNYS:NKE)</v>
    <v>2</v>
    <v>3</v>
    <v>Finance</v>
    <v>4</v>
    <v>en-US</v>
    <v>a1yjxm</v>
    <v>268435456</v>
    <v>1</v>
    <v>Powered by Refinitiv</v>
    <v>80.165000000000006</v>
    <v>51.2</v>
    <v>1.3260000000000001</v>
    <v>-0.7</v>
    <v>-1.3443E-2</v>
    <v>-0.18</v>
    <v>-3.5039999999999997E-3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52.11</v>
    <v>Textiles &amp; Apparel</v>
    <v>Stock</v>
    <v>46108.999950786718</v>
    <v>92</v>
    <v>51.2</v>
    <v>76047274710</v>
    <v>NIKE, INC.</v>
    <v>NIKE, INC.</v>
    <v>51.71</v>
    <v>30.5322</v>
    <v>52.07</v>
    <v>51.37</v>
    <v>51.19</v>
    <v>1480383000</v>
    <v>NKE</v>
    <v>NIKE, INC. (XNYS:NKE)</v>
    <v>13077815</v>
    <v>16174547</v>
    <v>1969</v>
  </rv>
  <rv s="2">
    <v>93</v>
  </rv>
  <rv s="0">
    <v>http://en.wikipedia.org/wiki/McDonald's</v>
    <v>Wikipedia</v>
  </rv>
  <rv s="3">
    <v>12</v>
    <v>95</v>
  </rv>
  <rv s="4">
    <v>9</v>
    <v>https://www.bing.com/th?id=AMMS_7d8255243964a8970376f8dd41121106&amp;qlt=95</v>
    <v>96</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0.54530000000000001</v>
    <v>-3.03</v>
    <v>-9.8080000000000007E-3</v>
    <v>0</v>
    <v>0</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309.97000000000003</v>
    <v>97</v>
    <v>Hotels &amp; Entertainment Services</v>
    <v>Stock</v>
    <v>46108.999657916407</v>
    <v>98</v>
    <v>305.33</v>
    <v>217310931739</v>
    <v>MCDONALD'S CORPORATION</v>
    <v>MCDONALD'S CORPORATION</v>
    <v>309.75</v>
    <v>25.8445</v>
    <v>308.93</v>
    <v>305.89999999999998</v>
    <v>305.89999999999998</v>
    <v>710398600</v>
    <v>MCD</v>
    <v>MCDONALD'S CORPORATION (XNYS:MCD)</v>
    <v>3137152</v>
    <v>3246433</v>
    <v>1964</v>
  </rv>
  <rv s="2">
    <v>99</v>
  </rv>
  <rv s="0">
    <v>https://www.bing.com/financeapi/forcetrigger?t=a1q6k2&amp;q=XNAS%3aCOST&amp;form=skydnc</v>
    <v>Learn more on Bing</v>
  </rv>
  <rv s="1">
    <v>0</v>
    <v>COSTCO WHOLESALE CORPORATION (XNAS:COST)</v>
    <v>2</v>
    <v>3</v>
    <v>Finance</v>
    <v>4</v>
    <v>en-US</v>
    <v>a1q6k2</v>
    <v>268435456</v>
    <v>1</v>
    <v>Powered by Refinitiv</v>
    <v>1067.08</v>
    <v>844.06</v>
    <v>0.97389999999999999</v>
    <v>4.21</v>
    <v>4.2970000000000005E-3</v>
    <v>-3.36</v>
    <v>-3.4150000000000001E-3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987.11</v>
    <v>Diversified Retail</v>
    <v>Stock</v>
    <v>46108.999794698437</v>
    <v>101</v>
    <v>978.11</v>
    <v>436491948650</v>
    <v>COSTCO WHOLESALE CORPORATION</v>
    <v>COSTCO WHOLESALE CORPORATION</v>
    <v>982.01499999999999</v>
    <v>52.702500000000001</v>
    <v>979.65</v>
    <v>983.86</v>
    <v>980.5</v>
    <v>443652500</v>
    <v>COST</v>
    <v>COSTCO WHOLESALE CORPORATION (XNAS:COST)</v>
    <v>1540925</v>
    <v>1806305</v>
    <v>1987</v>
  </rv>
  <rv s="2">
    <v>102</v>
  </rv>
  <rv s="0">
    <v>https://www.bing.com/financeapi/forcetrigger?t=a1uj52&amp;q=XNYS%3aHD&amp;form=skydnc</v>
    <v>Learn more on Bing</v>
  </rv>
  <rv s="1">
    <v>0</v>
    <v>THE HOME DEPOT, INC. (XNYS:HD)</v>
    <v>2</v>
    <v>3</v>
    <v>Finance</v>
    <v>4</v>
    <v>en-US</v>
    <v>a1uj52</v>
    <v>268435456</v>
    <v>1</v>
    <v>Powered by Refinitiv</v>
    <v>426.75</v>
    <v>320.2645</v>
    <v>1.0958000000000001</v>
    <v>-6.78</v>
    <v>-2.0643999999999999E-2</v>
    <v>-0.32500000000000001</v>
    <v>-1.01E-3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327.54000000000002</v>
    <v>Specialty Retailers</v>
    <v>Stock</v>
    <v>46108.998420717187</v>
    <v>104</v>
    <v>320.74</v>
    <v>320367098975</v>
    <v>THE HOME DEPOT, INC.</v>
    <v>THE HOME DEPOT, INC.</v>
    <v>327.5</v>
    <v>23.0717</v>
    <v>328.43</v>
    <v>321.64999999999998</v>
    <v>321.32499999999999</v>
    <v>996011500</v>
    <v>HD</v>
    <v>THE HOME DEPOT, INC. (XNYS:HD)</v>
    <v>3977394</v>
    <v>4363532</v>
    <v>1978</v>
  </rv>
  <rv s="2">
    <v>105</v>
  </rv>
  <rv s="0">
    <v>https://www.bing.com/financeapi/forcetrigger?t=a1x2ur&amp;q=XNYS%3aLOW&amp;form=skydnc</v>
    <v>Learn more on Bing</v>
  </rv>
  <rv s="1">
    <v>0</v>
    <v>LOWE'S COMPANIES, INC. (XNYS:LOW)</v>
    <v>2</v>
    <v>3</v>
    <v>Finance</v>
    <v>4</v>
    <v>en-US</v>
    <v>a1x2ur</v>
    <v>268435456</v>
    <v>1</v>
    <v>Powered by Refinitiv</v>
    <v>293.06</v>
    <v>206.38499999999999</v>
    <v>0.97650000000000003</v>
    <v>-5.72</v>
    <v>-2.4233999999999999E-2</v>
    <v>-1E-4</v>
    <v>-4.3420000000000001E-7</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167000</v>
    <v>New York Stock Exchange</v>
    <v>XNYS</v>
    <v>XNYS</v>
    <v>1000 Lowes Blvd, MOORESVILLE, NC, 28117-8520 US</v>
    <v>235.88</v>
    <v>Specialty Retailers</v>
    <v>Stock</v>
    <v>46108.998841029686</v>
    <v>107</v>
    <v>229.29</v>
    <v>128988201654</v>
    <v>LOWE'S COMPANIES, INC.</v>
    <v>LOWE'S COMPANIES, INC.</v>
    <v>235.29</v>
    <v>19.923500000000001</v>
    <v>236.03</v>
    <v>230.31</v>
    <v>230.3099</v>
    <v>560063400</v>
    <v>LOW</v>
    <v>LOWE'S COMPANIES, INC. (XNYS:LOW)</v>
    <v>2999793</v>
    <v>2904340</v>
    <v>1952</v>
  </rv>
  <rv s="2">
    <v>108</v>
  </rv>
  <rv s="0">
    <v>https://www.bing.com/financeapi/forcetrigger?t=a246z2&amp;q=XNYS%3aTGT&amp;form=skydnc</v>
    <v>Learn more on Bing</v>
  </rv>
  <rv s="1">
    <v>0</v>
    <v>TARGET CORPORATION (XNYS:TGT)</v>
    <v>2</v>
    <v>3</v>
    <v>Finance</v>
    <v>4</v>
    <v>en-US</v>
    <v>a246z2</v>
    <v>268435456</v>
    <v>1</v>
    <v>Powered by Refinitiv</v>
    <v>126</v>
    <v>83.44</v>
    <v>0.99719999999999998</v>
    <v>2.84</v>
    <v>2.4274E-2</v>
    <v>-0.24</v>
    <v>-2.003E-3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121.46</v>
    <v>Diversified Retail</v>
    <v>Stock</v>
    <v>46108.999006967184</v>
    <v>110</v>
    <v>116.5</v>
    <v>54270215104</v>
    <v>TARGET CORPORATION</v>
    <v>TARGET CORPORATION</v>
    <v>117.1</v>
    <v>14.1968</v>
    <v>117</v>
    <v>119.84</v>
    <v>119.6</v>
    <v>452855600</v>
    <v>TGT</v>
    <v>TARGET CORPORATION (XNYS:TGT)</v>
    <v>8112912</v>
    <v>6676381</v>
    <v>1902</v>
  </rv>
  <rv s="2">
    <v>111</v>
  </rv>
  <rv s="0">
    <v>https://www.bing.com/financeapi/forcetrigger?t=a25ya2&amp;q=XNYS%3aWMT&amp;form=skydnc</v>
    <v>Learn more on Bing</v>
  </rv>
  <rv s="1">
    <v>0</v>
    <v>WALMART INC. (XNAS:WMT)</v>
    <v>2</v>
    <v>3</v>
    <v>Finance</v>
    <v>4</v>
    <v>en-US</v>
    <v>a25ya2</v>
    <v>268435456</v>
    <v>1</v>
    <v>Powered by Refinitiv</v>
    <v>134.69</v>
    <v>79.81</v>
    <v>0.65980000000000005</v>
    <v>0.71</v>
    <v>5.8109999999999993E-3</v>
    <v>-0.2266</v>
    <v>-1.8440000000000002E-3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124.27</v>
    <v>Food &amp; Drug Retailing</v>
    <v>Stock</v>
    <v>46108.999564073434</v>
    <v>113</v>
    <v>121.82</v>
    <v>979728481780</v>
    <v>WALMART INC.</v>
    <v>WALMART INC.</v>
    <v>122.03</v>
    <v>45.019599999999997</v>
    <v>122.18</v>
    <v>122.89</v>
    <v>122.6634</v>
    <v>7972402000</v>
    <v>WMT</v>
    <v>WALMART INC. (XNAS:WMT)</v>
    <v>16543336</v>
    <v>21907096</v>
    <v>1969</v>
  </rv>
  <rv s="2">
    <v>114</v>
  </rv>
  <rv s="0">
    <v>https://www.bing.com/financeapi/forcetrigger?t=a256cw&amp;q=XNYS%3aV&amp;form=skydnc</v>
    <v>Learn more on Bing</v>
  </rv>
  <rv s="1">
    <v>0</v>
    <v>VISA INC. (XNYS:V)</v>
    <v>2</v>
    <v>3</v>
    <v>Finance</v>
    <v>4</v>
    <v>en-US</v>
    <v>a256cw</v>
    <v>268435456</v>
    <v>1</v>
    <v>Powered by Refinitiv</v>
    <v>375.51</v>
    <v>294.32</v>
    <v>0.80379999999999996</v>
    <v>-10.01</v>
    <v>-3.2763E-2</v>
    <v>-0.14560000000000001</v>
    <v>-4.927E-4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304.58999999999997</v>
    <v>Professional &amp; Commercial Services</v>
    <v>Stock</v>
    <v>46108.999752464842</v>
    <v>116</v>
    <v>294.32</v>
    <v>563263779680</v>
    <v>VISA INC.</v>
    <v>VISA INC.</v>
    <v>304.32</v>
    <v>28.669499999999999</v>
    <v>305.52999999999997</v>
    <v>295.52</v>
    <v>295.37439999999998</v>
    <v>1906009000</v>
    <v>V</v>
    <v>VISA INC. (XNYS:V)</v>
    <v>9974411</v>
    <v>7643032</v>
    <v>2007</v>
  </rv>
  <rv s="2">
    <v>117</v>
  </rv>
  <rv s="0">
    <v>https://www.bing.com/financeapi/forcetrigger?t=a24ynm&amp;q=XNYS%3aUPS&amp;form=skydnc</v>
    <v>Learn more on Bing</v>
  </rv>
  <rv s="1">
    <v>0</v>
    <v>UNITED PARCEL SERVICE, INC. (XNYS:UPS)</v>
    <v>2</v>
    <v>3</v>
    <v>Finance</v>
    <v>4</v>
    <v>en-US</v>
    <v>a24ynm</v>
    <v>268435456</v>
    <v>1</v>
    <v>Powered by Refinitiv</v>
    <v>122.41</v>
    <v>82</v>
    <v>1.1176999999999999</v>
    <v>-2.7</v>
    <v>-2.7692000000000001E-2</v>
    <v>0.18</v>
    <v>1.8990000000000001E-3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96.94</v>
    <v>Freight &amp; Logistics Services</v>
    <v>Stock</v>
    <v>46108.99967515</v>
    <v>119</v>
    <v>94.06</v>
    <v>80548990920</v>
    <v>UNITED PARCEL SERVICE, INC.</v>
    <v>UNITED PARCEL SERVICE, INC.</v>
    <v>96.5</v>
    <v>14.8619</v>
    <v>97.5</v>
    <v>94.8</v>
    <v>94.98</v>
    <v>849672900</v>
    <v>UPS</v>
    <v>UNITED PARCEL SERVICE, INC. (XNYS:UPS)</v>
    <v>5914679</v>
    <v>7016384</v>
    <v>1999</v>
  </rv>
  <rv s="2">
    <v>120</v>
  </rv>
  <rv s="0">
    <v>https://www.bing.com/financeapi/forcetrigger?t=a1mw4c&amp;q=XNAS%3aADP&amp;form=skydnc</v>
    <v>Learn more on Bing</v>
  </rv>
  <rv s="1">
    <v>0</v>
    <v>AUTOMATIC DATA PROCESSING, INC. (XNAS:ADP)</v>
    <v>2</v>
    <v>3</v>
    <v>Finance</v>
    <v>4</v>
    <v>en-US</v>
    <v>a1mw4c</v>
    <v>268435456</v>
    <v>1</v>
    <v>Powered by Refinitiv</v>
    <v>329.92950000000002</v>
    <v>198.59</v>
    <v>0.84919999999999995</v>
    <v>-3.26</v>
    <v>-1.5941E-2</v>
    <v>-0.01</v>
    <v>-4.969E-5</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204.59</v>
    <v>Software &amp; IT Services</v>
    <v>Stock</v>
    <v>46108.995686214847</v>
    <v>122</v>
    <v>199.19</v>
    <v>81032165375</v>
    <v>AUTOMATIC DATA PROCESSING, INC.</v>
    <v>AUTOMATIC DATA PROCESSING, INC.</v>
    <v>203.48</v>
    <v>19.332699999999999</v>
    <v>204.51</v>
    <v>201.25</v>
    <v>201.24</v>
    <v>402644300</v>
    <v>ADP</v>
    <v>AUTOMATIC DATA PROCESSING, INC. (XNAS:ADP)</v>
    <v>3569513</v>
    <v>4378958</v>
    <v>1961</v>
  </rv>
  <rv s="2">
    <v>123</v>
  </rv>
  <rv s="0">
    <v>https://www.bing.com/financeapi/forcetrigger?t=a1rxu2&amp;q=XNYS%3aEMN&amp;form=skydnc</v>
    <v>Learn more on Bing</v>
  </rv>
  <rv s="1">
    <v>0</v>
    <v>EASTMAN CHEMICAL COMPANY (XNYS:EMN)</v>
    <v>2</v>
    <v>3</v>
    <v>Finance</v>
    <v>4</v>
    <v>en-US</v>
    <v>a1rxu2</v>
    <v>268435456</v>
    <v>1</v>
    <v>Powered by Refinitiv</v>
    <v>89.55</v>
    <v>56.11</v>
    <v>1.1859</v>
    <v>-1.3</v>
    <v>-1.7930999999999999E-2</v>
    <v>-1.2</v>
    <v>-1.6854000000000001E-2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72.519900000000007</v>
    <v>Chemicals</v>
    <v>Stock</v>
    <v>46108.992555543751</v>
    <v>125</v>
    <v>70.849999999999994</v>
    <v>8141712880</v>
    <v>EASTMAN CHEMICAL COMPANY</v>
    <v>EASTMAN CHEMICAL COMPANY</v>
    <v>71.94</v>
    <v>19.060400000000001</v>
    <v>72.5</v>
    <v>71.2</v>
    <v>70</v>
    <v>114349900</v>
    <v>EMN</v>
    <v>EASTMAN CHEMICAL COMPANY (XNYS:EMN)</v>
    <v>1581491</v>
    <v>1687082</v>
    <v>1993</v>
  </rv>
  <rv s="2">
    <v>126</v>
  </rv>
  <rv s="0">
    <v>https://www.bing.com/financeapi/forcetrigger?t=a1x8c7&amp;q=XNYS%3aLYB&amp;form=skydnc</v>
    <v>Learn more on Bing</v>
  </rv>
  <rv s="8">
    <v>12</v>
    <v>LyondellBasell Industries NV (XNYS:LYB)</v>
    <v>2</v>
    <v>13</v>
    <v>Finance</v>
    <v>4</v>
    <v>en-US</v>
    <v>a1x8c7</v>
    <v>268435456</v>
    <v>1</v>
    <v>Powered by Refinitiv</v>
    <v>81.260000000000005</v>
    <v>41.58</v>
    <v>0.31869999999999998</v>
    <v>2.73</v>
    <v>3.5125999999999998E-2</v>
    <v>0.15</v>
    <v>1.8649999999999999E-3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81.260000000000005</v>
    <v>Chemicals</v>
    <v>Stock</v>
    <v>46108.999282094534</v>
    <v>128</v>
    <v>77.42</v>
    <v>25918576500</v>
    <v>LyondellBasell Industries NV</v>
    <v>LyondellBasell Industries NV</v>
    <v>77.84</v>
    <v>77.72</v>
    <v>80.45</v>
    <v>80.599999999999994</v>
    <v>322170000</v>
    <v>LYB</v>
    <v>LyondellBasell Industries NV (XNYS:LYB)</v>
    <v>7418292</v>
    <v>9881989</v>
    <v>2009</v>
  </rv>
  <rv s="2">
    <v>129</v>
  </rv>
  <rv s="0">
    <v>https://www.bing.com/financeapi/forcetrigger?t=a1qlnm&amp;q=XNYS%3aCVS&amp;form=skydnc</v>
    <v>Learn more on Bing</v>
  </rv>
  <rv s="1">
    <v>0</v>
    <v>CVS HEALTH CORPORATION (XNYS:CVS)</v>
    <v>2</v>
    <v>3</v>
    <v>Finance</v>
    <v>4</v>
    <v>en-US</v>
    <v>a1qlnm</v>
    <v>268435456</v>
    <v>1</v>
    <v>Powered by Refinitiv</v>
    <v>85.15</v>
    <v>58.35</v>
    <v>0.52659999999999996</v>
    <v>-1.1000000000000001</v>
    <v>-1.5454000000000001E-2</v>
    <v>-0.03</v>
    <v>-4.281E-4</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71.430000000000007</v>
    <v>Healthcare Providers &amp; Services</v>
    <v>Stock</v>
    <v>46108.996364096878</v>
    <v>131</v>
    <v>69.67</v>
    <v>89156546880</v>
    <v>CVS HEALTH CORPORATION</v>
    <v>CVS HEALTH CORPORATION</v>
    <v>71.099999999999994</v>
    <v>52.051900000000003</v>
    <v>71.180000000000007</v>
    <v>70.08</v>
    <v>70.05</v>
    <v>1272211000</v>
    <v>CVS</v>
    <v>CVS HEALTH CORPORATION (XNYS:CVS)</v>
    <v>6105505</v>
    <v>8147484</v>
    <v>1996</v>
  </rv>
  <rv s="2">
    <v>132</v>
  </rv>
  <rv s="0">
    <v>https://www.bing.com/financeapi/forcetrigger?t=a1w8ec&amp;q=XNYS%3aJNJ&amp;form=skydnc</v>
    <v>Learn more on Bing</v>
  </rv>
  <rv s="1">
    <v>0</v>
    <v>JOHNSON &amp; JOHNSON (XNYS:JNJ)</v>
    <v>2</v>
    <v>3</v>
    <v>Finance</v>
    <v>4</v>
    <v>en-US</v>
    <v>a1w8ec</v>
    <v>268435456</v>
    <v>1</v>
    <v>Powered by Refinitiv</v>
    <v>251.71</v>
    <v>141.5</v>
    <v>0.33550000000000002</v>
    <v>1.21</v>
    <v>5.058E-3</v>
    <v>-0.45</v>
    <v>-1.8709999999999998E-3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242.68</v>
    <v>Pharmaceuticals</v>
    <v>Stock</v>
    <v>46108.998389930472</v>
    <v>134</v>
    <v>239.1301</v>
    <v>579150995850</v>
    <v>JOHNSON &amp; JOHNSON</v>
    <v>JOHNSON &amp; JOHNSON</v>
    <v>241.19</v>
    <v>21.6661</v>
    <v>239.24</v>
    <v>240.45</v>
    <v>240</v>
    <v>2408613000</v>
    <v>JNJ</v>
    <v>JOHNSON &amp; JOHNSON (XNYS:JNJ)</v>
    <v>7617616</v>
    <v>8388738</v>
    <v>1887</v>
  </rv>
  <rv s="2">
    <v>135</v>
  </rv>
  <rv s="0">
    <v>https://www.bing.com/financeapi/forcetrigger?t=a1xg3m&amp;q=XNYS%3aMDT&amp;form=skydnc</v>
    <v>Learn more on Bing</v>
  </rv>
  <rv s="1">
    <v>0</v>
    <v>MEDTRONIC PUBLIC LIMITED COMPANY (XNYS:MDT)</v>
    <v>2</v>
    <v>3</v>
    <v>Finance</v>
    <v>4</v>
    <v>en-US</v>
    <v>a1xg3m</v>
    <v>268435456</v>
    <v>1</v>
    <v>Powered by Refinitiv</v>
    <v>106.33</v>
    <v>79.55</v>
    <v>0.76060000000000005</v>
    <v>0.18</v>
    <v>2.0699999999999998E-3</v>
    <v>0</v>
    <v>0</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87.53</v>
    <v>Healthcare Equipment &amp; Supplies</v>
    <v>Stock</v>
    <v>46108.998991885936</v>
    <v>137</v>
    <v>86.35</v>
    <v>111877738900</v>
    <v>MEDTRONIC PUBLIC LIMITED COMPANY</v>
    <v>MEDTRONIC PUBLIC LIMITED COMPANY</v>
    <v>87.32</v>
    <v>24.282499999999999</v>
    <v>86.96</v>
    <v>87.14</v>
    <v>87.14</v>
    <v>1283885000</v>
    <v>MDT</v>
    <v>MEDTRONIC PUBLIC LIMITED COMPANY (XNYS:MDT)</v>
    <v>10312350</v>
    <v>8091281</v>
    <v>2014</v>
  </rv>
  <rv s="2">
    <v>138</v>
  </rv>
  <rv s="0">
    <v>https://www.bing.com/financeapi/forcetrigger?t=a24xlh&amp;q=XNYS%3aUNH&amp;form=skydnc</v>
    <v>Learn more on Bing</v>
  </rv>
  <rv s="1">
    <v>0</v>
    <v>UNITEDHEALTH GROUP INCORPORATED (XNYS:UNH)</v>
    <v>2</v>
    <v>3</v>
    <v>Finance</v>
    <v>4</v>
    <v>en-US</v>
    <v>a24xlh</v>
    <v>268435456</v>
    <v>1</v>
    <v>Powered by Refinitiv</v>
    <v>606.36</v>
    <v>234.6</v>
    <v>0.43990000000000001</v>
    <v>-9.0299999999999994</v>
    <v>-3.3687999999999996E-2</v>
    <v>-1.44</v>
    <v>-5.5589999999999997E-3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provides comprehensive and patient-centered care, addressing the physical, mental, and social well-being. Optum Health delivers primary, specialty and surgical care and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267.67399999999998</v>
    <v>Healthcare Providers &amp; Services</v>
    <v>Stock</v>
    <v>46108.999923089847</v>
    <v>140</v>
    <v>255.965</v>
    <v>235106185715</v>
    <v>UNITEDHEALTH GROUP INCORPORATED</v>
    <v>UNITEDHEALTH GROUP INCORPORATED</v>
    <v>267.5</v>
    <v>20.316400000000002</v>
    <v>268.05</v>
    <v>259.02</v>
    <v>257.58</v>
    <v>907675800</v>
    <v>UNH</v>
    <v>UNITEDHEALTH GROUP INCORPORATED (XNYS:UNH)</v>
    <v>10735259</v>
    <v>8769893</v>
    <v>2015</v>
  </rv>
  <rv s="2">
    <v>141</v>
  </rv>
  <rv s="0">
    <v>https://www.bing.com/financeapi/forcetrigger?t=a1om4c&amp;q=XNYS%3aBLK&amp;form=skydnc</v>
    <v>Learn more on Bing</v>
  </rv>
  <rv s="1">
    <v>0</v>
    <v>BLACKROCK, INC. (XNYS:BLK)</v>
    <v>2</v>
    <v>3</v>
    <v>Finance</v>
    <v>4</v>
    <v>en-US</v>
    <v>a1om4c</v>
    <v>268435456</v>
    <v>1</v>
    <v>Powered by Refinitiv</v>
    <v>1219.9399000000001</v>
    <v>773.74009999999998</v>
    <v>1.4899</v>
    <v>-34.61</v>
    <v>-3.5736999999999998E-2</v>
    <v>-0.92</v>
    <v>-9.8519999999999988E-4</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961.48</v>
    <v>Investment Banking &amp; Investment Services</v>
    <v>Stock</v>
    <v>46108.999403900001</v>
    <v>143</v>
    <v>930</v>
    <v>145252429775</v>
    <v>BLACKROCK, INC.</v>
    <v>BLACKROCK, INC.</v>
    <v>959.8</v>
    <v>27.944500000000001</v>
    <v>968.46</v>
    <v>933.85</v>
    <v>932.93</v>
    <v>155541500</v>
    <v>BLK</v>
    <v>BLACKROCK, INC. (XNYS:BLK)</v>
    <v>877589</v>
    <v>979016</v>
    <v>2024</v>
  </rv>
  <rv s="2">
    <v>144</v>
  </rv>
  <rv s="0">
    <v>https://www.bing.com/financeapi/forcetrigger?t=a1ook2&amp;q=XNYS%3aBMY&amp;form=skydnc</v>
    <v>Learn more on Bing</v>
  </rv>
  <rv s="1">
    <v>0</v>
    <v>BRISTOL-MYERS SQUIBB COMPANY (XNYS:BMY)</v>
    <v>2</v>
    <v>3</v>
    <v>Finance</v>
    <v>4</v>
    <v>en-US</v>
    <v>a1ook2</v>
    <v>268435456</v>
    <v>1</v>
    <v>Powered by Refinitiv</v>
    <v>62.886400000000002</v>
    <v>42.52</v>
    <v>0.2949</v>
    <v>-0.89</v>
    <v>-1.4976E-2</v>
    <v>-0.23</v>
    <v>-3.9290000000000002E-3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59.69</v>
    <v>Pharmaceuticals</v>
    <v>Stock</v>
    <v>46108.996682719531</v>
    <v>146</v>
    <v>58.365000000000002</v>
    <v>119523166900</v>
    <v>BRISTOL-MYERS SQUIBB COMPANY</v>
    <v>BRISTOL-MYERS SQUIBB COMPANY</v>
    <v>59.61</v>
    <v>17.210599999999999</v>
    <v>59.43</v>
    <v>58.54</v>
    <v>58.31</v>
    <v>2041735000</v>
    <v>BMY</v>
    <v>BRISTOL-MYERS SQUIBB COMPANY (XNYS:BMY)</v>
    <v>7909293</v>
    <v>14039709</v>
    <v>1933</v>
  </rv>
  <rv s="2">
    <v>147</v>
  </rv>
  <rv s="0">
    <v>http://it.wikipedia.org/wiki/T._Rowe_Price</v>
    <v>Wikipedia</v>
  </rv>
  <rv s="3">
    <v>12</v>
    <v>149</v>
  </rv>
  <rv s="4">
    <v>9</v>
    <v>https://www.bing.com/th?id=AMMS_4c600be848f66590834841f27e6f786d&amp;qlt=95</v>
    <v>150</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1.5026999999999999</v>
    <v>-1.78</v>
    <v>-1.9726999999999998E-2</v>
    <v>0.55000000000000004</v>
    <v>6.2180000000000004E-3</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90.25</v>
    <v>151</v>
    <v>Investment Banking &amp; Investment Services</v>
    <v>Stock</v>
    <v>46108.999905485936</v>
    <v>152</v>
    <v>88.21</v>
    <v>19247241855</v>
    <v>T. ROWE PRICE GROUP, INC.</v>
    <v>T. ROWE PRICE GROUP, INC.</v>
    <v>89.61</v>
    <v>9.5675000000000008</v>
    <v>90.23</v>
    <v>88.45</v>
    <v>89</v>
    <v>217605900</v>
    <v>TROW</v>
    <v>T. ROWE PRICE GROUP, INC. (XNAS:TROW)</v>
    <v>2916725</v>
    <v>2553995</v>
    <v>2000</v>
  </rv>
  <rv s="2">
    <v>153</v>
  </rv>
  <rv s="0">
    <v>https://www.bing.com/financeapi/forcetrigger?t=aythxm&amp;q=XNYS%3aVICI&amp;form=skydnc</v>
    <v>Learn more on Bing</v>
  </rv>
  <rv s="1">
    <v>0</v>
    <v>VICI PROPERTIES INC. (XNYS:VICI)</v>
    <v>2</v>
    <v>3</v>
    <v>Finance</v>
    <v>4</v>
    <v>en-US</v>
    <v>aythxm</v>
    <v>268435456</v>
    <v>1</v>
    <v>Powered by Refinitiv</v>
    <v>34.01</v>
    <v>26.55</v>
    <v>0.74350000000000005</v>
    <v>-0.55000000000000004</v>
    <v>-2.0250000000000001E-2</v>
    <v>0.09</v>
    <v>3.382E-3</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27.23</v>
    <v>Residential &amp; Commercial REIT</v>
    <v>Stock</v>
    <v>46108.999559548436</v>
    <v>155</v>
    <v>26.55</v>
    <v>28445797290</v>
    <v>VICI PROPERTIES INC.</v>
    <v>VICI PROPERTIES INC.</v>
    <v>27.12</v>
    <v>10.398099999999999</v>
    <v>27.16</v>
    <v>26.61</v>
    <v>26.7</v>
    <v>1068989000</v>
    <v>VICI</v>
    <v>VICI PROPERTIES INC. (XNYS:VICI)</v>
    <v>8590234</v>
    <v>10121702</v>
    <v>2017</v>
  </rv>
  <rv s="2">
    <v>156</v>
  </rv>
  <rv s="0">
    <v>https://www.bing.com/financeapi/forcetrigger?t=a1z11h&amp;q=XNYS%3aO&amp;form=skydnc</v>
    <v>Learn more on Bing</v>
  </rv>
  <rv s="1">
    <v>0</v>
    <v>REALTY INCOME CORPORATION (XNYS:O)</v>
    <v>2</v>
    <v>3</v>
    <v>Finance</v>
    <v>4</v>
    <v>en-US</v>
    <v>a1z11h</v>
    <v>268435456</v>
    <v>1</v>
    <v>Powered by Refinitiv</v>
    <v>67.935000000000002</v>
    <v>50.71</v>
    <v>0.79190000000000005</v>
    <v>0.42</v>
    <v>6.9689999999999995E-3</v>
    <v>0.27</v>
    <v>4.4489999999999998E-3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61.215000000000003</v>
    <v>Residential &amp; Commercial REIT</v>
    <v>Stock</v>
    <v>46108.999965566407</v>
    <v>158</v>
    <v>60.045000000000002</v>
    <v>56590426914</v>
    <v>REALTY INCOME CORPORATION</v>
    <v>REALTY INCOME CORPORATION</v>
    <v>60.34</v>
    <v>51.766800000000003</v>
    <v>60.27</v>
    <v>60.69</v>
    <v>60.96</v>
    <v>932450600</v>
    <v>O</v>
    <v>REALTY INCOME CORPORATION (XNYS:O)</v>
    <v>5341615</v>
    <v>6597178</v>
    <v>1997</v>
  </rv>
  <rv s="2">
    <v>159</v>
  </rv>
  <rv s="0">
    <v>https://www.bing.com/financeapi/forcetrigger?t=a23d6h&amp;q=XNYS%3aSPG&amp;form=skydnc</v>
    <v>Learn more on Bing</v>
  </rv>
  <rv s="1">
    <v>0</v>
    <v>SIMON PROPERTY GROUP, INC. (XNYS:SPG)</v>
    <v>2</v>
    <v>3</v>
    <v>Finance</v>
    <v>4</v>
    <v>en-US</v>
    <v>a23d6h</v>
    <v>268435456</v>
    <v>1</v>
    <v>Powered by Refinitiv</v>
    <v>205.11500000000001</v>
    <v>136.34</v>
    <v>1.4040999999999999</v>
    <v>-1.61</v>
    <v>-8.856000000000001E-3</v>
    <v>0.16</v>
    <v>8.8800000000000001E-4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182.14</v>
    <v>Residential &amp; Commercial REIT</v>
    <v>Stock</v>
    <v>46108.999888807812</v>
    <v>161</v>
    <v>179.14</v>
    <v>58553335127</v>
    <v>SIMON PROPERTY GROUP, INC.</v>
    <v>SIMON PROPERTY GROUP, INC.</v>
    <v>180.9</v>
    <v>12.827</v>
    <v>181.8</v>
    <v>180.19</v>
    <v>180.35</v>
    <v>324953300</v>
    <v>SPG</v>
    <v>SIMON PROPERTY GROUP, INC. (XNYS:SPG)</v>
    <v>1991369</v>
    <v>1733368</v>
    <v>2025</v>
  </rv>
  <rv s="2">
    <v>162</v>
  </rv>
  <rv s="0">
    <v>https://www.bing.com/financeapi/forcetrigger?t=a1qlz2&amp;q=XNYS%3aCVX&amp;form=skydnc</v>
    <v>Learn more on Bing</v>
  </rv>
  <rv s="1">
    <v>0</v>
    <v>CHEVRON CORPORATION (XNYS:CVX)</v>
    <v>2</v>
    <v>3</v>
    <v>Finance</v>
    <v>4</v>
    <v>en-US</v>
    <v>a1qlz2</v>
    <v>268435456</v>
    <v>1</v>
    <v>Powered by Refinitiv</v>
    <v>212.45500000000001</v>
    <v>132.04</v>
    <v>0.53600000000000003</v>
    <v>3.36</v>
    <v>1.617E-2</v>
    <v>0.55000000000000004</v>
    <v>2.6050000000000001E-3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212.45500000000001</v>
    <v>Oil &amp; Gas</v>
    <v>Stock</v>
    <v>46108.999820937497</v>
    <v>164</v>
    <v>206.25</v>
    <v>421325542750</v>
    <v>CHEVRON CORPORATION</v>
    <v>CHEVRON CORPORATION</v>
    <v>208.15</v>
    <v>31.265799999999999</v>
    <v>207.79</v>
    <v>211.15</v>
    <v>211.7</v>
    <v>1995385000</v>
    <v>CVX</v>
    <v>CHEVRON CORPORATION (XNYS:CVX)</v>
    <v>13907755</v>
    <v>13794721</v>
    <v>1926</v>
  </rv>
  <rv s="2">
    <v>165</v>
  </rv>
  <rv s="0">
    <v>https://www.bing.com/financeapi/forcetrigger?t=a269ec&amp;q=XNYS%3aXOM&amp;form=skydnc</v>
    <v>Learn more on Bing</v>
  </rv>
  <rv s="1">
    <v>0</v>
    <v>EXXON MOBIL CORPORATION (XNYS:XOM)</v>
    <v>2</v>
    <v>3</v>
    <v>Finance</v>
    <v>4</v>
    <v>en-US</v>
    <v>a269ec</v>
    <v>268435456</v>
    <v>1</v>
    <v>Powered by Refinitiv</v>
    <v>171.23</v>
    <v>97.8</v>
    <v>0.25609999999999999</v>
    <v>5.56</v>
    <v>3.3609E-2</v>
    <v>0.31</v>
    <v>1.8129999999999999E-3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171.23</v>
    <v>Oil &amp; Gas</v>
    <v>Stock</v>
    <v>46108.999672221878</v>
    <v>167</v>
    <v>164.8</v>
    <v>712474976360</v>
    <v>EXXON MOBIL CORPORATION</v>
    <v>EXXON MOBIL CORPORATION</v>
    <v>165.58</v>
    <v>24.763300000000001</v>
    <v>165.43</v>
    <v>170.99</v>
    <v>171.3</v>
    <v>4166764000</v>
    <v>XOM</v>
    <v>EXXON MOBIL CORPORATION (XNYS:XOM)</v>
    <v>30338313</v>
    <v>23005950</v>
    <v>1882</v>
  </rv>
  <rv s="2">
    <v>168</v>
  </rv>
  <rv s="0">
    <v>https://www.bing.com/financeapi/forcetrigger?t=a1mpqh&amp;q=XNYS%3aABBV&amp;form=skydnc</v>
    <v>Learn more on Bing</v>
  </rv>
  <rv s="1">
    <v>0</v>
    <v>ABBVIE INC. (XNYS:ABBV)</v>
    <v>2</v>
    <v>3</v>
    <v>Finance</v>
    <v>4</v>
    <v>en-US</v>
    <v>a1mpqh</v>
    <v>268435456</v>
    <v>1</v>
    <v>Powered by Refinitiv</v>
    <v>244.81</v>
    <v>164.39</v>
    <v>0.39410000000000001</v>
    <v>-1.72</v>
    <v>-8.1469999999999997E-3</v>
    <v>-0.72629999999999995</v>
    <v>-3.4680000000000002E-3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213.49</v>
    <v>Pharmaceuticals</v>
    <v>Stock</v>
    <v>46108.999548923435</v>
    <v>170</v>
    <v>209.12</v>
    <v>370378762800</v>
    <v>ABBVIE INC.</v>
    <v>ABBVIE INC.</v>
    <v>211.42</v>
    <v>89.446299999999994</v>
    <v>211.12</v>
    <v>209.4</v>
    <v>208.6737</v>
    <v>1768762000</v>
    <v>ABBV</v>
    <v>ABBVIE INC. (XNYS:ABBV)</v>
    <v>5654015</v>
    <v>7234305</v>
    <v>2012</v>
  </rv>
  <rv s="2">
    <v>171</v>
  </rv>
  <rv s="0">
    <v>https://www.bing.com/financeapi/forcetrigger?t=a1mrar&amp;q=XNYS%3aABT&amp;form=skydnc</v>
    <v>Learn more on Bing</v>
  </rv>
  <rv s="1">
    <v>0</v>
    <v>ABBOTT LABORATORIES (XNYS:ABT)</v>
    <v>2</v>
    <v>3</v>
    <v>Finance</v>
    <v>4</v>
    <v>en-US</v>
    <v>a1mrar</v>
    <v>268435456</v>
    <v>1</v>
    <v>Powered by Refinitiv</v>
    <v>139.06</v>
    <v>102.41</v>
    <v>0.77539999999999998</v>
    <v>-0.57999999999999996</v>
    <v>-5.5469999999999998E-3</v>
    <v>-0.11</v>
    <v>-1.0580000000000001E-3</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115000</v>
    <v>New York Stock Exchange</v>
    <v>XNYS</v>
    <v>XNYS</v>
    <v>100 Abbott Park Road, Abbot Park, ABBOTT PARK, IL, 60064-3500 US</v>
    <v>105.46</v>
    <v>Healthcare Equipment &amp; Supplies</v>
    <v>Stock</v>
    <v>46108.991494200782</v>
    <v>173</v>
    <v>103.68</v>
    <v>180700823250</v>
    <v>ABBOTT LABORATORIES</v>
    <v>ABBOTT LABORATORIES</v>
    <v>104.9</v>
    <v>28.017900000000001</v>
    <v>104.57</v>
    <v>103.99</v>
    <v>103.88</v>
    <v>1737675000</v>
    <v>ABT</v>
    <v>ABBOTT LABORATORIES (XNYS:ABT)</v>
    <v>10915075</v>
    <v>11619253</v>
    <v>1900</v>
  </rv>
  <rv s="2">
    <v>174</v>
  </rv>
  <rv s="0">
    <v>https://www.bing.com/financeapi/forcetrigger?t=a1nkm7&amp;q=XNYS%3aAOS&amp;form=skydnc</v>
    <v>Learn more on Bing</v>
  </rv>
  <rv s="1">
    <v>0</v>
    <v>A. O. SMITH CORPORATION (XNYS:AOS)</v>
    <v>2</v>
    <v>3</v>
    <v>Finance</v>
    <v>4</v>
    <v>en-US</v>
    <v>a1nkm7</v>
    <v>268435456</v>
    <v>1</v>
    <v>Powered by Refinitiv</v>
    <v>81.864999999999995</v>
    <v>58.83</v>
    <v>1.3532</v>
    <v>-1.19</v>
    <v>-1.8137E-2</v>
    <v>0</v>
    <v>0</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65.709999999999994</v>
    <v>Machinery, Equipment &amp; Components</v>
    <v>Stock</v>
    <v>46108.958333367969</v>
    <v>176</v>
    <v>64.19</v>
    <v>8905407916</v>
    <v>A. O. SMITH CORPORATION</v>
    <v>A. O. SMITH CORPORATION</v>
    <v>65.38</v>
    <v>17.053699999999999</v>
    <v>65.61</v>
    <v>64.42</v>
    <v>64.42</v>
    <v>138239800</v>
    <v>AOS</v>
    <v>A. O. SMITH CORPORATION (XNYS:AOS)</v>
    <v>1211737</v>
    <v>1441306</v>
    <v>1986</v>
  </rv>
  <rv s="2">
    <v>177</v>
  </rv>
  <rv s="0">
    <v>https://www.bing.com/financeapi/forcetrigger?t=a1nz8m&amp;q=XNAS%3aAVGO&amp;form=skydnc</v>
    <v>Learn more on Bing</v>
  </rv>
  <rv s="1">
    <v>0</v>
    <v>BROADCOM INC. (XNAS:AVGO)</v>
    <v>2</v>
    <v>3</v>
    <v>Finance</v>
    <v>4</v>
    <v>en-US</v>
    <v>a1nz8m</v>
    <v>268435456</v>
    <v>1</v>
    <v>Powered by Refinitiv</v>
    <v>414.61</v>
    <v>138.1</v>
    <v>1.2505999999999999</v>
    <v>-8.7349999999999994</v>
    <v>-2.8231000000000003E-2</v>
    <v>-2.21</v>
    <v>-7.3499999999999998E-3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307.5</v>
    <v>Semiconductors &amp; Semiconductor Equipment</v>
    <v>Stock</v>
    <v>46108.999994571095</v>
    <v>179</v>
    <v>298.87</v>
    <v>1423619974240</v>
    <v>BROADCOM INC.</v>
    <v>BROADCOM INC.</v>
    <v>307.06</v>
    <v>63.035600000000002</v>
    <v>309.41500000000002</v>
    <v>300.68</v>
    <v>298.47000000000003</v>
    <v>4734668000</v>
    <v>AVGO</v>
    <v>BROADCOM INC. (XNAS:AVGO)</v>
    <v>23593929</v>
    <v>28301504</v>
    <v>2018</v>
  </rv>
  <rv s="2">
    <v>180</v>
  </rv>
  <rv s="0">
    <v>https://www.bing.com/financeapi/forcetrigger?t=a1o1jc&amp;q=XNYS%3aAWK&amp;form=skydnc</v>
    <v>Learn more on Bing</v>
  </rv>
  <rv s="1">
    <v>0</v>
    <v>AMERICAN WATER WORKS COMPANY, INC. (XNYS:AWK)</v>
    <v>2</v>
    <v>3</v>
    <v>Finance</v>
    <v>4</v>
    <v>en-US</v>
    <v>a1o1jc</v>
    <v>268435456</v>
    <v>1</v>
    <v>Powered by Refinitiv</v>
    <v>155.5</v>
    <v>121.27500000000001</v>
    <v>0.7097</v>
    <v>-0.65</v>
    <v>-4.7270000000000003E-3</v>
    <v>-0.05</v>
    <v>-3.6529999999999999E-4</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138.74</v>
    <v>Water Utilities</v>
    <v>Stock</v>
    <v>46108.999886296093</v>
    <v>182</v>
    <v>136.61000000000001</v>
    <v>26726034486</v>
    <v>AMERICAN WATER WORKS COMPANY, INC.</v>
    <v>AMERICAN WATER WORKS COMPANY, INC.</v>
    <v>137.72</v>
    <v>24.135400000000001</v>
    <v>137.51</v>
    <v>136.86000000000001</v>
    <v>136.81</v>
    <v>195280100</v>
    <v>AWK</v>
    <v>AMERICAN WATER WORKS COMPANY, INC. (XNYS:AWK)</v>
    <v>1609401</v>
    <v>1940983</v>
    <v>1936</v>
  </rv>
  <rv s="2">
    <v>183</v>
  </rv>
  <rv s="0">
    <v>https://www.bing.com/financeapi/forcetrigger?t=a1o9gh&amp;q=XNYS%3aBBY&amp;form=skydnc</v>
    <v>Learn more on Bing</v>
  </rv>
  <rv s="1">
    <v>0</v>
    <v>Best Buy Co., Inc. (XNYS:BBY)</v>
    <v>2</v>
    <v>3</v>
    <v>Finance</v>
    <v>4</v>
    <v>en-US</v>
    <v>a1o9gh</v>
    <v>268435456</v>
    <v>1</v>
    <v>Powered by Refinitiv</v>
    <v>84.99</v>
    <v>54.99</v>
    <v>1.3411999999999999</v>
    <v>-0.23</v>
    <v>-3.6389999999999999E-3</v>
    <v>-0.37</v>
    <v>-5.875E-3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63.2</v>
    <v>Specialty Retailers</v>
    <v>Stock</v>
    <v>46108.971690693746</v>
    <v>185</v>
    <v>61.58</v>
    <v>13169911548</v>
    <v>Best Buy Co., Inc.</v>
    <v>Best Buy Co., Inc.</v>
    <v>62.56</v>
    <v>12.523400000000001</v>
    <v>63.21</v>
    <v>62.98</v>
    <v>62.61</v>
    <v>209112600</v>
    <v>BBY</v>
    <v>Best Buy Co., Inc. (XNYS:BBY)</v>
    <v>5401333</v>
    <v>5839441</v>
    <v>1966</v>
  </rv>
  <rv s="2">
    <v>186</v>
  </rv>
  <rv s="0">
    <v>https://www.bing.com/financeapi/forcetrigger?t=a1ock2&amp;q=XNYS%3aBDX&amp;form=skydnc</v>
    <v>Learn more on Bing</v>
  </rv>
  <rv s="1">
    <v>0</v>
    <v>BECTON, DICKINSON AND COMPANY (XNYS:BDX)</v>
    <v>2</v>
    <v>3</v>
    <v>Finance</v>
    <v>4</v>
    <v>en-US</v>
    <v>a1ock2</v>
    <v>268435456</v>
    <v>1</v>
    <v>Powered by Refinitiv</v>
    <v>187.35</v>
    <v>127.5364</v>
    <v>0.31830000000000003</v>
    <v>-2.87</v>
    <v>-1.8236000000000002E-2</v>
    <v>0</v>
    <v>0</v>
    <v>USD</v>
    <v>Becton, Dickinson and Company is a global medical technology company. The Company is engaged in the development, manufacture and sale of a broad range of medical supplies, devices, laboratory equipment and diagnostic products used by healthcare institutions, physicians, life science researchers, clinical laboratories, and more. It operates through four segments: BD Medical Essentials, BD Connected Care, BD BioPharma Systems and BD Interventional. BD Medical Essentials segment includes medication delivery solutions and specimen management. BD Connected Care segment includes medication management solutions and advanced patient monitoring. BD Interventional segment includes urology and critical care, peripheral intervention and surgery.</v>
    <v>72000</v>
    <v>New York Stock Exchange</v>
    <v>XNYS</v>
    <v>XNYS</v>
    <v>One Becton Drive, FRANKLIN LAKES, NJ, 07417-1880 US</v>
    <v>158.15</v>
    <v>Healthcare Equipment &amp; Supplies</v>
    <v>Stock</v>
    <v>46108.958333356248</v>
    <v>188</v>
    <v>154.38</v>
    <v>43995455518</v>
    <v>BECTON, DICKINSON AND COMPANY</v>
    <v>BECTON, DICKINSON AND COMPANY</v>
    <v>158.15</v>
    <v>25.727</v>
    <v>157.38</v>
    <v>154.51</v>
    <v>154.51</v>
    <v>284741800</v>
    <v>BDX</v>
    <v>BECTON, DICKINSON AND COMPANY (XNYS:BDX)</v>
    <v>2032059</v>
    <v>2712992</v>
    <v>1906</v>
  </rv>
  <rv s="2">
    <v>189</v>
  </rv>
  <rv s="0">
    <v>https://www.bing.com/financeapi/forcetrigger?t=a1odur&amp;q=XNYS%3aBF.A&amp;form=skydnc</v>
    <v>Learn more on Bing</v>
  </rv>
  <rv s="8">
    <v>12</v>
    <v>BROWN-FORMAN CORPORATION (XNYS:BF.A)</v>
    <v>2</v>
    <v>13</v>
    <v>Finance</v>
    <v>4</v>
    <v>en-US</v>
    <v>a1odur</v>
    <v>268435456</v>
    <v>1</v>
    <v>Powered by Refinitiv</v>
    <v>35.954999999999998</v>
    <v>23.01</v>
    <v>0.4093</v>
    <v>1.2</v>
    <v>4.6172000000000005E-2</v>
    <v>0.16</v>
    <v>5.8850000000000005E-3</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27.57</v>
    <v>Beverages</v>
    <v>Stock</v>
    <v>46108.973646631253</v>
    <v>191</v>
    <v>26.3</v>
    <v>12472150884</v>
    <v>BROWN-FORMAN CORPORATION</v>
    <v>BROWN-FORMAN CORPORATION</v>
    <v>26.3</v>
    <v>25.99</v>
    <v>27.19</v>
    <v>27.35</v>
    <v>458703600</v>
    <v>BF.A</v>
    <v>BROWN-FORMAN CORPORATION (XNYS:BF.A)</v>
    <v>447880</v>
    <v>312877</v>
    <v>1933</v>
  </rv>
  <rv s="2">
    <v>192</v>
  </rv>
  <rv s="0">
    <v>https://www.bing.com/financeapi/forcetrigger?t=a1p7zr&amp;q=XNYS%3aCAT&amp;form=skydnc</v>
    <v>Learn more on Bing</v>
  </rv>
  <rv s="1">
    <v>0</v>
    <v>CATERPILLAR INC. (XNYS:CAT)</v>
    <v>2</v>
    <v>3</v>
    <v>Finance</v>
    <v>4</v>
    <v>en-US</v>
    <v>a1p7zr</v>
    <v>268435456</v>
    <v>1</v>
    <v>Powered by Refinitiv</v>
    <v>789.81</v>
    <v>267.3</v>
    <v>1.5022</v>
    <v>-7.79</v>
    <v>-1.1077999999999999E-2</v>
    <v>-3.4</v>
    <v>-4.8890000000000001E-3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708.36</v>
    <v>Machinery, Equipment &amp; Components</v>
    <v>Stock</v>
    <v>46108.999390601566</v>
    <v>194</v>
    <v>692.33</v>
    <v>323560788420</v>
    <v>CATERPILLAR INC.</v>
    <v>CATERPILLAR INC.</v>
    <v>694.47</v>
    <v>37.350999999999999</v>
    <v>703.19</v>
    <v>695.4</v>
    <v>692</v>
    <v>465287300</v>
    <v>CAT</v>
    <v>CATERPILLAR INC. (XNYS:CAT)</v>
    <v>2059801</v>
    <v>2738058</v>
    <v>1986</v>
  </rv>
  <rv s="2">
    <v>195</v>
  </rv>
  <rv s="0">
    <v>https://www.bing.com/financeapi/forcetrigger?t=a1pshw&amp;q=XNYS%3aCL&amp;form=skydnc</v>
    <v>Learn more on Bing</v>
  </rv>
  <rv s="1">
    <v>0</v>
    <v>COLGATE-PALMOLIVE COMPANY (XNYS:CL)</v>
    <v>2</v>
    <v>3</v>
    <v>Finance</v>
    <v>4</v>
    <v>en-US</v>
    <v>a1pshw</v>
    <v>268435456</v>
    <v>1</v>
    <v>Powered by Refinitiv</v>
    <v>99.33</v>
    <v>74.545000000000002</v>
    <v>0.35720000000000002</v>
    <v>0.15</v>
    <v>1.7829999999999999E-3</v>
    <v>0.26</v>
    <v>3.0850000000000001E-3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85.53</v>
    <v>Personal &amp; Household Products &amp; Services</v>
    <v>Stock</v>
    <v>46108.994139988281</v>
    <v>197</v>
    <v>83.924999999999997</v>
    <v>67626027151</v>
    <v>COLGATE-PALMOLIVE COMPANY</v>
    <v>COLGATE-PALMOLIVE COMPANY</v>
    <v>84.27</v>
    <v>32.0974</v>
    <v>84.14</v>
    <v>84.29</v>
    <v>84.55</v>
    <v>802301900</v>
    <v>CL</v>
    <v>COLGATE-PALMOLIVE COMPANY (XNYS:CL)</v>
    <v>6808408</v>
    <v>6555490</v>
    <v>1923</v>
  </rv>
  <rv s="2">
    <v>198</v>
  </rv>
  <rv s="0">
    <v>https://www.bing.com/financeapi/forcetrigger?t=a1q19c&amp;q=XNYS%3aCNI&amp;form=skydnc</v>
    <v>Learn more on Bing</v>
  </rv>
  <rv s="1">
    <v>0</v>
    <v>Canadian National Railway Company (XNYS:CNI)</v>
    <v>2</v>
    <v>3</v>
    <v>Finance</v>
    <v>4</v>
    <v>en-US</v>
    <v>a1q19c</v>
    <v>268435456</v>
    <v>1</v>
    <v>Powered by Refinitiv</v>
    <v>113.08499999999999</v>
    <v>90.74</v>
    <v>0.91890000000000005</v>
    <v>-0.16</v>
    <v>-1.575E-3</v>
    <v>0</v>
    <v>0</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101.83</v>
    <v>Freight &amp; Logistics Services</v>
    <v>Stock</v>
    <v>46108.958333356248</v>
    <v>200</v>
    <v>100.75</v>
    <v>62014302000</v>
    <v>Canadian National Railway Company</v>
    <v>Canadian National Railway Company</v>
    <v>101.22</v>
    <v>18.423200000000001</v>
    <v>101.59</v>
    <v>101.43</v>
    <v>101.43</v>
    <v>611400000</v>
    <v>CNI</v>
    <v>Canadian National Railway Company (XNYS:CNI)</v>
    <v>946107</v>
    <v>1844806</v>
    <v>1995</v>
  </rv>
  <rv s="2">
    <v>201</v>
  </rv>
  <rv s="0">
    <v>https://www.bing.com/financeapi/forcetrigger?t=a1qpw7&amp;q=XNYS%3aD&amp;form=skydnc</v>
    <v>Learn more on Bing</v>
  </rv>
  <rv s="1">
    <v>0</v>
    <v>Dominion Energy, Inc. (XNYS:D)</v>
    <v>2</v>
    <v>3</v>
    <v>Finance</v>
    <v>4</v>
    <v>en-US</v>
    <v>a1qpw7</v>
    <v>268435456</v>
    <v>1</v>
    <v>Powered by Refinitiv</v>
    <v>67.569900000000004</v>
    <v>48.07</v>
    <v>0.6542</v>
    <v>-0.02</v>
    <v>-3.2840000000000001E-4</v>
    <v>0.35</v>
    <v>5.7489999999999998E-3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61.44</v>
    <v>Electrical Utilities &amp; IPPs</v>
    <v>Stock</v>
    <v>46108.98429895781</v>
    <v>203</v>
    <v>60.63</v>
    <v>53511370936</v>
    <v>Dominion Energy, Inc.</v>
    <v>Dominion Energy, Inc.</v>
    <v>60.94</v>
    <v>17.64</v>
    <v>60.9</v>
    <v>60.88</v>
    <v>61.23</v>
    <v>878964700</v>
    <v>D</v>
    <v>Dominion Energy, Inc. (XNYS:D)</v>
    <v>3699981</v>
    <v>5452202</v>
    <v>1983</v>
  </rv>
  <rv s="2">
    <v>204</v>
  </rv>
  <rv s="0">
    <v>https://www.bing.com/financeapi/forcetrigger?t=a1qvjc&amp;q=XNYS%3aDE&amp;form=skydnc</v>
    <v>Learn more on Bing</v>
  </rv>
  <rv s="1">
    <v>0</v>
    <v>DEERE &amp; COMPANY (XNYS:DE)</v>
    <v>2</v>
    <v>3</v>
    <v>Finance</v>
    <v>4</v>
    <v>en-US</v>
    <v>a1qvjc</v>
    <v>268435456</v>
    <v>1</v>
    <v>Powered by Refinitiv</v>
    <v>674.18989999999997</v>
    <v>404.42</v>
    <v>0.98260000000000003</v>
    <v>-14.55</v>
    <v>-2.5034999999999998E-2</v>
    <v>-2.2200000000000002</v>
    <v>-3.9179999999999996E-3</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581.91999999999996</v>
    <v>Machinery, Equipment &amp; Components</v>
    <v>Stock</v>
    <v>46108.999353089843</v>
    <v>206</v>
    <v>564.05010000000004</v>
    <v>153053600472</v>
    <v>DEERE &amp; COMPANY</v>
    <v>DEERE &amp; COMPANY</v>
    <v>580.72</v>
    <v>32.767699999999998</v>
    <v>581.19000000000005</v>
    <v>566.64</v>
    <v>564.41999999999996</v>
    <v>270107300</v>
    <v>DE</v>
    <v>DEERE &amp; COMPANY (XNYS:DE)</v>
    <v>1455931</v>
    <v>1506067</v>
    <v>1958</v>
  </rv>
  <rv s="2">
    <v>207</v>
  </rv>
  <rv s="0">
    <v>https://www.bing.com/financeapi/forcetrigger?t=a1qwoc&amp;q=XNYS%3aDEO&amp;form=skydnc</v>
    <v>Learn more on Bing</v>
  </rv>
  <rv s="1">
    <v>0</v>
    <v>DIAGEO PLC (XNYS:DEO)</v>
    <v>2</v>
    <v>3</v>
    <v>Finance</v>
    <v>4</v>
    <v>en-US</v>
    <v>a1qwoc</v>
    <v>268435456</v>
    <v>1</v>
    <v>Powered by Refinitiv</v>
    <v>116.69</v>
    <v>72.45</v>
    <v>0.54400000000000004</v>
    <v>0.33</v>
    <v>4.4749999999999998E-3</v>
    <v>-0.17</v>
    <v>-2.2950000000000002E-3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74.614999999999995</v>
    <v>Beverages</v>
    <v>Stock</v>
    <v>46108.996806585157</v>
    <v>209</v>
    <v>73.260000000000005</v>
    <v>41228324910</v>
    <v>DIAGEO PLC</v>
    <v>DIAGEO PLC</v>
    <v>73.59</v>
    <v>17.0335</v>
    <v>73.739999999999995</v>
    <v>74.069999999999993</v>
    <v>73.900000000000006</v>
    <v>556613000</v>
    <v>DEO</v>
    <v>DIAGEO PLC (XNYS:DEO)</v>
    <v>1650580</v>
    <v>2286557</v>
    <v>1886</v>
  </rv>
  <rv s="2">
    <v>210</v>
  </rv>
  <rv s="0">
    <v>https://www.bing.com/financeapi/forcetrigger?t=bpifbh&amp;q=XNYS%3aDOW&amp;form=skydnc</v>
    <v>Learn more on Bing</v>
  </rv>
  <rv s="8">
    <v>12</v>
    <v>Dow Inc. (XNYS:DOW)</v>
    <v>2</v>
    <v>13</v>
    <v>Finance</v>
    <v>4</v>
    <v>en-US</v>
    <v>bpifbh</v>
    <v>268435456</v>
    <v>1</v>
    <v>Powered by Refinitiv</v>
    <v>41.055</v>
    <v>20.401900000000001</v>
    <v>0.4294</v>
    <v>1.35</v>
    <v>3.4203000000000004E-2</v>
    <v>0.03</v>
    <v>7.3490000000000003E-4</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41.055</v>
    <v>Chemicals</v>
    <v>Stock</v>
    <v>46108.999579212497</v>
    <v>212</v>
    <v>39.31</v>
    <v>29374863908</v>
    <v>Dow Inc.</v>
    <v>Dow Inc.</v>
    <v>39.630000000000003</v>
    <v>39.47</v>
    <v>40.82</v>
    <v>40.85</v>
    <v>719619400</v>
    <v>DOW</v>
    <v>Dow Inc. (XNYS:DOW)</v>
    <v>12322125</v>
    <v>15227112</v>
    <v>2018</v>
  </rv>
  <rv s="2">
    <v>213</v>
  </rv>
  <rv s="0">
    <v>https://www.bing.com/financeapi/forcetrigger?t=a1rdzr&amp;q=XNYS%3aDUK&amp;form=skydnc</v>
    <v>Learn more on Bing</v>
  </rv>
  <rv s="1">
    <v>0</v>
    <v>DUKE ENERGY CORPORATION (XNYS:DUK)</v>
    <v>2</v>
    <v>3</v>
    <v>Finance</v>
    <v>4</v>
    <v>en-US</v>
    <v>a1rdzr</v>
    <v>268435456</v>
    <v>1</v>
    <v>Powered by Refinitiv</v>
    <v>134.49</v>
    <v>111.22</v>
    <v>0.44769999999999999</v>
    <v>0.61</v>
    <v>4.7149999999999996E-3</v>
    <v>-9.0999999999999998E-2</v>
    <v>-7.0010000000000005E-4</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131.21</v>
    <v>Electrical Utilities &amp; IPPs</v>
    <v>Stock</v>
    <v>46108.991679258594</v>
    <v>215</v>
    <v>129.02000000000001</v>
    <v>101147506824</v>
    <v>DUKE ENERGY CORPORATION</v>
    <v>DUKE ENERGY CORPORATION</v>
    <v>129.55000000000001</v>
    <v>20.466999999999999</v>
    <v>129.38</v>
    <v>129.99</v>
    <v>129.899</v>
    <v>778117600</v>
    <v>DUK</v>
    <v>DUKE ENERGY CORPORATION (XNYS:DUK)</v>
    <v>4797797</v>
    <v>4782557</v>
    <v>2005</v>
  </rv>
  <rv s="2">
    <v>216</v>
  </rv>
  <rv s="0">
    <v>https://www.bing.com/financeapi/forcetrigger?t=a1rmkr&amp;q=XNYS%3aED&amp;form=skydnc</v>
    <v>Learn more on Bing</v>
  </rv>
  <rv s="1">
    <v>0</v>
    <v>CONSOLIDATED EDISON, INC. (XNYS:ED)</v>
    <v>2</v>
    <v>3</v>
    <v>Finance</v>
    <v>4</v>
    <v>en-US</v>
    <v>a1rmkr</v>
    <v>268435456</v>
    <v>1</v>
    <v>Powered by Refinitiv</v>
    <v>116.23</v>
    <v>94.96</v>
    <v>0.3357</v>
    <v>0.16</v>
    <v>1.4349999999999999E-3</v>
    <v>-1.2299</v>
    <v>-1.1013E-2</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112.09</v>
    <v>Electrical Utilities &amp; IPPs</v>
    <v>Stock</v>
    <v>46108.968154374998</v>
    <v>218</v>
    <v>110.9</v>
    <v>40350285536</v>
    <v>CONSOLIDATED EDISON, INC.</v>
    <v>CONSOLIDATED EDISON, INC.</v>
    <v>111.78</v>
    <v>19.726600000000001</v>
    <v>111.52</v>
    <v>111.68</v>
    <v>110.45010000000001</v>
    <v>361302700</v>
    <v>ED</v>
    <v>CONSOLIDATED EDISON, INC. (XNYS:ED)</v>
    <v>1776467</v>
    <v>2547445</v>
    <v>1997</v>
  </rv>
  <rv s="2">
    <v>219</v>
  </rv>
  <rv s="0">
    <v>https://www.bing.com/financeapi/forcetrigger?t=a1s24c&amp;q=XNYS%3aEOG&amp;form=skydnc</v>
    <v>Learn more on Bing</v>
  </rv>
  <rv s="1">
    <v>0</v>
    <v>EOG RESOURCES, INC. (XNYS:EOG)</v>
    <v>2</v>
    <v>3</v>
    <v>Finance</v>
    <v>4</v>
    <v>en-US</v>
    <v>a1s24c</v>
    <v>268435456</v>
    <v>1</v>
    <v>Powered by Refinitiv</v>
    <v>150.1</v>
    <v>101.5936</v>
    <v>0.25679999999999997</v>
    <v>2.0699999999999998</v>
    <v>1.4034999999999999E-2</v>
    <v>0.44</v>
    <v>2.9420000000000002E-3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150.1</v>
    <v>Oil &amp; Gas</v>
    <v>Stock</v>
    <v>46108.99967342578</v>
    <v>221</v>
    <v>146.91</v>
    <v>80237668740</v>
    <v>EOG RESOURCES, INC.</v>
    <v>EOG RESOURCES, INC.</v>
    <v>147.61000000000001</v>
    <v>16.187899999999999</v>
    <v>147.49</v>
    <v>149.56</v>
    <v>150</v>
    <v>536491500</v>
    <v>EOG</v>
    <v>EOG RESOURCES, INC. (XNYS:EOG)</v>
    <v>4102951</v>
    <v>6080915</v>
    <v>1985</v>
  </rv>
  <rv s="2">
    <v>222</v>
  </rv>
  <rv s="0">
    <v>https://www.bing.com/financeapi/forcetrigger?t=a1s4mw&amp;q=XNAS%3aEQIX&amp;form=skydnc</v>
    <v>Learn more on Bing</v>
  </rv>
  <rv s="1">
    <v>0</v>
    <v>EQUINIX, INC. (XNAS:EQIX)</v>
    <v>2</v>
    <v>3</v>
    <v>Finance</v>
    <v>4</v>
    <v>en-US</v>
    <v>a1s4mw</v>
    <v>268435456</v>
    <v>1</v>
    <v>Powered by Refinitiv</v>
    <v>992.9</v>
    <v>701.41</v>
    <v>0.98350000000000004</v>
    <v>-0.39</v>
    <v>-4.0480000000000003E-4</v>
    <v>-13</v>
    <v>-1.3499000000000001E-2</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968.18499999999995</v>
    <v>Residential &amp; Commercial REIT</v>
    <v>Stock</v>
    <v>46108.99022006875</v>
    <v>224</v>
    <v>958.26499999999999</v>
    <v>94619497590</v>
    <v>EQUINIX, INC.</v>
    <v>EQUINIX, INC.</v>
    <v>963.38</v>
    <v>70.011799999999994</v>
    <v>963.39</v>
    <v>963</v>
    <v>950</v>
    <v>98254930</v>
    <v>EQIX</v>
    <v>EQUINIX, INC. (XNAS:EQIX)</v>
    <v>397539</v>
    <v>679443</v>
    <v>1998</v>
  </rv>
  <rv s="2">
    <v>225</v>
  </rv>
  <rv s="0">
    <v>https://www.bing.com/financeapi/forcetrigger?t=a1sl52&amp;q=XNAS%3aFAST&amp;form=skydnc</v>
    <v>Learn more on Bing</v>
  </rv>
  <rv s="1">
    <v>0</v>
    <v>FASTENAL COMPANY (XNAS:FAST)</v>
    <v>2</v>
    <v>3</v>
    <v>Finance</v>
    <v>4</v>
    <v>en-US</v>
    <v>a1sl52</v>
    <v>268435456</v>
    <v>1</v>
    <v>Powered by Refinitiv</v>
    <v>50.63</v>
    <v>35.305</v>
    <v>0.83830000000000005</v>
    <v>-0.16</v>
    <v>-3.5470000000000002E-3</v>
    <v>-0.34</v>
    <v>-7.5639999999999995E-3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45.375</v>
    <v>Machinery, Equipment &amp; Components</v>
    <v>Stock</v>
    <v>46108.98279872656</v>
    <v>227</v>
    <v>44.790100000000002</v>
    <v>51617343600</v>
    <v>FASTENAL COMPANY</v>
    <v>FASTENAL COMPANY</v>
    <v>44.96</v>
    <v>41.084000000000003</v>
    <v>45.11</v>
    <v>44.95</v>
    <v>44.61</v>
    <v>1148328000</v>
    <v>FAST</v>
    <v>FASTENAL COMPANY (XNAS:FAST)</v>
    <v>5709088</v>
    <v>8179042</v>
    <v>1968</v>
  </rv>
  <rv s="2">
    <v>228</v>
  </rv>
  <rv s="0">
    <v>https://www.bing.com/financeapi/forcetrigger?t=a1sqr7&amp;q=XNYS%3aFDX&amp;form=skydnc</v>
    <v>Learn more on Bing</v>
  </rv>
  <rv s="1">
    <v>0</v>
    <v>FEDEX CORPORATION (XNYS:FDX)</v>
    <v>2</v>
    <v>3</v>
    <v>Finance</v>
    <v>4</v>
    <v>en-US</v>
    <v>a1sqr7</v>
    <v>268435456</v>
    <v>1</v>
    <v>Powered by Refinitiv</v>
    <v>392.86</v>
    <v>194.29499999999999</v>
    <v>1.2896000000000001</v>
    <v>-5.58</v>
    <v>-1.5963000000000001E-2</v>
    <v>-0.97</v>
    <v>-2.8199999999999996E-3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349.01</v>
    <v>Freight &amp; Logistics Services</v>
    <v>Stock</v>
    <v>46108.999150068747</v>
    <v>230</v>
    <v>342.17</v>
    <v>82073580996</v>
    <v>FEDEX CORPORATION</v>
    <v>FEDEX CORPORATION</v>
    <v>348.62</v>
    <v>19.296199999999999</v>
    <v>349.55</v>
    <v>343.97</v>
    <v>343</v>
    <v>238606800</v>
    <v>FDX</v>
    <v>FEDEX CORPORATION (XNYS:FDX)</v>
    <v>1596531</v>
    <v>2065119</v>
    <v>1997</v>
  </rv>
  <rv s="2">
    <v>231</v>
  </rv>
  <rv s="0">
    <v>https://www.bing.com/financeapi/forcetrigger?t=a1t227&amp;q=XNYS%3aFLO&amp;form=skydnc</v>
    <v>Learn more on Bing</v>
  </rv>
  <rv s="1">
    <v>0</v>
    <v>FLOWERS FOODS, INC. (XNYS:FLO)</v>
    <v>2</v>
    <v>3</v>
    <v>Finance</v>
    <v>4</v>
    <v>en-US</v>
    <v>a1t227</v>
    <v>268435456</v>
    <v>1</v>
    <v>Powered by Refinitiv</v>
    <v>20.23</v>
    <v>8.0399999999999991</v>
    <v>0.3962</v>
    <v>0.04</v>
    <v>4.7850000000000002E-3</v>
    <v>0.02</v>
    <v>2.3809999999999999E-3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8.6199999999999992</v>
    <v>Food &amp; Tobacco</v>
    <v>Stock</v>
    <v>46108.997929108591</v>
    <v>233</v>
    <v>8.3000000000000007</v>
    <v>1777056120</v>
    <v>FLOWERS FOODS, INC.</v>
    <v>FLOWERS FOODS, INC.</v>
    <v>8.35</v>
    <v>21.1538</v>
    <v>8.36</v>
    <v>8.4</v>
    <v>8.42</v>
    <v>211554300</v>
    <v>FLO</v>
    <v>FLOWERS FOODS, INC. (XNYS:FLO)</v>
    <v>5315710</v>
    <v>5646562</v>
    <v>2000</v>
  </rv>
  <rv s="2">
    <v>234</v>
  </rv>
  <rv s="0">
    <v>https://www.bing.com/financeapi/forcetrigger?t=a1uv7w&amp;q=XNYS%3aHRL&amp;form=skydnc</v>
    <v>Learn more on Bing</v>
  </rv>
  <rv s="1">
    <v>0</v>
    <v>HORMEL FOODS CORPORATION (XNYS:HRL)</v>
    <v>2</v>
    <v>3</v>
    <v>Finance</v>
    <v>4</v>
    <v>en-US</v>
    <v>a1uv7w</v>
    <v>268435456</v>
    <v>1</v>
    <v>Powered by Refinitiv</v>
    <v>32.07</v>
    <v>21.03</v>
    <v>0.35720000000000002</v>
    <v>0.22</v>
    <v>9.6279999999999994E-3</v>
    <v>0.13</v>
    <v>5.6350000000000003E-3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23.175000000000001</v>
    <v>Food &amp; Tobacco</v>
    <v>Stock</v>
    <v>46108.997569316409</v>
    <v>236</v>
    <v>22.8</v>
    <v>12695056494</v>
    <v>HORMEL FOODS CORPORATION</v>
    <v>HORMEL FOODS CORPORATION</v>
    <v>22.81</v>
    <v>25.710799999999999</v>
    <v>22.85</v>
    <v>23.07</v>
    <v>23.2</v>
    <v>550284200</v>
    <v>HRL</v>
    <v>HORMEL FOODS CORPORATION (XNYS:HRL)</v>
    <v>4034665</v>
    <v>4664612</v>
    <v>1928</v>
  </rv>
  <rv s="2">
    <v>237</v>
  </rv>
  <rv s="0">
    <v>https://www.bing.com/financeapi/forcetrigger?t=a1vmtc&amp;q=XNAS%3aINTU&amp;form=skydnc</v>
    <v>Learn more on Bing</v>
  </rv>
  <rv s="1">
    <v>0</v>
    <v>INTUIT INC. (XNAS:INTU)</v>
    <v>2</v>
    <v>3</v>
    <v>Finance</v>
    <v>4</v>
    <v>en-US</v>
    <v>a1vmtc</v>
    <v>268435456</v>
    <v>1</v>
    <v>Powered by Refinitiv</v>
    <v>813.7</v>
    <v>349</v>
    <v>1.1962999999999999</v>
    <v>-16.11</v>
    <v>-3.7243999999999999E-2</v>
    <v>-1.44</v>
    <v>-3.4580000000000001E-3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427.47</v>
    <v>Financial Technology (Fintech) &amp; Infrastructure</v>
    <v>Stock</v>
    <v>46108.999593390625</v>
    <v>239</v>
    <v>409.50009999999997</v>
    <v>115166482000</v>
    <v>INTUIT INC.</v>
    <v>INTUIT INC.</v>
    <v>426.49</v>
    <v>28.136700000000001</v>
    <v>432.55</v>
    <v>416.44</v>
    <v>415</v>
    <v>276550000</v>
    <v>INTU</v>
    <v>INTUIT INC. (XNAS:INTU)</v>
    <v>2649855</v>
    <v>4465476</v>
    <v>1993</v>
  </rv>
  <rv s="2">
    <v>240</v>
  </rv>
  <rv s="0">
    <v>https://www.bing.com/financeapi/forcetrigger?t=a1vv8m&amp;q=XNYS%3aITW&amp;form=skydnc</v>
    <v>Learn more on Bing</v>
  </rv>
  <rv s="1">
    <v>0</v>
    <v>ILLINOIS TOOL WORKS INC. (XNYS:ITW)</v>
    <v>2</v>
    <v>3</v>
    <v>Finance</v>
    <v>4</v>
    <v>en-US</v>
    <v>a1vv8m</v>
    <v>268435456</v>
    <v>1</v>
    <v>Powered by Refinitiv</v>
    <v>303.15499999999997</v>
    <v>214.66</v>
    <v>1.1369</v>
    <v>-2.33</v>
    <v>-8.9149999999999993E-3</v>
    <v>0</v>
    <v>0</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263.19</v>
    <v>Consumer Goods Conglomerates</v>
    <v>Stock</v>
    <v>46108.958333344533</v>
    <v>242</v>
    <v>257.86</v>
    <v>74655328000</v>
    <v>ILLINOIS TOOL WORKS INC.</v>
    <v>ILLINOIS TOOL WORKS INC.</v>
    <v>260.72000000000003</v>
    <v>24.912800000000001</v>
    <v>261.37</v>
    <v>259.04000000000002</v>
    <v>259.04000000000002</v>
    <v>288200000</v>
    <v>ITW</v>
    <v>ILLINOIS TOOL WORKS INC. (XNYS:ITW)</v>
    <v>1482090</v>
    <v>1376330</v>
    <v>1961</v>
  </rv>
  <rv s="2">
    <v>243</v>
  </rv>
  <rv s="0">
    <v>https://www.bing.com/financeapi/forcetrigger?t=a1wljc&amp;q=XNYS%3aKO&amp;form=skydnc</v>
    <v>Learn more on Bing</v>
  </rv>
  <rv s="1">
    <v>0</v>
    <v>THE COCA-COLA COMPANY (XNYS:KO)</v>
    <v>2</v>
    <v>3</v>
    <v>Finance</v>
    <v>4</v>
    <v>en-US</v>
    <v>a1wljc</v>
    <v>268435456</v>
    <v>1</v>
    <v>Powered by Refinitiv</v>
    <v>82</v>
    <v>65.353800000000007</v>
    <v>0.36909999999999998</v>
    <v>1.02</v>
    <v>1.3656E-2</v>
    <v>0.20949999999999999</v>
    <v>2.7669999999999999E-3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76.05</v>
    <v>Beverages</v>
    <v>Stock</v>
    <v>46108.999992661717</v>
    <v>245</v>
    <v>74.7</v>
    <v>325867423630</v>
    <v>THE COCA-COLA COMPANY</v>
    <v>THE COCA-COLA COMPANY</v>
    <v>74.819999999999993</v>
    <v>24.5776</v>
    <v>74.69</v>
    <v>75.709999999999994</v>
    <v>75.919499999999999</v>
    <v>4304153000</v>
    <v>KO</v>
    <v>THE COCA-COLA COMPANY (XNYS:KO)</v>
    <v>17461033</v>
    <v>17102294</v>
    <v>1919</v>
  </rv>
  <rv s="2">
    <v>246</v>
  </rv>
  <rv s="0">
    <v>https://www.bing.com/financeapi/forcetrigger?t=a1wyu2&amp;q=XNYS%3aLLY&amp;form=skydnc</v>
    <v>Learn more on Bing</v>
  </rv>
  <rv s="1">
    <v>0</v>
    <v>ELI LILLY AND COMPANY (XNYS:LLY)</v>
    <v>2</v>
    <v>3</v>
    <v>Finance</v>
    <v>4</v>
    <v>en-US</v>
    <v>a1wyu2</v>
    <v>268435456</v>
    <v>1</v>
    <v>Powered by Refinitiv</v>
    <v>1133.95</v>
    <v>623.78</v>
    <v>0.5484</v>
    <v>-18.760000000000002</v>
    <v>-2.0914000000000002E-2</v>
    <v>-3.52</v>
    <v>-4.0080000000000003E-3</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900.82989999999995</v>
    <v>Pharmaceuticals</v>
    <v>Stock</v>
    <v>46108.999871053122</v>
    <v>248</v>
    <v>877.11</v>
    <v>829777750736</v>
    <v>ELI LILLY AND COMPANY</v>
    <v>ELI LILLY AND COMPANY</v>
    <v>896</v>
    <v>39.073799999999999</v>
    <v>897</v>
    <v>878.24</v>
    <v>874.72</v>
    <v>944818900</v>
    <v>LLY</v>
    <v>ELI LILLY AND COMPANY (XNYS:LLY)</v>
    <v>2740802</v>
    <v>2925631</v>
    <v>1901</v>
  </rv>
  <rv s="2">
    <v>249</v>
  </rv>
  <rv s="0">
    <v>https://www.bing.com/financeapi/forcetrigger?t=a1xear&amp;q=XNYS%3aMCO&amp;form=skydnc</v>
    <v>Learn more on Bing</v>
  </rv>
  <rv s="1">
    <v>0</v>
    <v>MOODY'S CORPORATION (XNYS:MCO)</v>
    <v>2</v>
    <v>3</v>
    <v>Finance</v>
    <v>4</v>
    <v>en-US</v>
    <v>a1xear</v>
    <v>268435456</v>
    <v>1</v>
    <v>Powered by Refinitiv</v>
    <v>546.88</v>
    <v>378.71</v>
    <v>1.4411</v>
    <v>-7.44</v>
    <v>-1.7211000000000001E-2</v>
    <v>-0.16</v>
    <v>-3.7659999999999999E-4</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431.45</v>
    <v>Professional &amp; Commercial Services</v>
    <v>Stock</v>
    <v>46108.991559293747</v>
    <v>251</v>
    <v>422.2</v>
    <v>75623176876</v>
    <v>MOODY'S CORPORATION</v>
    <v>MOODY'S CORPORATION</v>
    <v>427.81</v>
    <v>31.625499999999999</v>
    <v>432.28</v>
    <v>424.84</v>
    <v>424.68</v>
    <v>178003900</v>
    <v>MCO</v>
    <v>MOODY'S CORPORATION (XNYS:MCO)</v>
    <v>1125306</v>
    <v>1497155</v>
    <v>2000</v>
  </rv>
  <rv s="2">
    <v>252</v>
  </rv>
  <rv s="0">
    <v>https://www.bing.com/financeapi/forcetrigger?t=a1xfoc&amp;q=XNAS%3aMDLZ&amp;form=skydnc</v>
    <v>Learn more on Bing</v>
  </rv>
  <rv s="1">
    <v>0</v>
    <v>Mondelez International, Inc. (XNAS:MDLZ)</v>
    <v>2</v>
    <v>3</v>
    <v>Finance</v>
    <v>4</v>
    <v>en-US</v>
    <v>a1xfoc</v>
    <v>268435456</v>
    <v>1</v>
    <v>Powered by Refinitiv</v>
    <v>71.150000000000006</v>
    <v>51.200800000000001</v>
    <v>0.3841</v>
    <v>0.69</v>
    <v>1.1982999999999999E-2</v>
    <v>0.01</v>
    <v>1.7160000000000002E-4</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58.78</v>
    <v>Food &amp; Tobacco</v>
    <v>Stock</v>
    <v>46108.994802036716</v>
    <v>254</v>
    <v>57.28</v>
    <v>74693166420</v>
    <v>Mondelez International, Inc.</v>
    <v>Mondelez International, Inc.</v>
    <v>57.58</v>
    <v>30.473299999999998</v>
    <v>57.58</v>
    <v>58.27</v>
    <v>58.28</v>
    <v>1281846000</v>
    <v>MDLZ</v>
    <v>Mondelez International, Inc. (XNAS:MDLZ)</v>
    <v>14113278</v>
    <v>10461922</v>
    <v>2000</v>
  </rv>
  <rv s="2">
    <v>255</v>
  </rv>
  <rv s="0">
    <v>https://www.bing.com/financeapi/forcetrigger?t=a1xroc&amp;q=XNYS%3aMMM&amp;form=skydnc</v>
    <v>Learn more on Bing</v>
  </rv>
  <rv s="1">
    <v>0</v>
    <v>3M COMPANY (XNYS:MMM)</v>
    <v>2</v>
    <v>3</v>
    <v>Finance</v>
    <v>4</v>
    <v>en-US</v>
    <v>a1xroc</v>
    <v>268435456</v>
    <v>1</v>
    <v>Powered by Refinitiv</v>
    <v>177.41</v>
    <v>121.97709999999999</v>
    <v>1.0821000000000001</v>
    <v>-0.95</v>
    <v>-6.5980000000000006E-3</v>
    <v>-0.04</v>
    <v>-2.7959999999999997E-4</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146.19</v>
    <v>Consumer Goods Conglomerates</v>
    <v>Stock</v>
    <v>46108.999661620313</v>
    <v>257</v>
    <v>142.66</v>
    <v>74723552448</v>
    <v>3M COMPANY</v>
    <v>3M COMPANY</v>
    <v>143.69</v>
    <v>24.015899999999998</v>
    <v>143.99</v>
    <v>143.04</v>
    <v>143</v>
    <v>522396200</v>
    <v>MMM</v>
    <v>3M COMPANY (XNYS:MMM)</v>
    <v>3428091</v>
    <v>4168406</v>
    <v>1929</v>
  </rv>
  <rv s="2">
    <v>258</v>
  </rv>
  <rv s="0">
    <v>https://www.bing.com/financeapi/forcetrigger?t=a1xtpr&amp;q=XNYS%3aMO&amp;form=skydnc</v>
    <v>Learn more on Bing</v>
  </rv>
  <rv s="1">
    <v>0</v>
    <v>Altria Group, Inc. (XNYS:MO)</v>
    <v>2</v>
    <v>3</v>
    <v>Finance</v>
    <v>4</v>
    <v>en-US</v>
    <v>a1xtpr</v>
    <v>268435456</v>
    <v>1</v>
    <v>Powered by Refinitiv</v>
    <v>70.510000000000005</v>
    <v>52.82</v>
    <v>0.43930000000000002</v>
    <v>1.86</v>
    <v>2.8784000000000001E-2</v>
    <v>-8.9399999999999993E-2</v>
    <v>-1.3450000000000001E-3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66.734999999999999</v>
    <v>Food &amp; Tobacco</v>
    <v>Stock</v>
    <v>46108.999832673435</v>
    <v>260</v>
    <v>64.95</v>
    <v>111147779040</v>
    <v>Altria Group, Inc.</v>
    <v>Altria Group, Inc.</v>
    <v>65</v>
    <v>15.697100000000001</v>
    <v>64.62</v>
    <v>66.48</v>
    <v>66.390600000000006</v>
    <v>1671898000</v>
    <v>MO</v>
    <v>Altria Group, Inc. (XNYS:MO)</v>
    <v>10227347</v>
    <v>9732170</v>
    <v>1985</v>
  </rv>
  <rv s="2">
    <v>261</v>
  </rv>
  <rv s="0">
    <v>https://www.bing.com/financeapi/forcetrigger?t=a1xxmw&amp;q=XNYS%3aMRK&amp;form=skydnc</v>
    <v>Learn more on Bing</v>
  </rv>
  <rv s="1">
    <v>0</v>
    <v>MERCK &amp; CO., INC. (XNYS:MRK)</v>
    <v>2</v>
    <v>3</v>
    <v>Finance</v>
    <v>4</v>
    <v>en-US</v>
    <v>a1xxmw</v>
    <v>268435456</v>
    <v>1</v>
    <v>Powered by Refinitiv</v>
    <v>125.14</v>
    <v>73.31</v>
    <v>0.2848</v>
    <v>0.7</v>
    <v>5.8859999999999997E-3</v>
    <v>-0.37</v>
    <v>-3.0930000000000003E-3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121.07</v>
    <v>Pharmaceuticals</v>
    <v>Stock</v>
    <v>46108.999839374999</v>
    <v>263</v>
    <v>118.6</v>
    <v>295772254960</v>
    <v>MERCK &amp; CO., INC.</v>
    <v>MERCK &amp; CO., INC.</v>
    <v>119.285</v>
    <v>16.345300000000002</v>
    <v>118.93</v>
    <v>119.63</v>
    <v>119.26</v>
    <v>2472392000</v>
    <v>MRK</v>
    <v>MERCK &amp; CO., INC. (XNYS:MRK)</v>
    <v>8345762</v>
    <v>10530952</v>
    <v>1970</v>
  </rv>
  <rv s="2">
    <v>264</v>
  </rv>
  <rv s="0">
    <v>https://www.bing.com/financeapi/forcetrigger?t=a1yngh&amp;q=XNYS%3aNOC&amp;form=skydnc</v>
    <v>Learn more on Bing</v>
  </rv>
  <rv s="1">
    <v>0</v>
    <v>NORTHROP GRUMMAN CORPORATION (XNYS:NOC)</v>
    <v>2</v>
    <v>3</v>
    <v>Finance</v>
    <v>4</v>
    <v>en-US</v>
    <v>a1yngh</v>
    <v>268435456</v>
    <v>1</v>
    <v>Powered by Refinitiv</v>
    <v>774</v>
    <v>450.13</v>
    <v>6.2600000000000003E-2</v>
    <v>-12.99</v>
    <v>-1.8772E-2</v>
    <v>-3</v>
    <v>-4.4180000000000001E-3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693.84500000000003</v>
    <v>Aerospace &amp; Defense</v>
    <v>Stock</v>
    <v>46108.999832592184</v>
    <v>266</v>
    <v>677.96</v>
    <v>96364766400</v>
    <v>NORTHROP GRUMMAN CORPORATION</v>
    <v>NORTHROP GRUMMAN CORPORATION</v>
    <v>692.26</v>
    <v>23.7944</v>
    <v>691.99</v>
    <v>679</v>
    <v>676</v>
    <v>141921600</v>
    <v>NOC</v>
    <v>NORTHROP GRUMMAN CORPORATION (XNYS:NOC)</v>
    <v>581874</v>
    <v>872669</v>
    <v>2010</v>
  </rv>
  <rv s="2">
    <v>267</v>
  </rv>
  <rv s="0">
    <v>https://www.bing.com/financeapi/forcetrigger?t=a2qdbh&amp;q=OTCM%3aNSRGY&amp;form=skydnc</v>
    <v>Learn more on Bing</v>
  </rv>
  <rv s="1">
    <v>0</v>
    <v>Nestle Ltd. (OTCM:NSRGY)</v>
    <v>2</v>
    <v>3</v>
    <v>Finance</v>
    <v>14</v>
    <v>en-US</v>
    <v>a2qdbh</v>
    <v>268435456</v>
    <v>1</v>
    <v>Powered by Refinitiv</v>
    <v>109.59</v>
    <v>86.98</v>
    <v>0.56059999999999999</v>
    <v>0.01</v>
    <v>1.048E-4</v>
    <v>1.54</v>
    <v>1.6141000000000003E-2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96.05</v>
    <v>Food &amp; Tobacco</v>
    <v>Stock</v>
    <v>46108.939697892965</v>
    <v>269</v>
    <v>94.83</v>
    <v>245825773200</v>
    <v>Nestle Ltd.</v>
    <v>Nestle Ltd.</v>
    <v>95.47</v>
    <v>21.530100000000001</v>
    <v>95.4</v>
    <v>95.41</v>
    <v>96.95</v>
    <v>2576520000</v>
    <v>NSRGY</v>
    <v>Nestle Ltd. (OTCM:NSRGY)</v>
    <v>307206</v>
    <v>389530</v>
    <v>1905</v>
  </rv>
  <rv s="2">
    <v>270</v>
  </rv>
  <rv s="0">
    <v>https://www.bing.com/financeapi/forcetrigger?t=a1zqnm&amp;q=XNYS%3aPFE&amp;form=skydnc</v>
    <v>Learn more on Bing</v>
  </rv>
  <rv s="1">
    <v>0</v>
    <v>PFIZER INC. (XNYS:PFE)</v>
    <v>2</v>
    <v>3</v>
    <v>Finance</v>
    <v>4</v>
    <v>en-US</v>
    <v>a1zqnm</v>
    <v>268435456</v>
    <v>1</v>
    <v>Powered by Refinitiv</v>
    <v>27.94</v>
    <v>20.914999999999999</v>
    <v>0.40079999999999999</v>
    <v>-0.53</v>
    <v>-1.9224000000000002E-2</v>
    <v>6.4000000000000003E-3</v>
    <v>2.3670000000000001E-4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27.77</v>
    <v>Pharmaceuticals</v>
    <v>Stock</v>
    <v>46108.999888390623</v>
    <v>272</v>
    <v>27.02</v>
    <v>153813146240</v>
    <v>PFIZER INC.</v>
    <v>PFIZER INC.</v>
    <v>27.73</v>
    <v>20.334</v>
    <v>27.57</v>
    <v>27.04</v>
    <v>27.046399999999998</v>
    <v>5688356000</v>
    <v>PFE</v>
    <v>PFIZER INC. (XNYS:PFE)</v>
    <v>29124601</v>
    <v>40773552</v>
    <v>1942</v>
  </rv>
  <rv s="2">
    <v>273</v>
  </rv>
  <rv s="0">
    <v>https://www.bing.com/financeapi/forcetrigger?t=a1zzmw&amp;q=XNYS%3aPM&amp;form=skydnc</v>
    <v>Learn more on Bing</v>
  </rv>
  <rv s="1">
    <v>0</v>
    <v>Philip Morris International Inc. (XNYS:PM)</v>
    <v>2</v>
    <v>3</v>
    <v>Finance</v>
    <v>4</v>
    <v>en-US</v>
    <v>a1zzmw</v>
    <v>268435456</v>
    <v>1</v>
    <v>Powered by Refinitiv</v>
    <v>191.3</v>
    <v>142.11000000000001</v>
    <v>0.47010000000000002</v>
    <v>1.05</v>
    <v>6.4619999999999999E-3</v>
    <v>-0.04</v>
    <v>-2.4459999999999998E-4</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165.27</v>
    <v>Food &amp; Tobacco</v>
    <v>Stock</v>
    <v>46108.998047418747</v>
    <v>275</v>
    <v>162.25</v>
    <v>254881996200</v>
    <v>Philip Morris International Inc.</v>
    <v>Philip Morris International Inc.</v>
    <v>162.76</v>
    <v>22.3718</v>
    <v>162.49</v>
    <v>163.54</v>
    <v>163.5</v>
    <v>1558530000</v>
    <v>PM</v>
    <v>Philip Morris International Inc. (XNYS:PM)</v>
    <v>3619890</v>
    <v>5194447</v>
    <v>2007</v>
  </rv>
  <rv s="2">
    <v>276</v>
  </rv>
  <rv s="0">
    <v>https://www.bing.com/financeapi/forcetrigger?t=a214h7&amp;q=XNYS%3aPPG&amp;form=skydnc</v>
    <v>Learn more on Bing</v>
  </rv>
  <rv s="1">
    <v>0</v>
    <v>PPG INDUSTRIES, INC. (XNYS:PPG)</v>
    <v>2</v>
    <v>3</v>
    <v>Finance</v>
    <v>4</v>
    <v>en-US</v>
    <v>a214h7</v>
    <v>268435456</v>
    <v>1</v>
    <v>Powered by Refinitiv</v>
    <v>133.43</v>
    <v>90.24</v>
    <v>1.1666000000000001</v>
    <v>-1.49</v>
    <v>-1.4149E-2</v>
    <v>0.3</v>
    <v>2.8899999999999998E-3</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105.18</v>
    <v>Chemicals</v>
    <v>Stock</v>
    <v>46108.99049357578</v>
    <v>278</v>
    <v>103.31</v>
    <v>23234770652</v>
    <v>PPG INDUSTRIES, INC.</v>
    <v>PPG INDUSTRIES, INC.</v>
    <v>104.61</v>
    <v>15.2287</v>
    <v>105.31</v>
    <v>103.82</v>
    <v>104.12</v>
    <v>223798600</v>
    <v>PPG</v>
    <v>PPG INDUSTRIES, INC. (XNYS:PPG)</v>
    <v>1531644</v>
    <v>2297566</v>
    <v>1883</v>
  </rv>
  <rv s="2">
    <v>279</v>
  </rv>
  <rv s="0">
    <v>http://en.wikipedia.org/wiki/Qualcomm</v>
    <v>Wikipedia</v>
  </rv>
  <rv s="3">
    <v>12</v>
    <v>281</v>
  </rv>
  <rv s="4">
    <v>9</v>
    <v>https://www.bing.com/th?id=AMMS_2b1c176dae370ecc0d55a1517537f595&amp;qlt=95</v>
    <v>282</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1.2710999999999999</v>
    <v>-3.43</v>
    <v>-2.6275E-2</v>
    <v>-0.37</v>
    <v>-2.9110000000000004E-3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130.04</v>
    <v>283</v>
    <v>Semiconductors &amp; Semiconductor Equipment</v>
    <v>Stock</v>
    <v>46108.999598599221</v>
    <v>284</v>
    <v>126.675</v>
    <v>135626370000</v>
    <v>QUALCOMM INCORPORATED</v>
    <v>QUALCOMM INCORPORATED</v>
    <v>129.88999999999999</v>
    <v>26.260200000000001</v>
    <v>130.54</v>
    <v>127.11</v>
    <v>126.74</v>
    <v>1067000000</v>
    <v>QCOM</v>
    <v>QUALCOMM INCORPORATED (XNAS:QCOM)</v>
    <v>8964912</v>
    <v>12393032</v>
    <v>1991</v>
  </rv>
  <rv s="2">
    <v>285</v>
  </rv>
  <rv s="0">
    <v>https://www.bing.com/financeapi/forcetrigger?t=a22k9c&amp;q=XNAS%3aSBUX&amp;form=skydnc</v>
    <v>Learn more on Bing</v>
  </rv>
  <rv s="1">
    <v>0</v>
    <v>STARBUCKS CORPORATION (XNAS:SBUX)</v>
    <v>2</v>
    <v>3</v>
    <v>Finance</v>
    <v>4</v>
    <v>en-US</v>
    <v>a22k9c</v>
    <v>268435456</v>
    <v>1</v>
    <v>Powered by Refinitiv</v>
    <v>104.82</v>
    <v>75.5</v>
    <v>0.95479999999999998</v>
    <v>-4.41</v>
    <v>-4.8344999999999999E-2</v>
    <v>-0.12</v>
    <v>-1.382E-3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90.95</v>
    <v>Hotels &amp; Entertainment Services</v>
    <v>Stock</v>
    <v>46108.999964015624</v>
    <v>287</v>
    <v>85.6</v>
    <v>98902633000</v>
    <v>STARBUCKS CORPORATION</v>
    <v>STARBUCKS CORPORATION</v>
    <v>90.75</v>
    <v>72.317599999999999</v>
    <v>91.22</v>
    <v>86.81</v>
    <v>86.69</v>
    <v>1139300000</v>
    <v>SBUX</v>
    <v>STARBUCKS CORPORATION (XNAS:SBUX)</v>
    <v>12433568</v>
    <v>8120132</v>
    <v>1985</v>
  </rv>
  <rv s="2">
    <v>288</v>
  </rv>
  <rv s="0">
    <v>https://www.bing.com/financeapi/forcetrigger?t=a22n4c&amp;q=XNYS%3aSCHW&amp;form=skydnc</v>
    <v>Learn more on Bing</v>
  </rv>
  <rv s="1">
    <v>0</v>
    <v>THE CHARLES SCHWAB CORPORATION (XNYS:SCHW)</v>
    <v>2</v>
    <v>3</v>
    <v>Finance</v>
    <v>4</v>
    <v>en-US</v>
    <v>a22n4c</v>
    <v>268435456</v>
    <v>1</v>
    <v>Powered by Refinitiv</v>
    <v>107.5</v>
    <v>65.88</v>
    <v>0.89280000000000004</v>
    <v>-2.11</v>
    <v>-2.2334999999999997E-2</v>
    <v>-0.06</v>
    <v>-6.4960000000000007E-4</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93.96</v>
    <v>Investment Banking &amp; Investment Services</v>
    <v>Stock</v>
    <v>46108.998606631249</v>
    <v>290</v>
    <v>91.97</v>
    <v>161834115600</v>
    <v>THE CHARLES SCHWAB CORPORATION</v>
    <v>THE CHARLES SCHWAB CORPORATION</v>
    <v>93.87</v>
    <v>20.2605</v>
    <v>94.47</v>
    <v>92.36</v>
    <v>92.3</v>
    <v>1752210000</v>
    <v>SCHW</v>
    <v>THE CHARLES SCHWAB CORPORATION (XNYS:SCHW)</v>
    <v>7252391</v>
    <v>9204709</v>
    <v>1986</v>
  </rv>
  <rv s="2">
    <v>291</v>
  </rv>
  <rv s="0">
    <v>https://www.bing.com/financeapi/forcetrigger?t=a22xk2&amp;q=XNYS%3aSHW&amp;form=skydnc</v>
    <v>Learn more on Bing</v>
  </rv>
  <rv s="1">
    <v>0</v>
    <v>THE SHERWIN-WILLIAMS COMPANY (XNYS:SHW)</v>
    <v>2</v>
    <v>3</v>
    <v>Finance</v>
    <v>4</v>
    <v>en-US</v>
    <v>a22xk2</v>
    <v>268435456</v>
    <v>1</v>
    <v>Powered by Refinitiv</v>
    <v>379.65</v>
    <v>301.58</v>
    <v>1.2684</v>
    <v>-4.18</v>
    <v>-1.3081000000000001E-2</v>
    <v>-0.98</v>
    <v>-3.107E-3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320.95</v>
    <v>Chemicals</v>
    <v>Stock</v>
    <v>46108.994984085155</v>
    <v>293</v>
    <v>314.83999999999997</v>
    <v>78010680088</v>
    <v>THE SHERWIN-WILLIAMS COMPANY</v>
    <v>THE SHERWIN-WILLIAMS COMPANY</v>
    <v>318.42</v>
    <v>31.1525</v>
    <v>319.55</v>
    <v>315.37</v>
    <v>314.39</v>
    <v>247362400</v>
    <v>SHW</v>
    <v>THE SHERWIN-WILLIAMS COMPANY (XNYS:SHW)</v>
    <v>1291789</v>
    <v>1755888</v>
    <v>1884</v>
  </rv>
  <rv s="2">
    <v>294</v>
  </rv>
  <rv s="0">
    <v>https://www.bing.com/financeapi/forcetrigger?t=a237gh&amp;q=XNYS%3aSNA&amp;form=skydnc</v>
    <v>Learn more on Bing</v>
  </rv>
  <rv s="1">
    <v>0</v>
    <v>SNAP-ON INCORPORATED (XNYS:SNA)</v>
    <v>2</v>
    <v>3</v>
    <v>Finance</v>
    <v>4</v>
    <v>en-US</v>
    <v>a237gh</v>
    <v>268435456</v>
    <v>1</v>
    <v>Powered by Refinitiv</v>
    <v>390.13</v>
    <v>289.81</v>
    <v>0.75970000000000004</v>
    <v>-2.96</v>
    <v>-8.1770000000000002E-3</v>
    <v>0</v>
    <v>0</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363.2</v>
    <v>Machinery, Equipment &amp; Components</v>
    <v>Stock</v>
    <v>46108.958333344533</v>
    <v>296</v>
    <v>356.45</v>
    <v>18690667353</v>
    <v>SNAP-ON INCORPORATED</v>
    <v>SNAP-ON INCORPORATED</v>
    <v>362.16</v>
    <v>18.867100000000001</v>
    <v>362</v>
    <v>359.04</v>
    <v>359.04</v>
    <v>52057340</v>
    <v>SNA</v>
    <v>SNAP-ON INCORPORATED (XNYS:SNA)</v>
    <v>434001</v>
    <v>415843</v>
    <v>1930</v>
  </rv>
  <rv s="2">
    <v>297</v>
  </rv>
  <rv s="0">
    <v>https://www.bing.com/financeapi/forcetrigger?t=a23a5r&amp;q=XNYS%3aSO&amp;form=skydnc</v>
    <v>Learn more on Bing</v>
  </rv>
  <rv s="1">
    <v>0</v>
    <v>THE SOUTHERN COMPANY (XNYS:SO)</v>
    <v>2</v>
    <v>3</v>
    <v>Finance</v>
    <v>4</v>
    <v>en-US</v>
    <v>a23a5r</v>
    <v>268435456</v>
    <v>1</v>
    <v>Powered by Refinitiv</v>
    <v>100.83499999999999</v>
    <v>83.09</v>
    <v>0.40510000000000002</v>
    <v>0.13</v>
    <v>1.3619999999999999E-3</v>
    <v>0.25</v>
    <v>2.6159999999999998E-3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96.555000000000007</v>
    <v>Electrical Utilities &amp; IPPs</v>
    <v>Stock</v>
    <v>46108.99888043906</v>
    <v>299</v>
    <v>95.01</v>
    <v>106957810050</v>
    <v>THE SOUTHERN COMPANY</v>
    <v>THE SOUTHERN COMPANY</v>
    <v>95.58</v>
    <v>24.360499999999998</v>
    <v>95.42</v>
    <v>95.55</v>
    <v>95.8</v>
    <v>1119391000</v>
    <v>SO</v>
    <v>THE SOUTHERN COMPANY (XNYS:SO)</v>
    <v>6097725</v>
    <v>5767181</v>
    <v>1945</v>
  </rv>
  <rv s="2">
    <v>300</v>
  </rv>
  <rv s="0">
    <v>https://www.bing.com/financeapi/forcetrigger?t=a23d9c&amp;q=XNYS%3aSPGI&amp;form=skydnc</v>
    <v>Learn more on Bing</v>
  </rv>
  <rv s="1">
    <v>0</v>
    <v>S&amp;P GLOBAL INC. (XNYS:SPGI)</v>
    <v>2</v>
    <v>3</v>
    <v>Finance</v>
    <v>4</v>
    <v>en-US</v>
    <v>a23d9c</v>
    <v>268435456</v>
    <v>1</v>
    <v>Powered by Refinitiv</v>
    <v>579.04999999999995</v>
    <v>381.60500000000002</v>
    <v>1.2090000000000001</v>
    <v>-6.21</v>
    <v>-1.5056E-2</v>
    <v>-1.25</v>
    <v>-3.0769999999999999E-3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410.25</v>
    <v>Professional &amp; Commercial Services</v>
    <v>Stock</v>
    <v>46108.999615647655</v>
    <v>302</v>
    <v>403.37</v>
    <v>121384512000</v>
    <v>S&amp;P GLOBAL INC.</v>
    <v>S&amp;P GLOBAL INC.</v>
    <v>407.99</v>
    <v>28.133800000000001</v>
    <v>412.45</v>
    <v>406.24</v>
    <v>404.99</v>
    <v>298800000</v>
    <v>SPGI</v>
    <v>S&amp;P GLOBAL INC. (XNYS:SPGI)</v>
    <v>1638483</v>
    <v>2441993</v>
    <v>1925</v>
  </rv>
  <rv s="2">
    <v>303</v>
  </rv>
  <rv s="0">
    <v>https://www.bing.com/financeapi/forcetrigger?t=a23tw7&amp;q=XNYS%3aSWK&amp;form=skydnc</v>
    <v>Learn more on Bing</v>
  </rv>
  <rv s="1">
    <v>0</v>
    <v>STANLEY BLACK &amp; DECKER, INC. (XNYS:SWK)</v>
    <v>2</v>
    <v>3</v>
    <v>Finance</v>
    <v>4</v>
    <v>en-US</v>
    <v>a23tw7</v>
    <v>268435456</v>
    <v>1</v>
    <v>Powered by Refinitiv</v>
    <v>93.37</v>
    <v>53.9101</v>
    <v>1.2183999999999999</v>
    <v>-1.99</v>
    <v>-2.8103E-2</v>
    <v>-5.2900000000000003E-2</v>
    <v>-7.6869999999999998E-4</v>
    <v>USD</v>
    <v>Stanley Black &amp; Decker Inc. is a global provider of hand tools, power tools, outdoor products and related accessories, as well as a provider of engineered fastening solutions. The Company’s segments include Tools &amp; Outdoor and Engineered Fastening. The Tools &amp; Outdoor segment is comprised of the Power Tools Group (PTG), Hand Tools, Accessories &amp; Storage (HTAS) and Outdoor Power Equipment (Outdoor) product lines. The PTG product line includes both professional and consumer products. The HTAS product line sells hand tools, power tool accessories and storage products. The Outdoor product line primarily sells corded and cordless electric lawn and garden products. The Engineered Fastening segment primarily sells highly engineered components such as fasteners, fittings and various engineered products, which are designed for specific application across multiple verticals. The Company's portfolio of brands includes DEWALT, CRAFTSMAN, STANLEY, BLACK+DECKER, and Cub Cadet.</v>
    <v>43500</v>
    <v>New York Stock Exchange</v>
    <v>XNYS</v>
    <v>XNYS</v>
    <v>1000 Stanley Dr, PO Box 7000, NEW BRITAIN, CT, 06053-1675 US</v>
    <v>70.789900000000003</v>
    <v>Machinery, Equipment &amp; Components</v>
    <v>Stock</v>
    <v>46108.958333344533</v>
    <v>305</v>
    <v>68.525000000000006</v>
    <v>10686810047</v>
    <v>STANLEY BLACK &amp; DECKER, INC.</v>
    <v>STANLEY BLACK &amp; DECKER, INC.</v>
    <v>70.27</v>
    <v>26.763300000000001</v>
    <v>70.81</v>
    <v>68.819999999999993</v>
    <v>68.767099999999999</v>
    <v>155286400</v>
    <v>SWK</v>
    <v>STANLEY BLACK &amp; DECKER, INC. (XNYS:SWK)</v>
    <v>1245885</v>
    <v>1807898</v>
    <v>1901</v>
  </rv>
  <rv s="2">
    <v>306</v>
  </rv>
  <rv s="0">
    <v>https://www.bing.com/financeapi/forcetrigger?t=a23wlh&amp;q=XNYS%3aSYY&amp;form=skydnc</v>
    <v>Learn more on Bing</v>
  </rv>
  <rv s="1">
    <v>0</v>
    <v>SYSCO CORPORATION (XNYS:SYY)</v>
    <v>2</v>
    <v>3</v>
    <v>Finance</v>
    <v>4</v>
    <v>en-US</v>
    <v>a23wlh</v>
    <v>268435456</v>
    <v>1</v>
    <v>Powered by Refinitiv</v>
    <v>91.844999999999999</v>
    <v>67.12</v>
    <v>0.63529999999999998</v>
    <v>-0.84</v>
    <v>-1.0165E-2</v>
    <v>0.76</v>
    <v>9.2910000000000006E-3</v>
    <v>USD</v>
    <v>Sysco Corporation is engaged in selling, marketing and distributing food products to restaurants, healthcare and educational facilities, lodging establishments and other customers who prepare meals away from home. It also supplies a variety of non-food items. Its segments include U.S. Foodservice Operations, International Foodservice Operations, SYGMA and Other. U.S. Foodservice Operations segment includes United States Broadline operations and United States Specialty operations. International Foodservice Operations include operations outside of the United States. SYGMA segment includes its United States customized distribution operations serving quick-service chain restaurant customer locations. Other segment includes primarily its hotel supply operations, Guest Worldwide. It distributes various products, such as frozen foods, fresh meats and seafood, dairy products, beverage products, imported specialties, and fresh produce. It operates around 340 distribution facilities worldwide.</v>
    <v>75000</v>
    <v>New York Stock Exchange</v>
    <v>XNYS</v>
    <v>XNYS</v>
    <v>1390 Enclave Pkwy, HOUSTON, TX, 77077 US</v>
    <v>82.72</v>
    <v>Food &amp; Drug Retailing</v>
    <v>Stock</v>
    <v>46108.971889825778</v>
    <v>308</v>
    <v>81.64</v>
    <v>39176531260</v>
    <v>SYSCO CORPORATION</v>
    <v>SYSCO CORPORATION</v>
    <v>82.62</v>
    <v>22.2257</v>
    <v>82.64</v>
    <v>81.8</v>
    <v>82.56</v>
    <v>478930700</v>
    <v>SYY</v>
    <v>SYSCO CORPORATION (XNYS:SYY)</v>
    <v>2616017</v>
    <v>3110742</v>
    <v>1969</v>
  </rv>
  <rv s="2">
    <v>309</v>
  </rv>
  <rv s="0">
    <v>https://www.bing.com/financeapi/forcetrigger?t=a24jvh&amp;q=XNAS%3aTSCO&amp;form=skydnc</v>
    <v>Learn more on Bing</v>
  </rv>
  <rv s="1">
    <v>0</v>
    <v>TRACTOR SUPPLY COMPANY (XNAS:TSCO)</v>
    <v>2</v>
    <v>3</v>
    <v>Finance</v>
    <v>4</v>
    <v>en-US</v>
    <v>a24jvh</v>
    <v>268435456</v>
    <v>1</v>
    <v>Powered by Refinitiv</v>
    <v>63.989899999999999</v>
    <v>44.44</v>
    <v>0.75749999999999995</v>
    <v>-1.02</v>
    <v>-2.2227E-2</v>
    <v>0.13</v>
    <v>2.8970000000000003E-3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46.181100000000001</v>
    <v>Specialty Retailers</v>
    <v>Stock</v>
    <v>46108.97927523125</v>
    <v>311</v>
    <v>44.79</v>
    <v>23601902681</v>
    <v>TRACTOR SUPPLY COMPANY</v>
    <v>TRACTOR SUPPLY COMPANY</v>
    <v>45.75</v>
    <v>22.2773</v>
    <v>45.89</v>
    <v>44.87</v>
    <v>45</v>
    <v>526006300</v>
    <v>TSCO</v>
    <v>TRACTOR SUPPLY COMPANY (XNAS:TSCO)</v>
    <v>9052673</v>
    <v>5763424</v>
    <v>1982</v>
  </rv>
  <rv s="2">
    <v>312</v>
  </rv>
  <rv s="0">
    <v>https://www.bing.com/financeapi/forcetrigger?t=a24xww&amp;q=XNYS%3aUNP&amp;form=skydnc</v>
    <v>Learn more on Bing</v>
  </rv>
  <rv s="1">
    <v>0</v>
    <v>UNION PACIFIC CORPORATION (XNYS:UNP)</v>
    <v>2</v>
    <v>3</v>
    <v>Finance</v>
    <v>4</v>
    <v>en-US</v>
    <v>a24xww</v>
    <v>268435456</v>
    <v>1</v>
    <v>Powered by Refinitiv</v>
    <v>268.14</v>
    <v>204.66</v>
    <v>0.96899999999999997</v>
    <v>-0.4</v>
    <v>-1.6719999999999999E-3</v>
    <v>2.67</v>
    <v>1.1181000000000002E-2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241.16</v>
    <v>Freight &amp; Logistics Services</v>
    <v>Stock</v>
    <v>46108.997296284375</v>
    <v>314</v>
    <v>238.3</v>
    <v>141764441257</v>
    <v>UNION PACIFIC CORPORATION</v>
    <v>UNION PACIFIC CORPORATION</v>
    <v>238.62</v>
    <v>19.9602</v>
    <v>239.19</v>
    <v>238.79</v>
    <v>241.46</v>
    <v>593678300</v>
    <v>UNP</v>
    <v>UNION PACIFIC CORPORATION (XNYS:UNP)</v>
    <v>2675059</v>
    <v>2979614</v>
    <v>1969</v>
  </rv>
  <rv s="2">
    <v>315</v>
  </rv>
  <rv s="0">
    <v>https://www.bing.com/financeapi/forcetrigger?t=a262jc&amp;q=XNYS%3aWST&amp;form=skydnc</v>
    <v>Learn more on Bing</v>
  </rv>
  <rv s="1">
    <v>0</v>
    <v>WEST PHARMACEUTICAL SERVICES, INC. (XNYS:WST)</v>
    <v>2</v>
    <v>3</v>
    <v>Finance</v>
    <v>4</v>
    <v>en-US</v>
    <v>a262jc</v>
    <v>268435456</v>
    <v>1</v>
    <v>Powered by Refinitiv</v>
    <v>322.33999999999997</v>
    <v>187.43</v>
    <v>1.1483000000000001</v>
    <v>-4.7699999999999996</v>
    <v>-1.9225000000000003E-2</v>
    <v>0</v>
    <v>0</v>
    <v>USD</v>
    <v>West Pharmaceutical Services, Inc. is a global manufacturer that is engaged in the design and production of technologically advanced, integrated containment and delivery systems for injectable drugs and healthcare products. The Company operates in two segments: Proprietary Products and Contract-Manufactured Products. The Proprietary Products segment offers elastomers &amp; primary containment, drug delivery devices, integrated solutions, and analytical lab services, primarily to biologic, generic, and pharmaceutical drug customers. The Contract-Manufactured Products reportable segment serves as a fully integrated business, focused on the design, manufacture, and automated assembly of complex devices, primarily for pharmaceutical, diagnostic, and medical device customers. This segment manufactures customer-owned components and devices used in surgical, diagnostic, ophthalmic, injectable, and other drug delivery systems, as well as consumer products.</v>
    <v>10800</v>
    <v>New York Stock Exchange</v>
    <v>XNYS</v>
    <v>XNYS</v>
    <v>530 Herman O. West Drive, EXTON, PA, 19341 US</v>
    <v>249.465</v>
    <v>Healthcare Equipment &amp; Supplies</v>
    <v>Stock</v>
    <v>46108.958333344533</v>
    <v>317</v>
    <v>243.19</v>
    <v>17541059793</v>
    <v>WEST PHARMACEUTICAL SERVICES, INC.</v>
    <v>WEST PHARMACEUTICAL SERVICES, INC.</v>
    <v>247.44</v>
    <v>36.523099999999999</v>
    <v>248.12</v>
    <v>243.35</v>
    <v>243.35</v>
    <v>72081610</v>
    <v>WST</v>
    <v>WEST PHARMACEUTICAL SERVICES, INC. (XNYS:WST)</v>
    <v>785071</v>
    <v>877342</v>
    <v>1923</v>
  </rv>
  <rv s="2">
    <v>318</v>
  </rv>
  <rv s="0">
    <v>https://www.bing.com/financeapi/forcetrigger?t=a26hyc&amp;q=XNYS%3aZTS&amp;form=skydnc</v>
    <v>Learn more on Bing</v>
  </rv>
  <rv s="1">
    <v>0</v>
    <v>ZOETIS INC. (XNYS:ZTS)</v>
    <v>2</v>
    <v>3</v>
    <v>Finance</v>
    <v>4</v>
    <v>en-US</v>
    <v>a26hyc</v>
    <v>268435456</v>
    <v>1</v>
    <v>Powered by Refinitiv</v>
    <v>172.23</v>
    <v>113.29</v>
    <v>0.99170000000000003</v>
    <v>-3.28</v>
    <v>-2.8122999999999999E-2</v>
    <v>-0.15</v>
    <v>-1.323E-3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117.29</v>
    <v>Pharmaceuticals</v>
    <v>Stock</v>
    <v>46108.998324258595</v>
    <v>320</v>
    <v>113.29</v>
    <v>47848174795</v>
    <v>ZOETIS INC.</v>
    <v>ZOETIS INC.</v>
    <v>116.81</v>
    <v>19.3674</v>
    <v>116.63</v>
    <v>113.35</v>
    <v>113.2</v>
    <v>422127700</v>
    <v>ZTS</v>
    <v>ZOETIS INC. (XNYS:ZTS)</v>
    <v>3602059</v>
    <v>4304220</v>
    <v>2012</v>
  </rv>
  <rv s="2">
    <v>321</v>
  </rv>
  <rv s="0">
    <v>https://www.bing.com/financeapi/forcetrigger?t=a262ar&amp;q=XNYS%3aWSO&amp;form=skydnc</v>
    <v>Learn more on Bing</v>
  </rv>
  <rv s="1">
    <v>0</v>
    <v>WATSCO, INC. (XNYS:WSO)</v>
    <v>2</v>
    <v>3</v>
    <v>Finance</v>
    <v>4</v>
    <v>en-US</v>
    <v>a262ar</v>
    <v>268435456</v>
    <v>1</v>
    <v>Powered by Refinitiv</v>
    <v>521.70000000000005</v>
    <v>323.05</v>
    <v>1.0751999999999999</v>
    <v>-0.81</v>
    <v>-2.3280000000000002E-3</v>
    <v>-5.59</v>
    <v>-1.61E-2</v>
    <v>USD</v>
    <v>Watsco, Inc. is a distributor of air conditioning, heating and refrigeration equipment and related parts and supplies. It sells air conditioning and heating equipment to the replacement and new construction markets for both residential and commercial applications. It also sells a variety of non-equipment products including parts, supplies, ductwork, air movement products, insulation, tools, installation supplies, thermostats, and air quality products. It provides condensing units, compressors, evaporators, valves, refrigerants, walk-in coolers, and ice machines for industrial and commercial applications. Its business units include Carrier Enterprise, Baker Distributing Company, Gemaire Distributors, East Coast Metal Distributors, Heating and Cooling Supply, Homans Associates, Pierce Phelps, N&amp;S Supply, Acme Refrigeration, Alert Labs Inc., Tradewinds, Boreal International, Watsco Ventures, and Gateway Supply Co.</v>
    <v>6950</v>
    <v>New York Stock Exchange</v>
    <v>XNYS</v>
    <v>XNYS</v>
    <v>STE 901, 2665 S BAYSHORE DR, COCONUT GROVE, FL, 33133 US</v>
    <v>352.38</v>
    <v>Machinery, Equipment &amp; Components</v>
    <v>Stock</v>
    <v>46108.958333333336</v>
    <v>323</v>
    <v>344.24</v>
    <v>14089049632</v>
    <v>WATSCO, INC.</v>
    <v>WATSCO, INC.</v>
    <v>348.01</v>
    <v>28.7395</v>
    <v>348.01</v>
    <v>347.2</v>
    <v>341.61</v>
    <v>40579060</v>
    <v>WSO</v>
    <v>WATSCO, INC. (XNYS:WSO)</v>
    <v>526345</v>
    <v>437333</v>
    <v>1956</v>
  </rv>
  <rv s="2">
    <v>324</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spbArrays>
  <spbData count="1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0</v>
      <v>0</v>
    </spb>
    <spb s="6">
      <v>6</v>
      <v>1</v>
      <v>1</v>
      <v>1</v>
      <v>1</v>
    </spb>
    <spb s="7">
      <v>1</v>
      <v>2</v>
      <v>2</v>
      <v>1</v>
      <v>3</v>
      <v>1</v>
      <v>10</v>
      <v>1</v>
      <v>1</v>
      <v>4</v>
      <v>4</v>
      <v>5</v>
      <v>6</v>
      <v>1</v>
      <v>1</v>
      <v>1</v>
      <v>4</v>
      <v>7</v>
      <v>8</v>
      <v>9</v>
      <v>4</v>
      <v>1</v>
      <v>1</v>
      <v>5</v>
    </spb>
    <spb s="8">
      <v>Powered by Refinitiv</v>
    </spb>
    <spb s="0">
      <v>2</v>
      <v>Name</v>
      <v>LearnMoreOnLink</v>
    </spb>
    <spb s="9">
      <v>1</v>
      <v>2</v>
      <v>1</v>
      <v>3</v>
      <v>1</v>
      <v>10</v>
      <v>1</v>
      <v>1</v>
      <v>4</v>
      <v>4</v>
      <v>5</v>
      <v>6</v>
      <v>1</v>
      <v>1</v>
      <v>1</v>
      <v>4</v>
      <v>7</v>
      <v>8</v>
      <v>9</v>
      <v>4</v>
      <v>1</v>
      <v>1</v>
      <v>5</v>
    </spb>
    <spb s="0">
      <v>3</v>
      <v>Name</v>
      <v>LearnMoreOnLink</v>
    </spb>
    <spb s="10">
      <v>1</v>
      <v>2</v>
      <v>1</v>
      <v>3</v>
      <v>1</v>
      <v>1</v>
      <v>1</v>
      <v>4</v>
      <v>4</v>
      <v>5</v>
      <v>6</v>
      <v>1</v>
      <v>1</v>
      <v>1</v>
      <v>4</v>
      <v>7</v>
      <v>8</v>
      <v>9</v>
      <v>4</v>
      <v>1</v>
      <v>1</v>
      <v>5</v>
    </spb>
    <spb s="11">
      <v>at close</v>
      <v>from previous close</v>
      <v>from previous close</v>
      <v>GMT</v>
      <v>Delayed 15 minutes</v>
      <v>from close</v>
      <v>from close</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4" totalsRowShown="0" headerRowDxfId="11">
  <autoFilter ref="A1:L104" xr:uid="{E0CA35FE-2F53-A347-8AD6-B5C0C701EF5E}"/>
  <sortState xmlns:xlrd2="http://schemas.microsoft.com/office/spreadsheetml/2017/richdata2" ref="A2:L104">
    <sortCondition ref="E1:E104"/>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10">
      <calculatedColumnFormula array="1">_FV(table1[[#This Row],[DataField]],"Price")</calculatedColumnFormula>
    </tableColumn>
    <tableColumn id="17" xr3:uid="{87A4EE6D-E7C3-CE41-BBA3-78EC20CDEBEE}" name="52Low" dataDxfId="9">
      <calculatedColumnFormula array="1">_FV(table1[[#This Row],[DataField]],"52 week low",TRUE)</calculatedColumnFormula>
    </tableColumn>
    <tableColumn id="18" xr3:uid="{D9B78892-8229-7243-8D05-F357BF8638BD}" name="52High" dataDxfId="8">
      <calculatedColumnFormula array="1">_FV(table1[[#This Row],[DataField]],"52 week high",TRUE)</calculatedColumnFormula>
    </tableColumn>
    <tableColumn id="20" xr3:uid="{78C713E7-4AD7-B542-970C-49F40A7186F4}" name="P/E" dataDxfId="7" dataCellStyle="Comma">
      <calculatedColumnFormula array="1">_FV(table1[[#This Row],[DataField]],"P/E",TRUE)</calculatedColumnFormula>
    </tableColumn>
    <tableColumn id="23" xr3:uid="{7CC54F3F-E5AD-804B-9D12-23FD72A661FB}" name="Watch" dataDxfId="6">
      <calculatedColumnFormula>IF(table1[[#This Row],[Price]] &lt; (table1[[#This Row],[52Low]] * 0.25) + table1[[#This Row],[52Low]],  "TRUE", "FALSE")</calculatedColumnFormula>
    </tableColumn>
    <tableColumn id="24" xr3:uid="{8E6233F4-6662-6E46-AF2F-77ADB7B9257D}" name="Alert" dataDxfId="5">
      <calculatedColumnFormula>IF(table1[[#This Row],[Price]] &lt; (table1[[#This Row],[52Low]] * 0.1) + table1[[#This Row],[52Low]],  "TRUE", "FALSE")</calculatedColumnFormula>
    </tableColumn>
    <tableColumn id="28" xr3:uid="{0C4A33EE-ED89-2F4F-BCD3-9651E2BEED77}" name="MarketCap" dataDxfId="4">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4"/>
  <sheetViews>
    <sheetView tabSelected="1" workbookViewId="0">
      <pane ySplit="1" topLeftCell="A2" activePane="bottomLeft" state="frozen"/>
      <selection pane="bottomLeft" activeCell="A19" sqref="A19"/>
    </sheetView>
  </sheetViews>
  <sheetFormatPr baseColWidth="10" defaultRowHeight="16" x14ac:dyDescent="0.2"/>
  <cols>
    <col min="1" max="1" width="59.16406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248.8</v>
      </c>
      <c r="G2" s="2" cm="1">
        <f t="array" aca="1" ref="G2" ca="1">_FV(table1[[#This Row],[DataField]],"52 week low",TRUE)</f>
        <v>169.21010000000001</v>
      </c>
      <c r="H2" s="2" cm="1">
        <f t="array" aca="1" ref="H2" ca="1">_FV(table1[[#This Row],[DataField]],"52 week high",TRUE)</f>
        <v>288.62</v>
      </c>
      <c r="I2" s="4" cm="1">
        <f t="array" aca="1" ref="I2" ca="1">_FV(table1[[#This Row],[DataField]],"P/E",TRUE)</f>
        <v>31.609300000000001</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3658031760000</v>
      </c>
    </row>
    <row r="3" spans="1:12" x14ac:dyDescent="0.2">
      <c r="A3" t="e" vm="2">
        <v>#VALUE!</v>
      </c>
      <c r="B3" t="str" cm="1">
        <f t="array" aca="1" ref="B3" ca="1">_FV(table1[[#This Row],[DataField]],"Ticker symbol",TRUE)</f>
        <v>AMZN</v>
      </c>
      <c r="C3">
        <v>0</v>
      </c>
      <c r="D3">
        <v>500</v>
      </c>
      <c r="E3">
        <v>1</v>
      </c>
      <c r="F3" s="2" cm="1">
        <f t="array" aca="1" ref="F3" ca="1">_FV(table1[[#This Row],[DataField]],"Price")</f>
        <v>199.34</v>
      </c>
      <c r="G3" s="2" cm="1">
        <f t="array" aca="1" ref="G3" ca="1">_FV(table1[[#This Row],[DataField]],"52 week low",TRUE)</f>
        <v>161.38</v>
      </c>
      <c r="H3" s="2" cm="1">
        <f t="array" aca="1" ref="H3" ca="1">_FV(table1[[#This Row],[DataField]],"52 week high",TRUE)</f>
        <v>258.60000000000002</v>
      </c>
      <c r="I3" s="4" cm="1">
        <f t="array" aca="1" ref="I3" ca="1">_FV(table1[[#This Row],[DataField]],"P/E",TRUE)</f>
        <v>28.936599999999999</v>
      </c>
      <c r="J3" s="2" t="str">
        <f ca="1">IF(table1[[#This Row],[Price]] &lt; (table1[[#This Row],[52Low]] * 0.25) + table1[[#This Row],[52Low]],  "TRUE", "FALSE")</f>
        <v>TRUE</v>
      </c>
      <c r="K3" s="2" t="str">
        <f ca="1">IF(table1[[#This Row],[Price]] &lt; (table1[[#This Row],[52Low]] * 0.1) + table1[[#This Row],[52Low]],  "TRUE", "FALSE")</f>
        <v>FALSE</v>
      </c>
      <c r="L3" s="6" cm="1">
        <f t="array" aca="1" ref="L3" ca="1">_FV(table1[[#This Row],[DataField]],"Market cap",TRUE)</f>
        <v>2139898952800</v>
      </c>
    </row>
    <row r="4" spans="1:12" x14ac:dyDescent="0.2">
      <c r="A4" t="e" vm="3">
        <v>#VALUE!</v>
      </c>
      <c r="B4" t="str" cm="1">
        <f t="array" aca="1" ref="B4" ca="1">_FV(table1[[#This Row],[DataField]],"Ticker symbol",TRUE)</f>
        <v>GOOGL</v>
      </c>
      <c r="C4">
        <v>0</v>
      </c>
      <c r="D4">
        <v>500</v>
      </c>
      <c r="E4">
        <v>1</v>
      </c>
      <c r="F4" s="2" cm="1">
        <f t="array" aca="1" ref="F4" ca="1">_FV(table1[[#This Row],[DataField]],"Price")</f>
        <v>274.33999999999997</v>
      </c>
      <c r="G4" s="2" cm="1">
        <f t="array" aca="1" ref="G4" ca="1">_FV(table1[[#This Row],[DataField]],"52 week low",TRUE)</f>
        <v>140.53</v>
      </c>
      <c r="H4" s="2" cm="1">
        <f t="array" aca="1" ref="H4" ca="1">_FV(table1[[#This Row],[DataField]],"52 week high",TRUE)</f>
        <v>349</v>
      </c>
      <c r="I4" s="4" cm="1">
        <f t="array" aca="1" ref="I4" ca="1">_FV(table1[[#This Row],[DataField]],"P/E",TRUE)</f>
        <v>25.378399999999999</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3318690979999</v>
      </c>
    </row>
    <row r="5" spans="1:12" x14ac:dyDescent="0.2">
      <c r="A5" t="e" vm="4">
        <v>#VALUE!</v>
      </c>
      <c r="B5" t="str" cm="1">
        <f t="array" aca="1" ref="B5" ca="1">_FV(table1[[#This Row],[DataField]],"Ticker symbol",TRUE)</f>
        <v>META</v>
      </c>
      <c r="C5">
        <v>1</v>
      </c>
      <c r="D5">
        <v>500</v>
      </c>
      <c r="E5">
        <v>1</v>
      </c>
      <c r="F5" s="2" cm="1">
        <f t="array" aca="1" ref="F5" ca="1">_FV(table1[[#This Row],[DataField]],"Price")</f>
        <v>525.72</v>
      </c>
      <c r="G5" s="2" cm="1">
        <f t="array" aca="1" ref="G5" ca="1">_FV(table1[[#This Row],[DataField]],"52 week low",TRUE)</f>
        <v>479.8</v>
      </c>
      <c r="H5" s="2" cm="1">
        <f t="array" aca="1" ref="H5" ca="1">_FV(table1[[#This Row],[DataField]],"52 week high",TRUE)</f>
        <v>796.25</v>
      </c>
      <c r="I5" s="4" cm="1">
        <f t="array" aca="1" ref="I5" ca="1">_FV(table1[[#This Row],[DataField]],"P/E",TRUE)</f>
        <v>17.985299999999999</v>
      </c>
      <c r="J5" s="2" t="str">
        <f ca="1">IF(table1[[#This Row],[Price]] &lt; (table1[[#This Row],[52Low]] * 0.25) + table1[[#This Row],[52Low]],  "TRUE", "FALSE")</f>
        <v>TRUE</v>
      </c>
      <c r="K5" s="2" t="str">
        <f ca="1">IF(table1[[#This Row],[Price]] &lt; (table1[[#This Row],[52Low]] * 0.1) + table1[[#This Row],[52Low]],  "TRUE", "FALSE")</f>
        <v>TRUE</v>
      </c>
      <c r="L5" s="6" cm="1">
        <f t="array" aca="1" ref="L5" ca="1">_FV(table1[[#This Row],[DataField]],"Market cap",TRUE)</f>
        <v>1329837654600</v>
      </c>
    </row>
    <row r="6" spans="1:12" x14ac:dyDescent="0.2">
      <c r="A6" t="e" vm="5">
        <v>#VALUE!</v>
      </c>
      <c r="B6" t="str" cm="1">
        <f t="array" aca="1" ref="B6" ca="1">_FV(table1[[#This Row],[DataField]],"Ticker symbol",TRUE)</f>
        <v>MSFT</v>
      </c>
      <c r="C6">
        <v>0</v>
      </c>
      <c r="D6">
        <v>500</v>
      </c>
      <c r="E6">
        <v>1</v>
      </c>
      <c r="F6" s="2" cm="1">
        <f t="array" aca="1" ref="F6" ca="1">_FV(table1[[#This Row],[DataField]],"Price")</f>
        <v>356.77</v>
      </c>
      <c r="G6" s="2" cm="1">
        <f t="array" aca="1" ref="G6" ca="1">_FV(table1[[#This Row],[DataField]],"52 week low",TRUE)</f>
        <v>344.79</v>
      </c>
      <c r="H6" s="2" cm="1">
        <f t="array" aca="1" ref="H6" ca="1">_FV(table1[[#This Row],[DataField]],"52 week high",TRUE)</f>
        <v>555.45000000000005</v>
      </c>
      <c r="I6" s="4" cm="1">
        <f t="array" aca="1" ref="I6" ca="1">_FV(table1[[#This Row],[DataField]],"P/E",TRUE)</f>
        <v>22.898299999999999</v>
      </c>
      <c r="J6" s="2" t="str">
        <f ca="1">IF(table1[[#This Row],[Price]] &lt; (table1[[#This Row],[52Low]] * 0.25) + table1[[#This Row],[52Low]],  "TRUE", "FALSE")</f>
        <v>TRUE</v>
      </c>
      <c r="K6" s="2" t="str">
        <f ca="1">IF(table1[[#This Row],[Price]] &lt; (table1[[#This Row],[52Low]] * 0.1) + table1[[#This Row],[52Low]],  "TRUE", "FALSE")</f>
        <v>TRUE</v>
      </c>
      <c r="L6" s="6" cm="1">
        <f t="array" aca="1" ref="L6" ca="1">_FV(table1[[#This Row],[DataField]],"Market cap",TRUE)</f>
        <v>2649241658330</v>
      </c>
    </row>
    <row r="7" spans="1:12" x14ac:dyDescent="0.2">
      <c r="A7" t="e" vm="6">
        <v>#VALUE!</v>
      </c>
      <c r="B7" t="str" cm="1">
        <f t="array" aca="1" ref="B7" ca="1">_FV(table1[[#This Row],[DataField]],"Ticker symbol",TRUE)</f>
        <v>AMD</v>
      </c>
      <c r="C7">
        <v>1</v>
      </c>
      <c r="D7">
        <v>500</v>
      </c>
      <c r="E7">
        <v>2</v>
      </c>
      <c r="F7" s="2" cm="1">
        <f t="array" aca="1" ref="F7" ca="1">_FV(table1[[#This Row],[DataField]],"Price")</f>
        <v>201.99</v>
      </c>
      <c r="G7" s="2" cm="1">
        <f t="array" aca="1" ref="G7" ca="1">_FV(table1[[#This Row],[DataField]],"52 week low",TRUE)</f>
        <v>76.48</v>
      </c>
      <c r="H7" s="2" cm="1">
        <f t="array" aca="1" ref="H7" ca="1">_FV(table1[[#This Row],[DataField]],"52 week high",TRUE)</f>
        <v>267.07990000000001</v>
      </c>
      <c r="I7" s="4" cm="1">
        <f t="array" aca="1" ref="I7" ca="1">_FV(table1[[#This Row],[DataField]],"P/E",TRUE)</f>
        <v>77.557199999999995</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329326717890</v>
      </c>
    </row>
    <row r="8" spans="1:12" x14ac:dyDescent="0.2">
      <c r="A8" t="e" vm="7">
        <v>#VALUE!</v>
      </c>
      <c r="B8" t="str" cm="1">
        <f t="array" aca="1" ref="B8" ca="1">_FV(table1[[#This Row],[DataField]],"Ticker symbol",TRUE)</f>
        <v>ASML</v>
      </c>
      <c r="C8">
        <v>1</v>
      </c>
      <c r="D8">
        <v>500</v>
      </c>
      <c r="E8">
        <v>2</v>
      </c>
      <c r="F8" s="2" cm="1">
        <f t="array" aca="1" ref="F8" ca="1">_FV(table1[[#This Row],[DataField]],"Price")</f>
        <v>1302.47</v>
      </c>
      <c r="G8" s="2" cm="1">
        <f t="array" aca="1" ref="G8" ca="1">_FV(table1[[#This Row],[DataField]],"52 week low",TRUE)</f>
        <v>578.51</v>
      </c>
      <c r="H8" s="2" cm="1">
        <f t="array" aca="1" ref="H8" ca="1">_FV(table1[[#This Row],[DataField]],"52 week high",TRUE)</f>
        <v>1547.22</v>
      </c>
      <c r="I8" s="4" cm="1">
        <f t="array" aca="1" ref="I8" ca="1">_FV(table1[[#This Row],[DataField]],"P/E",TRUE)</f>
        <v>44.872500000000002</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505550734819</v>
      </c>
    </row>
    <row r="9" spans="1:12" x14ac:dyDescent="0.2">
      <c r="A9" t="e" vm="8">
        <v>#VALUE!</v>
      </c>
      <c r="B9" t="str" cm="1">
        <f t="array" aca="1" ref="B9" ca="1">_FV(table1[[#This Row],[DataField]],"Ticker symbol",TRUE)</f>
        <v>INTC</v>
      </c>
      <c r="C9">
        <v>1</v>
      </c>
      <c r="D9">
        <v>500</v>
      </c>
      <c r="E9">
        <v>2</v>
      </c>
      <c r="F9" s="2" cm="1">
        <f t="array" aca="1" ref="F9" ca="1">_FV(table1[[#This Row],[DataField]],"Price")</f>
        <v>43.13</v>
      </c>
      <c r="G9" s="2" cm="1">
        <f t="array" aca="1" ref="G9" ca="1">_FV(table1[[#This Row],[DataField]],"52 week low",TRUE)</f>
        <v>17.664999999999999</v>
      </c>
      <c r="H9" s="2" cm="1">
        <f t="array" aca="1" ref="H9" ca="1">_FV(table1[[#This Row],[DataField]],"52 week high",TRUE)</f>
        <v>54.6</v>
      </c>
      <c r="I9" s="4" cm="1">
        <f t="array" aca="1" ref="I9" ca="1">_FV(table1[[#This Row],[DataField]],"P/E",TRUE)</f>
        <v>0</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216556161300</v>
      </c>
    </row>
    <row r="10" spans="1:12" x14ac:dyDescent="0.2">
      <c r="A10" t="e" vm="9">
        <v>#VALUE!</v>
      </c>
      <c r="B10" t="str" cm="1">
        <f t="array" aca="1" ref="B10" ca="1">_FV(table1[[#This Row],[DataField]],"Ticker symbol",TRUE)</f>
        <v>LRCX</v>
      </c>
      <c r="C10">
        <v>1</v>
      </c>
      <c r="D10">
        <v>500</v>
      </c>
      <c r="E10">
        <v>2</v>
      </c>
      <c r="F10" s="2" cm="1">
        <f t="array" aca="1" ref="F10" ca="1">_FV(table1[[#This Row],[DataField]],"Price")</f>
        <v>211.41</v>
      </c>
      <c r="G10" s="2" cm="1">
        <f t="array" aca="1" ref="G10" ca="1">_FV(table1[[#This Row],[DataField]],"52 week low",TRUE)</f>
        <v>56.32</v>
      </c>
      <c r="H10" s="2" cm="1">
        <f t="array" aca="1" ref="H10" ca="1">_FV(table1[[#This Row],[DataField]],"52 week high",TRUE)</f>
        <v>256.68</v>
      </c>
      <c r="I10" s="4" cm="1">
        <f t="array" aca="1" ref="I10" ca="1">_FV(table1[[#This Row],[DataField]],"P/E",TRUE)</f>
        <v>43.371299999999998</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264002677110</v>
      </c>
    </row>
    <row r="11" spans="1:12" x14ac:dyDescent="0.2">
      <c r="A11" t="e" vm="10">
        <v>#VALUE!</v>
      </c>
      <c r="B11" t="str" cm="1">
        <f t="array" aca="1" ref="B11" ca="1">_FV(table1[[#This Row],[DataField]],"Ticker symbol",TRUE)</f>
        <v>NVDA</v>
      </c>
      <c r="C11">
        <v>1</v>
      </c>
      <c r="D11">
        <v>500</v>
      </c>
      <c r="E11">
        <v>2</v>
      </c>
      <c r="F11" s="2" cm="1">
        <f t="array" aca="1" ref="F11" ca="1">_FV(table1[[#This Row],[DataField]],"Price")</f>
        <v>167.52</v>
      </c>
      <c r="G11" s="2" cm="1">
        <f t="array" aca="1" ref="G11" ca="1">_FV(table1[[#This Row],[DataField]],"52 week low",TRUE)</f>
        <v>86.62</v>
      </c>
      <c r="H11" s="2" cm="1">
        <f t="array" aca="1" ref="H11" ca="1">_FV(table1[[#This Row],[DataField]],"52 week high",TRUE)</f>
        <v>212.18989999999999</v>
      </c>
      <c r="I11" s="4" cm="1">
        <f t="array" aca="1" ref="I11" ca="1">_FV(table1[[#This Row],[DataField]],"P/E",TRUE)</f>
        <v>34.9345</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4070736000000</v>
      </c>
    </row>
    <row r="12" spans="1:12" x14ac:dyDescent="0.2">
      <c r="A12" t="e" vm="11">
        <v>#VALUE!</v>
      </c>
      <c r="B12" t="str" cm="1">
        <f t="array" aca="1" ref="B12" ca="1">_FV(table1[[#This Row],[DataField]],"Ticker symbol",TRUE)</f>
        <v>TSM</v>
      </c>
      <c r="C12">
        <v>1</v>
      </c>
      <c r="D12">
        <v>500</v>
      </c>
      <c r="E12">
        <v>2</v>
      </c>
      <c r="F12" s="2" cm="1">
        <f t="array" aca="1" ref="F12" ca="1">_FV(table1[[#This Row],[DataField]],"Price")</f>
        <v>326.74</v>
      </c>
      <c r="G12" s="2" cm="1">
        <f t="array" aca="1" ref="G12" ca="1">_FV(table1[[#This Row],[DataField]],"52 week low",TRUE)</f>
        <v>134.25</v>
      </c>
      <c r="H12" s="2" cm="1">
        <f t="array" aca="1" ref="H12" ca="1">_FV(table1[[#This Row],[DataField]],"52 week high",TRUE)</f>
        <v>390.20499999999998</v>
      </c>
      <c r="I12" s="4" cm="1">
        <f t="array" aca="1" ref="I12" ca="1">_FV(table1[[#This Row],[DataField]],"P/E",TRUE)</f>
        <v>30.846800000000002</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1694638643700</v>
      </c>
    </row>
    <row r="13" spans="1:12" ht="17" customHeight="1" x14ac:dyDescent="0.2">
      <c r="A13" t="e" vm="12">
        <v>#VALUE!</v>
      </c>
      <c r="B13" t="str" cm="1">
        <f t="array" aca="1" ref="B13" ca="1">_FV(table1[[#This Row],[DataField]],"Ticker symbol",TRUE)</f>
        <v>TXN</v>
      </c>
      <c r="C13">
        <v>0</v>
      </c>
      <c r="D13">
        <v>500</v>
      </c>
      <c r="E13">
        <v>2</v>
      </c>
      <c r="F13" s="2" cm="1">
        <f t="array" aca="1" ref="F13" ca="1">_FV(table1[[#This Row],[DataField]],"Price")</f>
        <v>190.33</v>
      </c>
      <c r="G13" s="2" cm="1">
        <f t="array" aca="1" ref="G13" ca="1">_FV(table1[[#This Row],[DataField]],"52 week low",TRUE)</f>
        <v>139.94999999999999</v>
      </c>
      <c r="H13" s="2" cm="1">
        <f t="array" aca="1" ref="H13" ca="1">_FV(table1[[#This Row],[DataField]],"52 week high",TRUE)</f>
        <v>231.32</v>
      </c>
      <c r="I13" s="4" cm="1">
        <f t="array" aca="1" ref="I13" ca="1">_FV(table1[[#This Row],[DataField]],"P/E",TRUE)</f>
        <v>35.292999999999999</v>
      </c>
      <c r="J13" s="2" t="str">
        <f ca="1">IF(table1[[#This Row],[Price]] &lt; (table1[[#This Row],[52Low]] * 0.25) + table1[[#This Row],[52Low]],  "TRUE", "FALSE")</f>
        <v>FALSE</v>
      </c>
      <c r="K13" s="2" t="str">
        <f ca="1">IF(table1[[#This Row],[Price]] &lt; (table1[[#This Row],[52Low]] * 0.1) + table1[[#This Row],[52Low]],  "TRUE", "FALSE")</f>
        <v>FALSE</v>
      </c>
      <c r="L13" s="6" cm="1">
        <f t="array" aca="1" ref="L13" ca="1">_FV(table1[[#This Row],[DataField]],"Market cap",TRUE)</f>
        <v>173288498922</v>
      </c>
    </row>
    <row r="14" spans="1:12" x14ac:dyDescent="0.2">
      <c r="A14" t="e" vm="13">
        <v>#VALUE!</v>
      </c>
      <c r="B14" t="str" cm="1">
        <f t="array" aca="1" ref="B14" ca="1">_FV(table1[[#This Row],[DataField]],"Ticker symbol",TRUE)</f>
        <v>MU</v>
      </c>
      <c r="C14">
        <v>0</v>
      </c>
      <c r="D14">
        <v>500</v>
      </c>
      <c r="E14">
        <v>2</v>
      </c>
      <c r="F14" s="2" cm="1">
        <f t="array" aca="1" ref="F14" ca="1">_FV(table1[[#This Row],[DataField]],"Price")</f>
        <v>357.22</v>
      </c>
      <c r="G14" s="2" cm="1">
        <f t="array" aca="1" ref="G14" ca="1">_FV(table1[[#This Row],[DataField]],"52 week low",TRUE)</f>
        <v>61.54</v>
      </c>
      <c r="H14" s="2" cm="1">
        <f t="array" aca="1" ref="H14" ca="1">_FV(table1[[#This Row],[DataField]],"52 week high",TRUE)</f>
        <v>471.34</v>
      </c>
      <c r="I14" s="4" cm="1">
        <f t="array" aca="1" ref="I14" ca="1">_FV(table1[[#This Row],[DataField]],"P/E",TRUE)</f>
        <v>33.789000000000001</v>
      </c>
      <c r="J14" s="2" t="str">
        <f ca="1">IF(table1[[#This Row],[Price]] &lt; (table1[[#This Row],[52Low]] * 0.25) + table1[[#This Row],[52Low]],  "TRUE", "FALSE")</f>
        <v>FALSE</v>
      </c>
      <c r="K14" s="7" t="str">
        <f ca="1">IF(table1[[#This Row],[Price]] &lt; (table1[[#This Row],[52Low]] * 0.1) + table1[[#This Row],[52Low]],  "TRUE", "FALSE")</f>
        <v>FALSE</v>
      </c>
      <c r="L14" s="6" cm="1">
        <f t="array" aca="1" ref="L14" ca="1">_FV(table1[[#This Row],[DataField]],"Market cap",TRUE)</f>
        <v>402849139480</v>
      </c>
    </row>
    <row r="15" spans="1:12" x14ac:dyDescent="0.2">
      <c r="A15" t="e" vm="14">
        <v>#VALUE!</v>
      </c>
      <c r="B15" t="str" cm="1">
        <f t="array" aca="1" ref="B15" ca="1">_FV(table1[[#This Row],[DataField]],"Ticker symbol",TRUE)</f>
        <v>CMCSA</v>
      </c>
      <c r="C15">
        <v>0</v>
      </c>
      <c r="D15">
        <v>500</v>
      </c>
      <c r="E15">
        <v>3</v>
      </c>
      <c r="F15" s="2" cm="1">
        <f t="array" aca="1" ref="F15" ca="1">_FV(table1[[#This Row],[DataField]],"Price")</f>
        <v>28.33</v>
      </c>
      <c r="G15" s="2" cm="1">
        <f t="array" aca="1" ref="G15" ca="1">_FV(table1[[#This Row],[DataField]],"52 week low",TRUE)</f>
        <v>24.1234</v>
      </c>
      <c r="H15" s="2" cm="1">
        <f t="array" aca="1" ref="H15" ca="1">_FV(table1[[#This Row],[DataField]],"52 week high",TRUE)</f>
        <v>35.257599999999996</v>
      </c>
      <c r="I15" s="4" cm="1">
        <f t="array" aca="1" ref="I15" ca="1">_FV(table1[[#This Row],[DataField]],"P/E",TRUE)</f>
        <v>5.3426</v>
      </c>
      <c r="J15" s="2" t="str">
        <f ca="1">IF(table1[[#This Row],[Price]] &lt; (table1[[#This Row],[52Low]] * 0.25) + table1[[#This Row],[52Low]],  "TRUE", "FALSE")</f>
        <v>TRUE</v>
      </c>
      <c r="K15" s="2" t="str">
        <f ca="1">IF(table1[[#This Row],[Price]] &lt; (table1[[#This Row],[52Low]] * 0.1) + table1[[#This Row],[52Low]],  "TRUE", "FALSE")</f>
        <v>FALSE</v>
      </c>
      <c r="L15" s="6" cm="1">
        <f t="array" aca="1" ref="L15" ca="1">_FV(table1[[#This Row],[DataField]],"Market cap",TRUE)</f>
        <v>101926977180</v>
      </c>
    </row>
    <row r="16" spans="1:12" x14ac:dyDescent="0.2">
      <c r="A16" t="e" vm="15">
        <v>#VALUE!</v>
      </c>
      <c r="B16" t="str" cm="1">
        <f t="array" aca="1" ref="B16" ca="1">_FV(table1[[#This Row],[DataField]],"Ticker symbol",TRUE)</f>
        <v>T</v>
      </c>
      <c r="C16">
        <v>0</v>
      </c>
      <c r="D16">
        <v>500</v>
      </c>
      <c r="E16">
        <v>3</v>
      </c>
      <c r="F16" s="2" cm="1">
        <f t="array" aca="1" ref="F16" ca="1">_FV(table1[[#This Row],[DataField]],"Price")</f>
        <v>29.1</v>
      </c>
      <c r="G16" s="2" cm="1">
        <f t="array" aca="1" ref="G16" ca="1">_FV(table1[[#This Row],[DataField]],"52 week low",TRUE)</f>
        <v>22.95</v>
      </c>
      <c r="H16" s="2" cm="1">
        <f t="array" aca="1" ref="H16" ca="1">_FV(table1[[#This Row],[DataField]],"52 week high",TRUE)</f>
        <v>29.79</v>
      </c>
      <c r="I16" s="4" cm="1">
        <f t="array" aca="1" ref="I16" ca="1">_FV(table1[[#This Row],[DataField]],"P/E",TRUE)</f>
        <v>9.4770000000000003</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203180448600</v>
      </c>
    </row>
    <row r="17" spans="1:12" x14ac:dyDescent="0.2">
      <c r="A17" t="e" vm="16">
        <v>#VALUE!</v>
      </c>
      <c r="B17" t="str" cm="1">
        <f t="array" aca="1" ref="B17" ca="1">_FV(table1[[#This Row],[DataField]],"Ticker symbol",TRUE)</f>
        <v>VZ</v>
      </c>
      <c r="C17">
        <v>0</v>
      </c>
      <c r="D17">
        <v>500</v>
      </c>
      <c r="E17">
        <v>3</v>
      </c>
      <c r="F17" s="2" cm="1">
        <f t="array" aca="1" ref="F17" ca="1">_FV(table1[[#This Row],[DataField]],"Price")</f>
        <v>50.31</v>
      </c>
      <c r="G17" s="2" cm="1">
        <f t="array" aca="1" ref="G17" ca="1">_FV(table1[[#This Row],[DataField]],"52 week low",TRUE)</f>
        <v>38.39</v>
      </c>
      <c r="H17" s="2" cm="1">
        <f t="array" aca="1" ref="H17" ca="1">_FV(table1[[#This Row],[DataField]],"52 week high",TRUE)</f>
        <v>51.68</v>
      </c>
      <c r="I17" s="4" cm="1">
        <f t="array" aca="1" ref="I17" ca="1">_FV(table1[[#This Row],[DataField]],"P/E",TRUE)</f>
        <v>12.4977</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212191682040</v>
      </c>
    </row>
    <row r="18" spans="1:12" x14ac:dyDescent="0.2">
      <c r="A18" t="e" vm="17">
        <v>#VALUE!</v>
      </c>
      <c r="B18" t="str" cm="1">
        <f t="array" aca="1" ref="B18" ca="1">_FV(table1[[#This Row],[DataField]],"Ticker symbol",TRUE)</f>
        <v>GD</v>
      </c>
      <c r="C18">
        <v>0</v>
      </c>
      <c r="D18">
        <v>500</v>
      </c>
      <c r="E18">
        <v>4</v>
      </c>
      <c r="F18" s="2" cm="1">
        <f t="array" aca="1" ref="F18" ca="1">_FV(table1[[#This Row],[DataField]],"Price")</f>
        <v>346.76</v>
      </c>
      <c r="G18" s="2" cm="1">
        <f t="array" aca="1" ref="G18" ca="1">_FV(table1[[#This Row],[DataField]],"52 week low",TRUE)</f>
        <v>239.2</v>
      </c>
      <c r="H18" s="2" cm="1">
        <f t="array" aca="1" ref="H18" ca="1">_FV(table1[[#This Row],[DataField]],"52 week high",TRUE)</f>
        <v>369.7</v>
      </c>
      <c r="I18" s="4" cm="1">
        <f t="array" aca="1" ref="I18" ca="1">_FV(table1[[#This Row],[DataField]],"P/E",TRUE)</f>
        <v>22.989799999999999</v>
      </c>
      <c r="J18" s="2" t="str">
        <f ca="1">IF(table1[[#This Row],[Price]] &lt; (table1[[#This Row],[52Low]] * 0.25) + table1[[#This Row],[52Low]],  "TRUE", "FALSE")</f>
        <v>FALSE</v>
      </c>
      <c r="K18" s="2" t="str">
        <f ca="1">IF(table1[[#This Row],[Price]] &lt; (table1[[#This Row],[52Low]] * 0.1) + table1[[#This Row],[52Low]],  "TRUE", "FALSE")</f>
        <v>FALSE</v>
      </c>
      <c r="L18" s="6" cm="1">
        <f t="array" aca="1" ref="L18" ca="1">_FV(table1[[#This Row],[DataField]],"Market cap",TRUE)</f>
        <v>93760367048</v>
      </c>
    </row>
    <row r="19" spans="1:12" x14ac:dyDescent="0.2">
      <c r="A19" t="e" vm="18">
        <v>#VALUE!</v>
      </c>
      <c r="B19" t="str" cm="1">
        <f t="array" aca="1" ref="B19" ca="1">_FV(table1[[#This Row],[DataField]],"Ticker symbol",TRUE)</f>
        <v>LMT</v>
      </c>
      <c r="C19">
        <v>0</v>
      </c>
      <c r="D19">
        <v>500</v>
      </c>
      <c r="E19">
        <v>4</v>
      </c>
      <c r="F19" s="2" cm="1">
        <f t="array" aca="1" ref="F19" ca="1">_FV(table1[[#This Row],[DataField]],"Price")</f>
        <v>615.84</v>
      </c>
      <c r="G19" s="2" cm="1">
        <f t="array" aca="1" ref="G19" ca="1">_FV(table1[[#This Row],[DataField]],"52 week low",TRUE)</f>
        <v>410.11</v>
      </c>
      <c r="H19" s="2" cm="1">
        <f t="array" aca="1" ref="H19" ca="1">_FV(table1[[#This Row],[DataField]],"52 week high",TRUE)</f>
        <v>692</v>
      </c>
      <c r="I19" s="4" cm="1">
        <f t="array" aca="1" ref="I19" ca="1">_FV(table1[[#This Row],[DataField]],"P/E",TRUE)</f>
        <v>29.196999999999999</v>
      </c>
      <c r="J19" s="2" t="str">
        <f ca="1">IF(table1[[#This Row],[Price]] &lt; (table1[[#This Row],[52Low]] * 0.25) + table1[[#This Row],[52Low]],  "TRUE", "FALSE")</f>
        <v>FALSE</v>
      </c>
      <c r="K19" s="2" t="str">
        <f ca="1">IF(table1[[#This Row],[Price]] &lt; (table1[[#This Row],[52Low]] * 0.1) + table1[[#This Row],[52Low]],  "TRUE", "FALSE")</f>
        <v>FALSE</v>
      </c>
      <c r="L19" s="6" cm="1">
        <f t="array" aca="1" ref="L19" ca="1">_FV(table1[[#This Row],[DataField]],"Market cap",TRUE)</f>
        <v>141927779664</v>
      </c>
    </row>
    <row r="20" spans="1:12" x14ac:dyDescent="0.2">
      <c r="A20" t="e" vm="19">
        <v>#VALUE!</v>
      </c>
      <c r="B20" t="str" cm="1">
        <f t="array" aca="1" ref="B20" ca="1">_FV(table1[[#This Row],[DataField]],"Ticker symbol",TRUE)</f>
        <v>ADM</v>
      </c>
      <c r="C20">
        <v>0</v>
      </c>
      <c r="D20">
        <v>500</v>
      </c>
      <c r="E20">
        <v>10</v>
      </c>
      <c r="F20" s="2" cm="1">
        <f t="array" aca="1" ref="F20" ca="1">_FV(table1[[#This Row],[DataField]],"Price")</f>
        <v>72.23</v>
      </c>
      <c r="G20" s="2" cm="1">
        <f t="array" aca="1" ref="G20" ca="1">_FV(table1[[#This Row],[DataField]],"52 week low",TRUE)</f>
        <v>40.98</v>
      </c>
      <c r="H20" s="2" cm="1">
        <f t="array" aca="1" ref="H20" ca="1">_FV(table1[[#This Row],[DataField]],"52 week high",TRUE)</f>
        <v>74.19</v>
      </c>
      <c r="I20" s="4" cm="1">
        <f t="array" aca="1" ref="I20" ca="1">_FV(table1[[#This Row],[DataField]],"P/E",TRUE)</f>
        <v>32.456200000000003</v>
      </c>
      <c r="J20" s="2" t="str">
        <f ca="1">IF(table1[[#This Row],[Price]] &lt; (table1[[#This Row],[52Low]] * 0.25) + table1[[#This Row],[52Low]],  "TRUE", "FALSE")</f>
        <v>FALSE</v>
      </c>
      <c r="K20" s="2" t="str">
        <f ca="1">IF(table1[[#This Row],[Price]] &lt; (table1[[#This Row],[52Low]] * 0.1) + table1[[#This Row],[52Low]],  "TRUE", "FALSE")</f>
        <v>FALSE</v>
      </c>
      <c r="L20" s="6" cm="1">
        <f t="array" aca="1" ref="L20" ca="1">_FV(table1[[#This Row],[DataField]],"Market cap",TRUE)</f>
        <v>34807283073</v>
      </c>
    </row>
    <row r="21" spans="1:12" x14ac:dyDescent="0.2">
      <c r="A21" t="e" vm="20">
        <v>#VALUE!</v>
      </c>
      <c r="B21" t="str" cm="1">
        <f t="array" aca="1" ref="B21" ca="1">_FV(table1[[#This Row],[DataField]],"Ticker symbol",TRUE)</f>
        <v>CPB</v>
      </c>
      <c r="C21">
        <v>5</v>
      </c>
      <c r="D21">
        <v>500</v>
      </c>
      <c r="E21">
        <v>11</v>
      </c>
      <c r="F21" s="2" cm="1">
        <f t="array" aca="1" ref="F21" ca="1">_FV(table1[[#This Row],[DataField]],"Price")</f>
        <v>21.99</v>
      </c>
      <c r="G21" s="2" cm="1">
        <f t="array" aca="1" ref="G21" ca="1">_FV(table1[[#This Row],[DataField]],"52 week low",TRUE)</f>
        <v>20.62</v>
      </c>
      <c r="H21" s="2" cm="1">
        <f t="array" aca="1" ref="H21" ca="1">_FV(table1[[#This Row],[DataField]],"52 week high",TRUE)</f>
        <v>40.590000000000003</v>
      </c>
      <c r="I21" s="4" cm="1">
        <f t="array" aca="1" ref="I21" ca="1">_FV(table1[[#This Row],[DataField]],"P/E",TRUE)</f>
        <v>11.386100000000001</v>
      </c>
      <c r="J21" s="2" t="str">
        <f ca="1">IF(table1[[#This Row],[Price]] &lt; (table1[[#This Row],[52Low]] * 0.25) + table1[[#This Row],[52Low]],  "TRUE", "FALSE")</f>
        <v>TRUE</v>
      </c>
      <c r="K21" s="2" t="str">
        <f ca="1">IF(table1[[#This Row],[Price]] &lt; (table1[[#This Row],[52Low]] * 0.1) + table1[[#This Row],[52Low]],  "TRUE", "FALSE")</f>
        <v>TRUE</v>
      </c>
      <c r="L21" s="6" cm="1">
        <f t="array" aca="1" ref="L21" ca="1">_FV(table1[[#This Row],[DataField]],"Market cap",TRUE)</f>
        <v>6556241535</v>
      </c>
    </row>
    <row r="22" spans="1:12" x14ac:dyDescent="0.2">
      <c r="A22" t="e" vm="21">
        <v>#VALUE!</v>
      </c>
      <c r="B22" t="str" cm="1">
        <f t="array" aca="1" ref="B22" ca="1">_FV(table1[[#This Row],[DataField]],"Ticker symbol",TRUE)</f>
        <v>GIS</v>
      </c>
      <c r="C22">
        <v>5</v>
      </c>
      <c r="D22">
        <v>500</v>
      </c>
      <c r="E22">
        <v>11</v>
      </c>
      <c r="F22" s="2" cm="1">
        <f t="array" aca="1" ref="F22" ca="1">_FV(table1[[#This Row],[DataField]],"Price")</f>
        <v>36.450000000000003</v>
      </c>
      <c r="G22" s="2" cm="1">
        <f t="array" aca="1" ref="G22" ca="1">_FV(table1[[#This Row],[DataField]],"52 week low",TRUE)</f>
        <v>35.634999999999998</v>
      </c>
      <c r="H22" s="2" cm="1">
        <f t="array" aca="1" ref="H22" ca="1">_FV(table1[[#This Row],[DataField]],"52 week high",TRUE)</f>
        <v>62.61</v>
      </c>
      <c r="I22" s="4" cm="1">
        <f t="array" aca="1" ref="I22" ca="1">_FV(table1[[#This Row],[DataField]],"P/E",TRUE)</f>
        <v>7.7278000000000002</v>
      </c>
      <c r="J22" s="2" t="str">
        <f ca="1">IF(table1[[#This Row],[Price]] &lt; (table1[[#This Row],[52Low]] * 0.25) + table1[[#This Row],[52Low]],  "TRUE", "FALSE")</f>
        <v>TRUE</v>
      </c>
      <c r="K22" s="2" t="str">
        <f ca="1">IF(table1[[#This Row],[Price]] &lt; (table1[[#This Row],[52Low]] * 0.1) + table1[[#This Row],[52Low]],  "TRUE", "FALSE")</f>
        <v>TRUE</v>
      </c>
      <c r="L22" s="6" cm="1">
        <f t="array" aca="1" ref="L22" ca="1">_FV(table1[[#This Row],[DataField]],"Market cap",TRUE)</f>
        <v>19452679740</v>
      </c>
    </row>
    <row r="23" spans="1:12" x14ac:dyDescent="0.2">
      <c r="A23" t="e" vm="22">
        <v>#VALUE!</v>
      </c>
      <c r="B23" t="str" cm="1">
        <f t="array" aca="1" ref="B23" ca="1">_FV(table1[[#This Row],[DataField]],"Ticker symbol",TRUE)</f>
        <v>HSY</v>
      </c>
      <c r="C23">
        <v>0</v>
      </c>
      <c r="D23">
        <v>500</v>
      </c>
      <c r="E23">
        <v>11</v>
      </c>
      <c r="F23" s="2" cm="1">
        <f t="array" aca="1" ref="F23" ca="1">_FV(table1[[#This Row],[DataField]],"Price")</f>
        <v>213.73</v>
      </c>
      <c r="G23" s="2" cm="1">
        <f t="array" aca="1" ref="G23" ca="1">_FV(table1[[#This Row],[DataField]],"52 week low",TRUE)</f>
        <v>150.04</v>
      </c>
      <c r="H23" s="2" cm="1">
        <f t="array" aca="1" ref="H23" ca="1">_FV(table1[[#This Row],[DataField]],"52 week high",TRUE)</f>
        <v>239.48</v>
      </c>
      <c r="I23" s="4" cm="1">
        <f t="array" aca="1" ref="I23" ca="1">_FV(table1[[#This Row],[DataField]],"P/E",TRUE)</f>
        <v>48.467700000000001</v>
      </c>
      <c r="J23" s="2" t="str">
        <f ca="1">IF(table1[[#This Row],[Price]] &lt; (table1[[#This Row],[52Low]] * 0.25) + table1[[#This Row],[52Low]],  "TRUE", "FALSE")</f>
        <v>FALSE</v>
      </c>
      <c r="K23" s="2" t="str">
        <f ca="1">IF(table1[[#This Row],[Price]] &lt; (table1[[#This Row],[52Low]] * 0.1) + table1[[#This Row],[52Low]],  "TRUE", "FALSE")</f>
        <v>FALSE</v>
      </c>
      <c r="L23" s="6" cm="1">
        <f t="array" aca="1" ref="L23" ca="1">_FV(table1[[#This Row],[DataField]],"Market cap",TRUE)</f>
        <v>43321126057</v>
      </c>
    </row>
    <row r="24" spans="1:12" x14ac:dyDescent="0.2">
      <c r="A24" t="e" vm="23">
        <v>#VALUE!</v>
      </c>
      <c r="B24" t="str" cm="1">
        <f t="array" aca="1" ref="B24" ca="1">_FV(table1[[#This Row],[DataField]],"Ticker symbol",TRUE)</f>
        <v>KMB</v>
      </c>
      <c r="C24">
        <v>1</v>
      </c>
      <c r="D24">
        <v>500</v>
      </c>
      <c r="E24">
        <v>11</v>
      </c>
      <c r="F24" s="2" cm="1">
        <f t="array" aca="1" ref="F24" ca="1">_FV(table1[[#This Row],[DataField]],"Price")</f>
        <v>98.66</v>
      </c>
      <c r="G24" s="2" cm="1">
        <f t="array" aca="1" ref="G24" ca="1">_FV(table1[[#This Row],[DataField]],"52 week low",TRUE)</f>
        <v>96.26</v>
      </c>
      <c r="H24" s="2" cm="1">
        <f t="array" aca="1" ref="H24" ca="1">_FV(table1[[#This Row],[DataField]],"52 week high",TRUE)</f>
        <v>147.12</v>
      </c>
      <c r="I24" s="4" cm="1">
        <f t="array" aca="1" ref="I24" ca="1">_FV(table1[[#This Row],[DataField]],"P/E",TRUE)</f>
        <v>20.234300000000001</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32747799428</v>
      </c>
    </row>
    <row r="25" spans="1:12" x14ac:dyDescent="0.2">
      <c r="A25" t="e" vm="24">
        <v>#VALUE!</v>
      </c>
      <c r="B25" t="str" cm="1">
        <f t="array" aca="1" ref="B25" ca="1">_FV(table1[[#This Row],[DataField]],"Ticker symbol",TRUE)</f>
        <v>MKC.V</v>
      </c>
      <c r="C25">
        <v>0</v>
      </c>
      <c r="D25">
        <v>500</v>
      </c>
      <c r="E25">
        <v>11</v>
      </c>
      <c r="F25" s="2" cm="1">
        <f t="array" aca="1" ref="F25" ca="1">_FV(table1[[#This Row],[DataField]],"Price")</f>
        <v>52.97</v>
      </c>
      <c r="G25" s="2" cm="1">
        <f t="array" aca="1" ref="G25" ca="1">_FV(table1[[#This Row],[DataField]],"52 week low",TRUE)</f>
        <v>51.55</v>
      </c>
      <c r="H25" s="2" cm="1">
        <f t="array" aca="1" ref="H25" ca="1">_FV(table1[[#This Row],[DataField]],"52 week high",TRUE)</f>
        <v>82.53</v>
      </c>
      <c r="I25" s="4" t="e" cm="1" vm="25">
        <f t="array" ref="I25">_FV(table1[[#This Row],[DataField]],"P/E",TRUE)</f>
        <v>#VALUE!</v>
      </c>
      <c r="J25" s="2" t="str">
        <f ca="1">IF(table1[[#This Row],[Price]] &lt; (table1[[#This Row],[52Low]] * 0.25) + table1[[#This Row],[52Low]],  "TRUE", "FALSE")</f>
        <v>TRUE</v>
      </c>
      <c r="K25" s="2" t="str">
        <f ca="1">IF(table1[[#This Row],[Price]] &lt; (table1[[#This Row],[52Low]] * 0.1) + table1[[#This Row],[52Low]],  "TRUE", "FALSE")</f>
        <v>TRUE</v>
      </c>
      <c r="L25" s="6" cm="1">
        <f t="array" aca="1" ref="L25" ca="1">_FV(table1[[#This Row],[DataField]],"Market cap",TRUE)</f>
        <v>14219171454</v>
      </c>
    </row>
    <row r="26" spans="1:12" x14ac:dyDescent="0.2">
      <c r="A26" t="e" vm="26">
        <v>#VALUE!</v>
      </c>
      <c r="B26" t="str" cm="1">
        <f t="array" aca="1" ref="B26" ca="1">_FV(table1[[#This Row],[DataField]],"Ticker symbol",TRUE)</f>
        <v>PEP</v>
      </c>
      <c r="C26">
        <v>0</v>
      </c>
      <c r="D26">
        <v>500</v>
      </c>
      <c r="E26">
        <v>11</v>
      </c>
      <c r="F26" s="2" cm="1">
        <f t="array" aca="1" ref="F26" ca="1">_FV(table1[[#This Row],[DataField]],"Price")</f>
        <v>153.04</v>
      </c>
      <c r="G26" s="2" cm="1">
        <f t="array" aca="1" ref="G26" ca="1">_FV(table1[[#This Row],[DataField]],"52 week low",TRUE)</f>
        <v>127.6</v>
      </c>
      <c r="H26" s="2" cm="1">
        <f t="array" aca="1" ref="H26" ca="1">_FV(table1[[#This Row],[DataField]],"52 week high",TRUE)</f>
        <v>171.48</v>
      </c>
      <c r="I26" s="4" cm="1">
        <f t="array" aca="1" ref="I26" ca="1">_FV(table1[[#This Row],[DataField]],"P/E",TRUE)</f>
        <v>25.500299999999999</v>
      </c>
      <c r="J26" s="2" t="str">
        <f ca="1">IF(table1[[#This Row],[Price]] &lt; (table1[[#This Row],[52Low]] * 0.25) + table1[[#This Row],[52Low]],  "TRUE", "FALSE")</f>
        <v>TRUE</v>
      </c>
      <c r="K26" s="2" t="str">
        <f ca="1">IF(table1[[#This Row],[Price]] &lt; (table1[[#This Row],[52Low]] * 0.1) + table1[[#This Row],[52Low]],  "TRUE", "FALSE")</f>
        <v>FALSE</v>
      </c>
      <c r="L26" s="6" cm="1">
        <f t="array" aca="1" ref="L26" ca="1">_FV(table1[[#This Row],[DataField]],"Market cap",TRUE)</f>
        <v>209151962960</v>
      </c>
    </row>
    <row r="27" spans="1:12" x14ac:dyDescent="0.2">
      <c r="A27" t="e" vm="27">
        <v>#VALUE!</v>
      </c>
      <c r="B27" t="str" cm="1">
        <f t="array" aca="1" ref="B27" ca="1">_FV(table1[[#This Row],[DataField]],"Ticker symbol",TRUE)</f>
        <v>SJM</v>
      </c>
      <c r="C27">
        <v>0</v>
      </c>
      <c r="D27">
        <v>500</v>
      </c>
      <c r="E27">
        <v>11</v>
      </c>
      <c r="F27" s="2" cm="1">
        <f t="array" aca="1" ref="F27" ca="1">_FV(table1[[#This Row],[DataField]],"Price")</f>
        <v>95.24</v>
      </c>
      <c r="G27" s="2" cm="1">
        <f t="array" aca="1" ref="G27" ca="1">_FV(table1[[#This Row],[DataField]],"52 week low",TRUE)</f>
        <v>93.3</v>
      </c>
      <c r="H27" s="2" cm="1">
        <f t="array" aca="1" ref="H27" ca="1">_FV(table1[[#This Row],[DataField]],"52 week high",TRUE)</f>
        <v>120.76</v>
      </c>
      <c r="I27" s="4" t="e" cm="1" vm="25">
        <f t="array" ref="I27">_FV(table1[[#This Row],[DataField]],"P/E",TRUE)</f>
        <v>#VALUE!</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10157184092</v>
      </c>
    </row>
    <row r="28" spans="1:12" x14ac:dyDescent="0.2">
      <c r="A28" t="e" vm="28">
        <v>#VALUE!</v>
      </c>
      <c r="B28" t="str" cm="1">
        <f t="array" aca="1" ref="B28" ca="1">_FV(table1[[#This Row],[DataField]],"Ticker symbol",TRUE)</f>
        <v>TSN</v>
      </c>
      <c r="C28">
        <v>0</v>
      </c>
      <c r="D28">
        <v>500</v>
      </c>
      <c r="E28">
        <v>11</v>
      </c>
      <c r="F28" s="2" cm="1">
        <f t="array" aca="1" ref="F28" ca="1">_FV(table1[[#This Row],[DataField]],"Price")</f>
        <v>63.92</v>
      </c>
      <c r="G28" s="2" cm="1">
        <f t="array" aca="1" ref="G28" ca="1">_FV(table1[[#This Row],[DataField]],"52 week low",TRUE)</f>
        <v>50.56</v>
      </c>
      <c r="H28" s="2" cm="1">
        <f t="array" aca="1" ref="H28" ca="1">_FV(table1[[#This Row],[DataField]],"52 week high",TRUE)</f>
        <v>66.41</v>
      </c>
      <c r="I28" s="4" cm="1">
        <f t="array" aca="1" ref="I28" ca="1">_FV(table1[[#This Row],[DataField]],"P/E",TRUE)</f>
        <v>110.4058</v>
      </c>
      <c r="J28" s="2" t="str">
        <f ca="1">IF(table1[[#This Row],[Price]] &lt; (table1[[#This Row],[52Low]] * 0.25) + table1[[#This Row],[52Low]],  "TRUE", "FALSE")</f>
        <v>FALSE</v>
      </c>
      <c r="K28" s="2" t="str">
        <f ca="1">IF(table1[[#This Row],[Price]] &lt; (table1[[#This Row],[52Low]] * 0.1) + table1[[#This Row],[52Low]],  "TRUE", "FALSE")</f>
        <v>FALSE</v>
      </c>
      <c r="L28" s="6" cm="1">
        <f t="array" aca="1" ref="L28" ca="1">_FV(table1[[#This Row],[DataField]],"Market cap",TRUE)</f>
        <v>22504889680</v>
      </c>
    </row>
    <row r="29" spans="1:12" x14ac:dyDescent="0.2">
      <c r="A29" t="e" vm="29">
        <v>#VALUE!</v>
      </c>
      <c r="B29" t="str" cm="1">
        <f t="array" aca="1" ref="B29" ca="1">_FV(table1[[#This Row],[DataField]],"Ticker symbol",TRUE)</f>
        <v>CLX</v>
      </c>
      <c r="C29">
        <v>0</v>
      </c>
      <c r="D29">
        <v>500</v>
      </c>
      <c r="E29">
        <v>12</v>
      </c>
      <c r="F29" s="2" cm="1">
        <f t="array" aca="1" ref="F29" ca="1">_FV(table1[[#This Row],[DataField]],"Price")</f>
        <v>102.04</v>
      </c>
      <c r="G29" s="2" cm="1">
        <f t="array" aca="1" ref="G29" ca="1">_FV(table1[[#This Row],[DataField]],"52 week low",TRUE)</f>
        <v>96.6601</v>
      </c>
      <c r="H29" s="2" cm="1">
        <f t="array" aca="1" ref="H29" ca="1">_FV(table1[[#This Row],[DataField]],"52 week high",TRUE)</f>
        <v>150.84</v>
      </c>
      <c r="I29" s="4" cm="1">
        <f t="array" aca="1" ref="I29" ca="1">_FV(table1[[#This Row],[DataField]],"P/E",TRUE)</f>
        <v>16.695399999999999</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12337850276</v>
      </c>
    </row>
    <row r="30" spans="1:12" x14ac:dyDescent="0.2">
      <c r="A30" t="e" vm="30">
        <v>#VALUE!</v>
      </c>
      <c r="B30" t="str" cm="1">
        <f t="array" aca="1" ref="B30" ca="1">_FV(table1[[#This Row],[DataField]],"Ticker symbol",TRUE)</f>
        <v>NKE</v>
      </c>
      <c r="C30">
        <v>0</v>
      </c>
      <c r="D30">
        <v>500</v>
      </c>
      <c r="E30">
        <v>13</v>
      </c>
      <c r="F30" s="2" cm="1">
        <f t="array" aca="1" ref="F30" ca="1">_FV(table1[[#This Row],[DataField]],"Price")</f>
        <v>51.37</v>
      </c>
      <c r="G30" cm="1">
        <f t="array" aca="1" ref="G30" ca="1">_FV(table1[[#This Row],[DataField]],"52 week low",TRUE)</f>
        <v>51.2</v>
      </c>
      <c r="H30" cm="1">
        <f t="array" aca="1" ref="H30" ca="1">_FV(table1[[#This Row],[DataField]],"52 week high",TRUE)</f>
        <v>80.165000000000006</v>
      </c>
      <c r="I30" s="4" cm="1">
        <f t="array" aca="1" ref="I30" ca="1">_FV(table1[[#This Row],[DataField]],"P/E",TRUE)</f>
        <v>30.5322</v>
      </c>
      <c r="J30" s="2" t="str">
        <f ca="1">IF(table1[[#This Row],[Price]] &lt; (table1[[#This Row],[52Low]] * 0.25) + table1[[#This Row],[52Low]],  "TRUE", "FALSE")</f>
        <v>TRUE</v>
      </c>
      <c r="K30" s="2" t="str">
        <f ca="1">IF(table1[[#This Row],[Price]] &lt; (table1[[#This Row],[52Low]] * 0.1) + table1[[#This Row],[52Low]],  "TRUE", "FALSE")</f>
        <v>TRUE</v>
      </c>
      <c r="L30" s="6" cm="1">
        <f t="array" aca="1" ref="L30" ca="1">_FV(table1[[#This Row],[DataField]],"Market cap",TRUE)</f>
        <v>76047274710</v>
      </c>
    </row>
    <row r="31" spans="1:12" x14ac:dyDescent="0.2">
      <c r="A31" t="e" vm="31">
        <v>#VALUE!</v>
      </c>
      <c r="B31" t="str" cm="1">
        <f t="array" aca="1" ref="B31" ca="1">_FV(table1[[#This Row],[DataField]],"Ticker symbol",TRUE)</f>
        <v>MCD</v>
      </c>
      <c r="C31">
        <v>1</v>
      </c>
      <c r="D31">
        <v>500</v>
      </c>
      <c r="E31">
        <v>14</v>
      </c>
      <c r="F31" s="2" cm="1">
        <f t="array" aca="1" ref="F31" ca="1">_FV(table1[[#This Row],[DataField]],"Price")</f>
        <v>305.89999999999998</v>
      </c>
      <c r="G31" s="2" cm="1">
        <f t="array" aca="1" ref="G31" ca="1">_FV(table1[[#This Row],[DataField]],"52 week low",TRUE)</f>
        <v>283.47000000000003</v>
      </c>
      <c r="H31" s="2" cm="1">
        <f t="array" aca="1" ref="H31" ca="1">_FV(table1[[#This Row],[DataField]],"52 week high",TRUE)</f>
        <v>341.75</v>
      </c>
      <c r="I31" s="4" cm="1">
        <f t="array" aca="1" ref="I31" ca="1">_FV(table1[[#This Row],[DataField]],"P/E",TRUE)</f>
        <v>25.8445</v>
      </c>
      <c r="J31" s="2" t="str">
        <f ca="1">IF(table1[[#This Row],[Price]] &lt; (table1[[#This Row],[52Low]] * 0.25) + table1[[#This Row],[52Low]],  "TRUE", "FALSE")</f>
        <v>TRUE</v>
      </c>
      <c r="K31" s="2" t="str">
        <f ca="1">IF(table1[[#This Row],[Price]] &lt; (table1[[#This Row],[52Low]] * 0.1) + table1[[#This Row],[52Low]],  "TRUE", "FALSE")</f>
        <v>TRUE</v>
      </c>
      <c r="L31" s="6" cm="1">
        <f t="array" aca="1" ref="L31" ca="1">_FV(table1[[#This Row],[DataField]],"Market cap",TRUE)</f>
        <v>217310931739</v>
      </c>
    </row>
    <row r="32" spans="1:12" x14ac:dyDescent="0.2">
      <c r="A32" t="e" vm="32">
        <v>#VALUE!</v>
      </c>
      <c r="B32" t="str" cm="1">
        <f t="array" aca="1" ref="B32" ca="1">_FV(table1[[#This Row],[DataField]],"Ticker symbol",TRUE)</f>
        <v>COST</v>
      </c>
      <c r="C32">
        <v>1</v>
      </c>
      <c r="D32">
        <v>500</v>
      </c>
      <c r="E32">
        <v>15</v>
      </c>
      <c r="F32" s="2" cm="1">
        <f t="array" aca="1" ref="F32" ca="1">_FV(table1[[#This Row],[DataField]],"Price")</f>
        <v>983.86</v>
      </c>
      <c r="G32" s="2" cm="1">
        <f t="array" aca="1" ref="G32" ca="1">_FV(table1[[#This Row],[DataField]],"52 week low",TRUE)</f>
        <v>844.06</v>
      </c>
      <c r="H32" s="2" cm="1">
        <f t="array" aca="1" ref="H32" ca="1">_FV(table1[[#This Row],[DataField]],"52 week high",TRUE)</f>
        <v>1067.08</v>
      </c>
      <c r="I32" s="4" cm="1">
        <f t="array" aca="1" ref="I32" ca="1">_FV(table1[[#This Row],[DataField]],"P/E",TRUE)</f>
        <v>52.702500000000001</v>
      </c>
      <c r="J32" s="2" t="str">
        <f ca="1">IF(table1[[#This Row],[Price]] &lt; (table1[[#This Row],[52Low]] * 0.25) + table1[[#This Row],[52Low]],  "TRUE", "FALSE")</f>
        <v>TRUE</v>
      </c>
      <c r="K32" s="2" t="str">
        <f ca="1">IF(table1[[#This Row],[Price]] &lt; (table1[[#This Row],[52Low]] * 0.1) + table1[[#This Row],[52Low]],  "TRUE", "FALSE")</f>
        <v>FALSE</v>
      </c>
      <c r="L32" s="6" cm="1">
        <f t="array" aca="1" ref="L32" ca="1">_FV(table1[[#This Row],[DataField]],"Market cap",TRUE)</f>
        <v>436491948650</v>
      </c>
    </row>
    <row r="33" spans="1:12" x14ac:dyDescent="0.2">
      <c r="A33" t="e" vm="33">
        <v>#VALUE!</v>
      </c>
      <c r="B33" t="str" cm="1">
        <f t="array" aca="1" ref="B33" ca="1">_FV(table1[[#This Row],[DataField]],"Ticker symbol",TRUE)</f>
        <v>HD</v>
      </c>
      <c r="C33">
        <v>0</v>
      </c>
      <c r="D33">
        <v>500</v>
      </c>
      <c r="E33">
        <v>15</v>
      </c>
      <c r="F33" s="2" cm="1">
        <f t="array" aca="1" ref="F33" ca="1">_FV(table1[[#This Row],[DataField]],"Price")</f>
        <v>321.64999999999998</v>
      </c>
      <c r="G33" s="2" cm="1">
        <f t="array" aca="1" ref="G33" ca="1">_FV(table1[[#This Row],[DataField]],"52 week low",TRUE)</f>
        <v>320.2645</v>
      </c>
      <c r="H33" s="2" cm="1">
        <f t="array" aca="1" ref="H33" ca="1">_FV(table1[[#This Row],[DataField]],"52 week high",TRUE)</f>
        <v>426.75</v>
      </c>
      <c r="I33" s="4" cm="1">
        <f t="array" aca="1" ref="I33" ca="1">_FV(table1[[#This Row],[DataField]],"P/E",TRUE)</f>
        <v>23.0717</v>
      </c>
      <c r="J33" s="2" t="str">
        <f ca="1">IF(table1[[#This Row],[Price]] &lt; (table1[[#This Row],[52Low]] * 0.25) + table1[[#This Row],[52Low]],  "TRUE", "FALSE")</f>
        <v>TRUE</v>
      </c>
      <c r="K33" s="2" t="str">
        <f ca="1">IF(table1[[#This Row],[Price]] &lt; (table1[[#This Row],[52Low]] * 0.1) + table1[[#This Row],[52Low]],  "TRUE", "FALSE")</f>
        <v>TRUE</v>
      </c>
      <c r="L33" s="6" cm="1">
        <f t="array" aca="1" ref="L33" ca="1">_FV(table1[[#This Row],[DataField]],"Market cap",TRUE)</f>
        <v>320367098975</v>
      </c>
    </row>
    <row r="34" spans="1:12" x14ac:dyDescent="0.2">
      <c r="A34" t="e" vm="34">
        <v>#VALUE!</v>
      </c>
      <c r="B34" t="str" cm="1">
        <f t="array" aca="1" ref="B34" ca="1">_FV(table1[[#This Row],[DataField]],"Ticker symbol",TRUE)</f>
        <v>LOW</v>
      </c>
      <c r="C34">
        <v>0</v>
      </c>
      <c r="D34">
        <v>500</v>
      </c>
      <c r="E34">
        <v>15</v>
      </c>
      <c r="F34" s="2" cm="1">
        <f t="array" aca="1" ref="F34" ca="1">_FV(table1[[#This Row],[DataField]],"Price")</f>
        <v>230.31</v>
      </c>
      <c r="G34" s="2" cm="1">
        <f t="array" aca="1" ref="G34" ca="1">_FV(table1[[#This Row],[DataField]],"52 week low",TRUE)</f>
        <v>206.38499999999999</v>
      </c>
      <c r="H34" s="2" cm="1">
        <f t="array" aca="1" ref="H34" ca="1">_FV(table1[[#This Row],[DataField]],"52 week high",TRUE)</f>
        <v>293.06</v>
      </c>
      <c r="I34" s="4" cm="1">
        <f t="array" aca="1" ref="I34" ca="1">_FV(table1[[#This Row],[DataField]],"P/E",TRUE)</f>
        <v>19.923500000000001</v>
      </c>
      <c r="J34" s="2" t="str">
        <f ca="1">IF(table1[[#This Row],[Price]] &lt; (table1[[#This Row],[52Low]] * 0.25) + table1[[#This Row],[52Low]],  "TRUE", "FALSE")</f>
        <v>TRUE</v>
      </c>
      <c r="K34" s="2" t="str">
        <f ca="1">IF(table1[[#This Row],[Price]] &lt; (table1[[#This Row],[52Low]] * 0.1) + table1[[#This Row],[52Low]],  "TRUE", "FALSE")</f>
        <v>FALSE</v>
      </c>
      <c r="L34" s="6" cm="1">
        <f t="array" aca="1" ref="L34" ca="1">_FV(table1[[#This Row],[DataField]],"Market cap",TRUE)</f>
        <v>128988201654</v>
      </c>
    </row>
    <row r="35" spans="1:12" x14ac:dyDescent="0.2">
      <c r="A35" t="e" vm="35">
        <v>#VALUE!</v>
      </c>
      <c r="B35" t="str" cm="1">
        <f t="array" aca="1" ref="B35" ca="1">_FV(table1[[#This Row],[DataField]],"Ticker symbol",TRUE)</f>
        <v>TGT</v>
      </c>
      <c r="C35">
        <v>1</v>
      </c>
      <c r="D35">
        <v>500</v>
      </c>
      <c r="E35">
        <v>15</v>
      </c>
      <c r="F35" s="2" cm="1">
        <f t="array" aca="1" ref="F35" ca="1">_FV(table1[[#This Row],[DataField]],"Price")</f>
        <v>119.84</v>
      </c>
      <c r="G35" s="2" cm="1">
        <f t="array" aca="1" ref="G35" ca="1">_FV(table1[[#This Row],[DataField]],"52 week low",TRUE)</f>
        <v>83.44</v>
      </c>
      <c r="H35" s="2" cm="1">
        <f t="array" aca="1" ref="H35" ca="1">_FV(table1[[#This Row],[DataField]],"52 week high",TRUE)</f>
        <v>126</v>
      </c>
      <c r="I35" s="4" cm="1">
        <f t="array" aca="1" ref="I35" ca="1">_FV(table1[[#This Row],[DataField]],"P/E",TRUE)</f>
        <v>14.1968</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54270215104</v>
      </c>
    </row>
    <row r="36" spans="1:12" x14ac:dyDescent="0.2">
      <c r="A36" t="e" vm="36">
        <v>#VALUE!</v>
      </c>
      <c r="B36" t="str" cm="1">
        <f t="array" aca="1" ref="B36" ca="1">_FV(table1[[#This Row],[DataField]],"Ticker symbol",TRUE)</f>
        <v>WMT</v>
      </c>
      <c r="C36">
        <v>1</v>
      </c>
      <c r="D36">
        <v>500</v>
      </c>
      <c r="E36">
        <v>15</v>
      </c>
      <c r="F36" s="2" cm="1">
        <f t="array" aca="1" ref="F36" ca="1">_FV(table1[[#This Row],[DataField]],"Price")</f>
        <v>122.89</v>
      </c>
      <c r="G36" s="2" cm="1">
        <f t="array" aca="1" ref="G36" ca="1">_FV(table1[[#This Row],[DataField]],"52 week low",TRUE)</f>
        <v>79.81</v>
      </c>
      <c r="H36" s="2" cm="1">
        <f t="array" aca="1" ref="H36" ca="1">_FV(table1[[#This Row],[DataField]],"52 week high",TRUE)</f>
        <v>134.69</v>
      </c>
      <c r="I36" s="4" cm="1">
        <f t="array" aca="1" ref="I36" ca="1">_FV(table1[[#This Row],[DataField]],"P/E",TRUE)</f>
        <v>45.019599999999997</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979728481780</v>
      </c>
    </row>
    <row r="37" spans="1:12" x14ac:dyDescent="0.2">
      <c r="A37" t="e" vm="37">
        <v>#VALUE!</v>
      </c>
      <c r="B37" t="str" cm="1">
        <f t="array" aca="1" ref="B37" ca="1">_FV(table1[[#This Row],[DataField]],"Ticker symbol",TRUE)</f>
        <v>V</v>
      </c>
      <c r="C37">
        <v>0</v>
      </c>
      <c r="D37">
        <v>500</v>
      </c>
      <c r="E37">
        <v>21</v>
      </c>
      <c r="F37" s="2" cm="1">
        <f t="array" aca="1" ref="F37" ca="1">_FV(table1[[#This Row],[DataField]],"Price")</f>
        <v>295.52</v>
      </c>
      <c r="G37" s="2" cm="1">
        <f t="array" aca="1" ref="G37" ca="1">_FV(table1[[#This Row],[DataField]],"52 week low",TRUE)</f>
        <v>294.32</v>
      </c>
      <c r="H37" s="2" cm="1">
        <f t="array" aca="1" ref="H37" ca="1">_FV(table1[[#This Row],[DataField]],"52 week high",TRUE)</f>
        <v>375.51</v>
      </c>
      <c r="I37" s="4" cm="1">
        <f t="array" aca="1" ref="I37" ca="1">_FV(table1[[#This Row],[DataField]],"P/E",TRUE)</f>
        <v>28.669499999999999</v>
      </c>
      <c r="J37" s="2" t="str">
        <f ca="1">IF(table1[[#This Row],[Price]] &lt; (table1[[#This Row],[52Low]] * 0.25) + table1[[#This Row],[52Low]],  "TRUE", "FALSE")</f>
        <v>TRUE</v>
      </c>
      <c r="K37" s="2" t="str">
        <f ca="1">IF(table1[[#This Row],[Price]] &lt; (table1[[#This Row],[52Low]] * 0.1) + table1[[#This Row],[52Low]],  "TRUE", "FALSE")</f>
        <v>TRUE</v>
      </c>
      <c r="L37" s="6" cm="1">
        <f t="array" aca="1" ref="L37" ca="1">_FV(table1[[#This Row],[DataField]],"Market cap",TRUE)</f>
        <v>563263779680</v>
      </c>
    </row>
    <row r="38" spans="1:12" x14ac:dyDescent="0.2">
      <c r="A38" t="e" vm="38">
        <v>#VALUE!</v>
      </c>
      <c r="B38" t="str" cm="1">
        <f t="array" aca="1" ref="B38" ca="1">_FV(table1[[#This Row],[DataField]],"Ticker symbol",TRUE)</f>
        <v>UPS</v>
      </c>
      <c r="C38">
        <v>0</v>
      </c>
      <c r="D38">
        <v>500</v>
      </c>
      <c r="E38">
        <v>22</v>
      </c>
      <c r="F38" s="2" cm="1">
        <f t="array" aca="1" ref="F38" ca="1">_FV(table1[[#This Row],[DataField]],"Price")</f>
        <v>94.8</v>
      </c>
      <c r="G38" s="2" cm="1">
        <f t="array" aca="1" ref="G38" ca="1">_FV(table1[[#This Row],[DataField]],"52 week low",TRUE)</f>
        <v>82</v>
      </c>
      <c r="H38" s="2" cm="1">
        <f t="array" aca="1" ref="H38" ca="1">_FV(table1[[#This Row],[DataField]],"52 week high",TRUE)</f>
        <v>122.41</v>
      </c>
      <c r="I38" s="4" cm="1">
        <f t="array" aca="1" ref="I38" ca="1">_FV(table1[[#This Row],[DataField]],"P/E",TRUE)</f>
        <v>14.8619</v>
      </c>
      <c r="J38" s="2" t="str">
        <f ca="1">IF(table1[[#This Row],[Price]] &lt; (table1[[#This Row],[52Low]] * 0.25) + table1[[#This Row],[52Low]],  "TRUE", "FALSE")</f>
        <v>TRUE</v>
      </c>
      <c r="K38" s="2" t="str">
        <f ca="1">IF(table1[[#This Row],[Price]] &lt; (table1[[#This Row],[52Low]] * 0.1) + table1[[#This Row],[52Low]],  "TRUE", "FALSE")</f>
        <v>FALSE</v>
      </c>
      <c r="L38" s="6" cm="1">
        <f t="array" aca="1" ref="L38" ca="1">_FV(table1[[#This Row],[DataField]],"Market cap",TRUE)</f>
        <v>80548990920</v>
      </c>
    </row>
    <row r="39" spans="1:12" x14ac:dyDescent="0.2">
      <c r="A39" t="e" vm="39">
        <v>#VALUE!</v>
      </c>
      <c r="B39" t="str" cm="1">
        <f t="array" aca="1" ref="B39" ca="1">_FV(table1[[#This Row],[DataField]],"Ticker symbol",TRUE)</f>
        <v>ADP</v>
      </c>
      <c r="C39">
        <v>0</v>
      </c>
      <c r="D39">
        <v>500</v>
      </c>
      <c r="E39">
        <v>23</v>
      </c>
      <c r="F39" s="2" cm="1">
        <f t="array" aca="1" ref="F39" ca="1">_FV(table1[[#This Row],[DataField]],"Price")</f>
        <v>201.25</v>
      </c>
      <c r="G39" s="2" cm="1">
        <f t="array" aca="1" ref="G39" ca="1">_FV(table1[[#This Row],[DataField]],"52 week low",TRUE)</f>
        <v>198.59</v>
      </c>
      <c r="H39" s="2" cm="1">
        <f t="array" aca="1" ref="H39" ca="1">_FV(table1[[#This Row],[DataField]],"52 week high",TRUE)</f>
        <v>329.92950000000002</v>
      </c>
      <c r="I39" s="4" cm="1">
        <f t="array" aca="1" ref="I39" ca="1">_FV(table1[[#This Row],[DataField]],"P/E",TRUE)</f>
        <v>19.332699999999999</v>
      </c>
      <c r="J39" s="2" t="str">
        <f ca="1">IF(table1[[#This Row],[Price]] &lt; (table1[[#This Row],[52Low]] * 0.25) + table1[[#This Row],[52Low]],  "TRUE", "FALSE")</f>
        <v>TRUE</v>
      </c>
      <c r="K39" s="2" t="str">
        <f ca="1">IF(table1[[#This Row],[Price]] &lt; (table1[[#This Row],[52Low]] * 0.1) + table1[[#This Row],[52Low]],  "TRUE", "FALSE")</f>
        <v>TRUE</v>
      </c>
      <c r="L39" s="6" cm="1">
        <f t="array" aca="1" ref="L39" ca="1">_FV(table1[[#This Row],[DataField]],"Market cap",TRUE)</f>
        <v>81032165375</v>
      </c>
    </row>
    <row r="40" spans="1:12" x14ac:dyDescent="0.2">
      <c r="A40" t="e" vm="40">
        <v>#VALUE!</v>
      </c>
      <c r="B40" t="str" cm="1">
        <f t="array" aca="1" ref="B40" ca="1">_FV(table1[[#This Row],[DataField]],"Ticker symbol",TRUE)</f>
        <v>EMN</v>
      </c>
      <c r="C40">
        <v>0</v>
      </c>
      <c r="D40">
        <v>500</v>
      </c>
      <c r="E40">
        <v>31</v>
      </c>
      <c r="F40" s="2" cm="1">
        <f t="array" aca="1" ref="F40" ca="1">_FV(table1[[#This Row],[DataField]],"Price")</f>
        <v>71.2</v>
      </c>
      <c r="G40" s="2" cm="1">
        <f t="array" aca="1" ref="G40" ca="1">_FV(table1[[#This Row],[DataField]],"52 week low",TRUE)</f>
        <v>56.11</v>
      </c>
      <c r="H40" s="2" cm="1">
        <f t="array" aca="1" ref="H40" ca="1">_FV(table1[[#This Row],[DataField]],"52 week high",TRUE)</f>
        <v>89.55</v>
      </c>
      <c r="I40" s="4" cm="1">
        <f t="array" aca="1" ref="I40" ca="1">_FV(table1[[#This Row],[DataField]],"P/E",TRUE)</f>
        <v>19.060400000000001</v>
      </c>
      <c r="J40" s="2" t="str">
        <f ca="1">IF(table1[[#This Row],[Price]] &lt; (table1[[#This Row],[52Low]] * 0.25) + table1[[#This Row],[52Low]],  "TRUE", "FALSE")</f>
        <v>FALSE</v>
      </c>
      <c r="K40" s="2" t="str">
        <f ca="1">IF(table1[[#This Row],[Price]] &lt; (table1[[#This Row],[52Low]] * 0.1) + table1[[#This Row],[52Low]],  "TRUE", "FALSE")</f>
        <v>FALSE</v>
      </c>
      <c r="L40" s="6" cm="1">
        <f t="array" aca="1" ref="L40" ca="1">_FV(table1[[#This Row],[DataField]],"Market cap",TRUE)</f>
        <v>8141712880</v>
      </c>
    </row>
    <row r="41" spans="1:12" x14ac:dyDescent="0.2">
      <c r="A41" t="e" vm="41">
        <v>#VALUE!</v>
      </c>
      <c r="B41" t="str" cm="1">
        <f t="array" aca="1" ref="B41" ca="1">_FV(table1[[#This Row],[DataField]],"Ticker symbol",TRUE)</f>
        <v>LYB</v>
      </c>
      <c r="C41">
        <v>0</v>
      </c>
      <c r="D41">
        <v>500</v>
      </c>
      <c r="E41">
        <v>31</v>
      </c>
      <c r="F41" s="2" cm="1">
        <f t="array" aca="1" ref="F41" ca="1">_FV(table1[[#This Row],[DataField]],"Price")</f>
        <v>80.45</v>
      </c>
      <c r="G41" s="2" cm="1">
        <f t="array" aca="1" ref="G41" ca="1">_FV(table1[[#This Row],[DataField]],"52 week low",TRUE)</f>
        <v>41.58</v>
      </c>
      <c r="H41" s="2" cm="1">
        <f t="array" aca="1" ref="H41" ca="1">_FV(table1[[#This Row],[DataField]],"52 week high",TRUE)</f>
        <v>81.260000000000005</v>
      </c>
      <c r="I41" s="4" t="e" cm="1" vm="25">
        <f t="array" ref="I41">_FV(table1[[#This Row],[DataField]],"P/E",TRUE)</f>
        <v>#VALUE!</v>
      </c>
      <c r="J41" s="2" t="str">
        <f ca="1">IF(table1[[#This Row],[Price]] &lt; (table1[[#This Row],[52Low]] * 0.25) + table1[[#This Row],[52Low]],  "TRUE", "FALSE")</f>
        <v>FALSE</v>
      </c>
      <c r="K41" s="2" t="str">
        <f ca="1">IF(table1[[#This Row],[Price]] &lt; (table1[[#This Row],[52Low]] * 0.1) + table1[[#This Row],[52Low]],  "TRUE", "FALSE")</f>
        <v>FALSE</v>
      </c>
      <c r="L41" s="6" cm="1">
        <f t="array" aca="1" ref="L41" ca="1">_FV(table1[[#This Row],[DataField]],"Market cap",TRUE)</f>
        <v>25918576500</v>
      </c>
    </row>
    <row r="42" spans="1:12" x14ac:dyDescent="0.2">
      <c r="A42" t="e" vm="42">
        <v>#VALUE!</v>
      </c>
      <c r="B42" t="str" cm="1">
        <f t="array" aca="1" ref="B42" ca="1">_FV(table1[[#This Row],[DataField]],"Ticker symbol",TRUE)</f>
        <v>CVS</v>
      </c>
      <c r="C42">
        <v>0</v>
      </c>
      <c r="D42">
        <v>500</v>
      </c>
      <c r="E42">
        <v>40</v>
      </c>
      <c r="F42" s="2" cm="1">
        <f t="array" aca="1" ref="F42" ca="1">_FV(table1[[#This Row],[DataField]],"Price")</f>
        <v>70.08</v>
      </c>
      <c r="G42" s="2" cm="1">
        <f t="array" aca="1" ref="G42" ca="1">_FV(table1[[#This Row],[DataField]],"52 week low",TRUE)</f>
        <v>58.35</v>
      </c>
      <c r="H42" s="2" cm="1">
        <f t="array" aca="1" ref="H42" ca="1">_FV(table1[[#This Row],[DataField]],"52 week high",TRUE)</f>
        <v>85.15</v>
      </c>
      <c r="I42" s="4" cm="1">
        <f t="array" aca="1" ref="I42" ca="1">_FV(table1[[#This Row],[DataField]],"P/E",TRUE)</f>
        <v>52.051900000000003</v>
      </c>
      <c r="J42" s="2" t="str">
        <f ca="1">IF(table1[[#This Row],[Price]] &lt; (table1[[#This Row],[52Low]] * 0.25) + table1[[#This Row],[52Low]],  "TRUE", "FALSE")</f>
        <v>TRUE</v>
      </c>
      <c r="K42" s="2" t="str">
        <f ca="1">IF(table1[[#This Row],[Price]] &lt; (table1[[#This Row],[52Low]] * 0.1) + table1[[#This Row],[52Low]],  "TRUE", "FALSE")</f>
        <v>FALSE</v>
      </c>
      <c r="L42" s="6" cm="1">
        <f t="array" aca="1" ref="L42" ca="1">_FV(table1[[#This Row],[DataField]],"Market cap",TRUE)</f>
        <v>89156546880</v>
      </c>
    </row>
    <row r="43" spans="1:12" x14ac:dyDescent="0.2">
      <c r="A43" t="e" vm="43">
        <v>#VALUE!</v>
      </c>
      <c r="B43" t="str" cm="1">
        <f t="array" aca="1" ref="B43" ca="1">_FV(table1[[#This Row],[DataField]],"Ticker symbol",TRUE)</f>
        <v>JNJ</v>
      </c>
      <c r="C43">
        <v>0</v>
      </c>
      <c r="D43">
        <v>500</v>
      </c>
      <c r="E43">
        <v>40</v>
      </c>
      <c r="F43" s="2" cm="1">
        <f t="array" aca="1" ref="F43" ca="1">_FV(table1[[#This Row],[DataField]],"Price")</f>
        <v>240.45</v>
      </c>
      <c r="G43" s="2" cm="1">
        <f t="array" aca="1" ref="G43" ca="1">_FV(table1[[#This Row],[DataField]],"52 week low",TRUE)</f>
        <v>141.5</v>
      </c>
      <c r="H43" s="2" cm="1">
        <f t="array" aca="1" ref="H43" ca="1">_FV(table1[[#This Row],[DataField]],"52 week high",TRUE)</f>
        <v>251.71</v>
      </c>
      <c r="I43" s="4" cm="1">
        <f t="array" aca="1" ref="I43" ca="1">_FV(table1[[#This Row],[DataField]],"P/E",TRUE)</f>
        <v>21.6661</v>
      </c>
      <c r="J43" s="2" t="str">
        <f ca="1">IF(table1[[#This Row],[Price]] &lt; (table1[[#This Row],[52Low]] * 0.25) + table1[[#This Row],[52Low]],  "TRUE", "FALSE")</f>
        <v>FALSE</v>
      </c>
      <c r="K43" s="2" t="str">
        <f ca="1">IF(table1[[#This Row],[Price]] &lt; (table1[[#This Row],[52Low]] * 0.1) + table1[[#This Row],[52Low]],  "TRUE", "FALSE")</f>
        <v>FALSE</v>
      </c>
      <c r="L43" s="6" cm="1">
        <f t="array" aca="1" ref="L43" ca="1">_FV(table1[[#This Row],[DataField]],"Market cap",TRUE)</f>
        <v>579150995850</v>
      </c>
    </row>
    <row r="44" spans="1:12" x14ac:dyDescent="0.2">
      <c r="A44" t="e" vm="44">
        <v>#VALUE!</v>
      </c>
      <c r="B44" t="str" cm="1">
        <f t="array" aca="1" ref="B44" ca="1">_FV(table1[[#This Row],[DataField]],"Ticker symbol",TRUE)</f>
        <v>MDT</v>
      </c>
      <c r="C44">
        <v>0</v>
      </c>
      <c r="D44">
        <v>500</v>
      </c>
      <c r="E44">
        <v>40</v>
      </c>
      <c r="F44" s="2" cm="1">
        <f t="array" aca="1" ref="F44" ca="1">_FV(table1[[#This Row],[DataField]],"Price")</f>
        <v>87.14</v>
      </c>
      <c r="G44" s="2" cm="1">
        <f t="array" aca="1" ref="G44" ca="1">_FV(table1[[#This Row],[DataField]],"52 week low",TRUE)</f>
        <v>79.55</v>
      </c>
      <c r="H44" s="2" cm="1">
        <f t="array" aca="1" ref="H44" ca="1">_FV(table1[[#This Row],[DataField]],"52 week high",TRUE)</f>
        <v>106.33</v>
      </c>
      <c r="I44" s="4" cm="1">
        <f t="array" aca="1" ref="I44" ca="1">_FV(table1[[#This Row],[DataField]],"P/E",TRUE)</f>
        <v>24.282499999999999</v>
      </c>
      <c r="J44" s="2" t="str">
        <f ca="1">IF(table1[[#This Row],[Price]] &lt; (table1[[#This Row],[52Low]] * 0.25) + table1[[#This Row],[52Low]],  "TRUE", "FALSE")</f>
        <v>TRUE</v>
      </c>
      <c r="K44" s="2" t="str">
        <f ca="1">IF(table1[[#This Row],[Price]] &lt; (table1[[#This Row],[52Low]] * 0.1) + table1[[#This Row],[52Low]],  "TRUE", "FALSE")</f>
        <v>TRUE</v>
      </c>
      <c r="L44" s="6" cm="1">
        <f t="array" aca="1" ref="L44" ca="1">_FV(table1[[#This Row],[DataField]],"Market cap",TRUE)</f>
        <v>111877738900</v>
      </c>
    </row>
    <row r="45" spans="1:12" x14ac:dyDescent="0.2">
      <c r="A45" t="e" vm="45">
        <v>#VALUE!</v>
      </c>
      <c r="B45" t="str" cm="1">
        <f t="array" aca="1" ref="B45" ca="1">_FV(table1[[#This Row],[DataField]],"Ticker symbol",TRUE)</f>
        <v>UNH</v>
      </c>
      <c r="C45">
        <v>0</v>
      </c>
      <c r="D45">
        <v>500</v>
      </c>
      <c r="E45">
        <v>40</v>
      </c>
      <c r="F45" s="2" cm="1">
        <f t="array" aca="1" ref="F45" ca="1">_FV(table1[[#This Row],[DataField]],"Price")</f>
        <v>259.02</v>
      </c>
      <c r="G45" s="2" cm="1">
        <f t="array" aca="1" ref="G45" ca="1">_FV(table1[[#This Row],[DataField]],"52 week low",TRUE)</f>
        <v>234.6</v>
      </c>
      <c r="H45" s="2" cm="1">
        <f t="array" aca="1" ref="H45" ca="1">_FV(table1[[#This Row],[DataField]],"52 week high",TRUE)</f>
        <v>606.36</v>
      </c>
      <c r="I45" s="4" cm="1">
        <f t="array" aca="1" ref="I45" ca="1">_FV(table1[[#This Row],[DataField]],"P/E",TRUE)</f>
        <v>20.316400000000002</v>
      </c>
      <c r="J45" s="2" t="str">
        <f ca="1">IF(table1[[#This Row],[Price]] &lt; (table1[[#This Row],[52Low]] * 0.25) + table1[[#This Row],[52Low]],  "TRUE", "FALSE")</f>
        <v>TRUE</v>
      </c>
      <c r="K45" s="2" t="str">
        <f ca="1">IF(table1[[#This Row],[Price]] &lt; (table1[[#This Row],[52Low]] * 0.1) + table1[[#This Row],[52Low]],  "TRUE", "FALSE")</f>
        <v>FALSE</v>
      </c>
      <c r="L45" s="6" cm="1">
        <f t="array" aca="1" ref="L45" ca="1">_FV(table1[[#This Row],[DataField]],"Market cap",TRUE)</f>
        <v>235106185715</v>
      </c>
    </row>
    <row r="46" spans="1:12" x14ac:dyDescent="0.2">
      <c r="A46" t="e" vm="46">
        <v>#VALUE!</v>
      </c>
      <c r="B46" t="str" cm="1">
        <f t="array" aca="1" ref="B46" ca="1">_FV(table1[[#This Row],[DataField]],"Ticker symbol",TRUE)</f>
        <v>BLK</v>
      </c>
      <c r="C46">
        <v>0</v>
      </c>
      <c r="D46">
        <v>500</v>
      </c>
      <c r="E46">
        <v>50</v>
      </c>
      <c r="F46" s="2" cm="1">
        <f t="array" aca="1" ref="F46" ca="1">_FV(table1[[#This Row],[DataField]],"Price")</f>
        <v>933.85</v>
      </c>
      <c r="G46" s="2" cm="1">
        <f t="array" aca="1" ref="G46" ca="1">_FV(table1[[#This Row],[DataField]],"52 week low",TRUE)</f>
        <v>773.74009999999998</v>
      </c>
      <c r="H46" s="2" cm="1">
        <f t="array" aca="1" ref="H46" ca="1">_FV(table1[[#This Row],[DataField]],"52 week high",TRUE)</f>
        <v>1219.9399000000001</v>
      </c>
      <c r="I46" s="4" cm="1">
        <f t="array" aca="1" ref="I46" ca="1">_FV(table1[[#This Row],[DataField]],"P/E",TRUE)</f>
        <v>27.944500000000001</v>
      </c>
      <c r="J46" s="2" t="str">
        <f ca="1">IF(table1[[#This Row],[Price]] &lt; (table1[[#This Row],[52Low]] * 0.25) + table1[[#This Row],[52Low]],  "TRUE", "FALSE")</f>
        <v>TRUE</v>
      </c>
      <c r="K46" s="2" t="str">
        <f ca="1">IF(table1[[#This Row],[Price]] &lt; (table1[[#This Row],[52Low]] * 0.1) + table1[[#This Row],[52Low]],  "TRUE", "FALSE")</f>
        <v>FALSE</v>
      </c>
      <c r="L46" s="6" cm="1">
        <f t="array" aca="1" ref="L46" ca="1">_FV(table1[[#This Row],[DataField]],"Market cap",TRUE)</f>
        <v>145252429775</v>
      </c>
    </row>
    <row r="47" spans="1:12" x14ac:dyDescent="0.2">
      <c r="A47" t="e" vm="47">
        <v>#VALUE!</v>
      </c>
      <c r="B47" t="str" cm="1">
        <f t="array" aca="1" ref="B47" ca="1">_FV(table1[[#This Row],[DataField]],"Ticker symbol",TRUE)</f>
        <v>BMY</v>
      </c>
      <c r="C47">
        <v>0</v>
      </c>
      <c r="D47">
        <v>500</v>
      </c>
      <c r="E47">
        <v>50</v>
      </c>
      <c r="F47" s="2" cm="1">
        <f t="array" aca="1" ref="F47" ca="1">_FV(table1[[#This Row],[DataField]],"Price")</f>
        <v>58.54</v>
      </c>
      <c r="G47" s="2" cm="1">
        <f t="array" aca="1" ref="G47" ca="1">_FV(table1[[#This Row],[DataField]],"52 week low",TRUE)</f>
        <v>42.52</v>
      </c>
      <c r="H47" s="2" cm="1">
        <f t="array" aca="1" ref="H47" ca="1">_FV(table1[[#This Row],[DataField]],"52 week high",TRUE)</f>
        <v>62.886400000000002</v>
      </c>
      <c r="I47" s="4" cm="1">
        <f t="array" aca="1" ref="I47" ca="1">_FV(table1[[#This Row],[DataField]],"P/E",TRUE)</f>
        <v>17.210599999999999</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119523166900</v>
      </c>
    </row>
    <row r="48" spans="1:12" x14ac:dyDescent="0.2">
      <c r="A48" t="e" vm="48">
        <v>#VALUE!</v>
      </c>
      <c r="B48" t="str" cm="1">
        <f t="array" aca="1" ref="B48" ca="1">_FV(table1[[#This Row],[DataField]],"Ticker symbol",TRUE)</f>
        <v>TROW</v>
      </c>
      <c r="C48">
        <v>0</v>
      </c>
      <c r="D48">
        <v>500</v>
      </c>
      <c r="E48">
        <v>50</v>
      </c>
      <c r="F48" s="2" cm="1">
        <f t="array" aca="1" ref="F48" ca="1">_FV(table1[[#This Row],[DataField]],"Price")</f>
        <v>88.45</v>
      </c>
      <c r="G48" s="2" cm="1">
        <f t="array" aca="1" ref="G48" ca="1">_FV(table1[[#This Row],[DataField]],"52 week low",TRUE)</f>
        <v>77.849999999999994</v>
      </c>
      <c r="H48" s="2" cm="1">
        <f t="array" aca="1" ref="H48" ca="1">_FV(table1[[#This Row],[DataField]],"52 week high",TRUE)</f>
        <v>118.22</v>
      </c>
      <c r="I48" s="4" cm="1">
        <f t="array" aca="1" ref="I48" ca="1">_FV(table1[[#This Row],[DataField]],"P/E",TRUE)</f>
        <v>9.5675000000000008</v>
      </c>
      <c r="J48" s="2" t="str">
        <f ca="1">IF(table1[[#This Row],[Price]] &lt; (table1[[#This Row],[52Low]] * 0.25) + table1[[#This Row],[52Low]],  "TRUE", "FALSE")</f>
        <v>TRUE</v>
      </c>
      <c r="K48" s="2" t="str">
        <f ca="1">IF(table1[[#This Row],[Price]] &lt; (table1[[#This Row],[52Low]] * 0.1) + table1[[#This Row],[52Low]],  "TRUE", "FALSE")</f>
        <v>FALSE</v>
      </c>
      <c r="L48" s="6" cm="1">
        <f t="array" aca="1" ref="L48" ca="1">_FV(table1[[#This Row],[DataField]],"Market cap",TRUE)</f>
        <v>19247241855</v>
      </c>
    </row>
    <row r="49" spans="1:12" x14ac:dyDescent="0.2">
      <c r="A49" t="e" vm="49">
        <v>#VALUE!</v>
      </c>
      <c r="B49" t="str" cm="1">
        <f t="array" aca="1" ref="B49" ca="1">_FV(table1[[#This Row],[DataField]],"Ticker symbol",TRUE)</f>
        <v>VICI</v>
      </c>
      <c r="C49">
        <v>0</v>
      </c>
      <c r="D49">
        <v>0</v>
      </c>
      <c r="E49">
        <v>80</v>
      </c>
      <c r="F49" s="2" cm="1">
        <f t="array" aca="1" ref="F49" ca="1">_FV(table1[[#This Row],[DataField]],"Price")</f>
        <v>26.61</v>
      </c>
      <c r="G49" s="2" cm="1">
        <f t="array" aca="1" ref="G49" ca="1">_FV(table1[[#This Row],[DataField]],"52 week low",TRUE)</f>
        <v>26.55</v>
      </c>
      <c r="H49" s="2" cm="1">
        <f t="array" aca="1" ref="H49" ca="1">_FV(table1[[#This Row],[DataField]],"52 week high",TRUE)</f>
        <v>34.01</v>
      </c>
      <c r="I49" s="4" cm="1">
        <f t="array" aca="1" ref="I49" ca="1">_FV(table1[[#This Row],[DataField]],"P/E",TRUE)</f>
        <v>10.398099999999999</v>
      </c>
      <c r="J49" s="2" t="str">
        <f ca="1">IF(table1[[#This Row],[Price]] &lt; (table1[[#This Row],[52Low]] * 0.25) + table1[[#This Row],[52Low]],  "TRUE", "FALSE")</f>
        <v>TRUE</v>
      </c>
      <c r="K49" s="7" t="str">
        <f ca="1">IF(table1[[#This Row],[Price]] &lt; (table1[[#This Row],[52Low]] * 0.1) + table1[[#This Row],[52Low]],  "TRUE", "FALSE")</f>
        <v>TRUE</v>
      </c>
      <c r="L49" s="6" cm="1">
        <f t="array" aca="1" ref="L49" ca="1">_FV(table1[[#This Row],[DataField]],"Market cap",TRUE)</f>
        <v>28445797290</v>
      </c>
    </row>
    <row r="50" spans="1:12" x14ac:dyDescent="0.2">
      <c r="A50" t="e" vm="50">
        <v>#VALUE!</v>
      </c>
      <c r="B50" t="str" cm="1">
        <f t="array" aca="1" ref="B50" ca="1">_FV(table1[[#This Row],[DataField]],"Ticker symbol",TRUE)</f>
        <v>O</v>
      </c>
      <c r="C50">
        <v>0</v>
      </c>
      <c r="D50">
        <v>500</v>
      </c>
      <c r="E50">
        <v>81</v>
      </c>
      <c r="F50" s="2" cm="1">
        <f t="array" aca="1" ref="F50" ca="1">_FV(table1[[#This Row],[DataField]],"Price")</f>
        <v>60.69</v>
      </c>
      <c r="G50" s="2" cm="1">
        <f t="array" aca="1" ref="G50" ca="1">_FV(table1[[#This Row],[DataField]],"52 week low",TRUE)</f>
        <v>50.71</v>
      </c>
      <c r="H50" s="2" cm="1">
        <f t="array" aca="1" ref="H50" ca="1">_FV(table1[[#This Row],[DataField]],"52 week high",TRUE)</f>
        <v>67.935000000000002</v>
      </c>
      <c r="I50" s="4" cm="1">
        <f t="array" aca="1" ref="I50" ca="1">_FV(table1[[#This Row],[DataField]],"P/E",TRUE)</f>
        <v>51.766800000000003</v>
      </c>
      <c r="J50" s="2" t="str">
        <f ca="1">IF(table1[[#This Row],[Price]] &lt; (table1[[#This Row],[52Low]] * 0.25) + table1[[#This Row],[52Low]],  "TRUE", "FALSE")</f>
        <v>TRUE</v>
      </c>
      <c r="K50" s="7" t="str">
        <f ca="1">IF(table1[[#This Row],[Price]] &lt; (table1[[#This Row],[52Low]] * 0.1) + table1[[#This Row],[52Low]],  "TRUE", "FALSE")</f>
        <v>FALSE</v>
      </c>
      <c r="L50" s="6" cm="1">
        <f t="array" aca="1" ref="L50" ca="1">_FV(table1[[#This Row],[DataField]],"Market cap",TRUE)</f>
        <v>56590426914</v>
      </c>
    </row>
    <row r="51" spans="1:12" x14ac:dyDescent="0.2">
      <c r="A51" t="e" vm="51">
        <v>#VALUE!</v>
      </c>
      <c r="B51" t="str" cm="1">
        <f t="array" aca="1" ref="B51" ca="1">_FV(table1[[#This Row],[DataField]],"Ticker symbol",TRUE)</f>
        <v>SPG</v>
      </c>
      <c r="C51">
        <v>0</v>
      </c>
      <c r="D51">
        <v>500</v>
      </c>
      <c r="E51">
        <v>81</v>
      </c>
      <c r="F51" s="2" cm="1">
        <f t="array" aca="1" ref="F51" ca="1">_FV(table1[[#This Row],[DataField]],"Price")</f>
        <v>180.19</v>
      </c>
      <c r="G51" s="2" cm="1">
        <f t="array" aca="1" ref="G51" ca="1">_FV(table1[[#This Row],[DataField]],"52 week low",TRUE)</f>
        <v>136.34</v>
      </c>
      <c r="H51" s="2" cm="1">
        <f t="array" aca="1" ref="H51" ca="1">_FV(table1[[#This Row],[DataField]],"52 week high",TRUE)</f>
        <v>205.11500000000001</v>
      </c>
      <c r="I51" s="4" cm="1">
        <f t="array" aca="1" ref="I51" ca="1">_FV(table1[[#This Row],[DataField]],"P/E",TRUE)</f>
        <v>12.827</v>
      </c>
      <c r="J51" s="2" t="str">
        <f ca="1">IF(table1[[#This Row],[Price]] &lt; (table1[[#This Row],[52Low]] * 0.25) + table1[[#This Row],[52Low]],  "TRUE", "FALSE")</f>
        <v>FALSE</v>
      </c>
      <c r="K51" s="7" t="str">
        <f ca="1">IF(table1[[#This Row],[Price]] &lt; (table1[[#This Row],[52Low]] * 0.1) + table1[[#This Row],[52Low]],  "TRUE", "FALSE")</f>
        <v>FALSE</v>
      </c>
      <c r="L51" s="6" cm="1">
        <f t="array" aca="1" ref="L51" ca="1">_FV(table1[[#This Row],[DataField]],"Market cap",TRUE)</f>
        <v>58553335127</v>
      </c>
    </row>
    <row r="52" spans="1:12" x14ac:dyDescent="0.2">
      <c r="A52" t="e" vm="52">
        <v>#VALUE!</v>
      </c>
      <c r="B52" t="str" cm="1">
        <f t="array" aca="1" ref="B52" ca="1">_FV(table1[[#This Row],[DataField]],"Ticker symbol",TRUE)</f>
        <v>CVX</v>
      </c>
      <c r="C52">
        <v>0</v>
      </c>
      <c r="D52">
        <v>500</v>
      </c>
      <c r="E52">
        <v>91</v>
      </c>
      <c r="F52" s="2" cm="1">
        <f t="array" aca="1" ref="F52" ca="1">_FV(table1[[#This Row],[DataField]],"Price")</f>
        <v>211.15</v>
      </c>
      <c r="G52" s="2" cm="1">
        <f t="array" aca="1" ref="G52" ca="1">_FV(table1[[#This Row],[DataField]],"52 week low",TRUE)</f>
        <v>132.04</v>
      </c>
      <c r="H52" s="2" cm="1">
        <f t="array" aca="1" ref="H52" ca="1">_FV(table1[[#This Row],[DataField]],"52 week high",TRUE)</f>
        <v>212.45500000000001</v>
      </c>
      <c r="I52" s="4" cm="1">
        <f t="array" aca="1" ref="I52" ca="1">_FV(table1[[#This Row],[DataField]],"P/E",TRUE)</f>
        <v>31.265799999999999</v>
      </c>
      <c r="J52" s="2" t="str">
        <f ca="1">IF(table1[[#This Row],[Price]] &lt; (table1[[#This Row],[52Low]] * 0.25) + table1[[#This Row],[52Low]],  "TRUE", "FALSE")</f>
        <v>FALSE</v>
      </c>
      <c r="K52" s="2" t="str">
        <f ca="1">IF(table1[[#This Row],[Price]] &lt; (table1[[#This Row],[52Low]] * 0.1) + table1[[#This Row],[52Low]],  "TRUE", "FALSE")</f>
        <v>FALSE</v>
      </c>
      <c r="L52" s="6" cm="1">
        <f t="array" aca="1" ref="L52" ca="1">_FV(table1[[#This Row],[DataField]],"Market cap",TRUE)</f>
        <v>421325542750</v>
      </c>
    </row>
    <row r="53" spans="1:12" x14ac:dyDescent="0.2">
      <c r="A53" t="e" vm="53">
        <v>#VALUE!</v>
      </c>
      <c r="B53" t="str" cm="1">
        <f t="array" aca="1" ref="B53" ca="1">_FV(table1[[#This Row],[DataField]],"Ticker symbol",TRUE)</f>
        <v>XOM</v>
      </c>
      <c r="C53">
        <v>0</v>
      </c>
      <c r="D53">
        <v>500</v>
      </c>
      <c r="E53">
        <v>91</v>
      </c>
      <c r="F53" s="2" cm="1">
        <f t="array" aca="1" ref="F53" ca="1">_FV(table1[[#This Row],[DataField]],"Price")</f>
        <v>170.99</v>
      </c>
      <c r="G53" s="2" cm="1">
        <f t="array" aca="1" ref="G53" ca="1">_FV(table1[[#This Row],[DataField]],"52 week low",TRUE)</f>
        <v>97.8</v>
      </c>
      <c r="H53" s="2" cm="1">
        <f t="array" aca="1" ref="H53" ca="1">_FV(table1[[#This Row],[DataField]],"52 week high",TRUE)</f>
        <v>171.23</v>
      </c>
      <c r="I53" s="4" cm="1">
        <f t="array" aca="1" ref="I53" ca="1">_FV(table1[[#This Row],[DataField]],"P/E",TRUE)</f>
        <v>24.763300000000001</v>
      </c>
      <c r="J53" s="2" t="str">
        <f ca="1">IF(table1[[#This Row],[Price]] &lt; (table1[[#This Row],[52Low]] * 0.25) + table1[[#This Row],[52Low]],  "TRUE", "FALSE")</f>
        <v>FALSE</v>
      </c>
      <c r="K53" s="2" t="str">
        <f ca="1">IF(table1[[#This Row],[Price]] &lt; (table1[[#This Row],[52Low]] * 0.1) + table1[[#This Row],[52Low]],  "TRUE", "FALSE")</f>
        <v>FALSE</v>
      </c>
      <c r="L53" s="6" cm="1">
        <f t="array" aca="1" ref="L53" ca="1">_FV(table1[[#This Row],[DataField]],"Market cap",TRUE)</f>
        <v>712474976360</v>
      </c>
    </row>
    <row r="54" spans="1:12" x14ac:dyDescent="0.2">
      <c r="A54" t="e" vm="54">
        <v>#VALUE!</v>
      </c>
      <c r="B54" t="str" cm="1">
        <f t="array" aca="1" ref="B54" ca="1">_FV(table1[[#This Row],[DataField]],"Ticker symbol",TRUE)</f>
        <v>ABBV</v>
      </c>
      <c r="F54" s="2" cm="1">
        <f t="array" aca="1" ref="F54" ca="1">_FV(table1[[#This Row],[DataField]],"Price")</f>
        <v>209.4</v>
      </c>
      <c r="G54" s="2" cm="1">
        <f t="array" aca="1" ref="G54" ca="1">_FV(table1[[#This Row],[DataField]],"52 week low",TRUE)</f>
        <v>164.39</v>
      </c>
      <c r="H54" s="2" cm="1">
        <f t="array" aca="1" ref="H54" ca="1">_FV(table1[[#This Row],[DataField]],"52 week high",TRUE)</f>
        <v>244.81</v>
      </c>
      <c r="I54" s="4" cm="1">
        <f t="array" aca="1" ref="I54" ca="1">_FV(table1[[#This Row],[DataField]],"P/E",TRUE)</f>
        <v>89.446299999999994</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370378762800</v>
      </c>
    </row>
    <row r="55" spans="1:12" x14ac:dyDescent="0.2">
      <c r="A55" t="e" vm="55">
        <v>#VALUE!</v>
      </c>
      <c r="B55" t="str" cm="1">
        <f t="array" aca="1" ref="B55" ca="1">_FV(table1[[#This Row],[DataField]],"Ticker symbol",TRUE)</f>
        <v>ABT</v>
      </c>
      <c r="F55" s="2" cm="1">
        <f t="array" aca="1" ref="F55" ca="1">_FV(table1[[#This Row],[DataField]],"Price")</f>
        <v>103.99</v>
      </c>
      <c r="G55" s="2" cm="1">
        <f t="array" aca="1" ref="G55" ca="1">_FV(table1[[#This Row],[DataField]],"52 week low",TRUE)</f>
        <v>102.41</v>
      </c>
      <c r="H55" s="2" cm="1">
        <f t="array" aca="1" ref="H55" ca="1">_FV(table1[[#This Row],[DataField]],"52 week high",TRUE)</f>
        <v>139.06</v>
      </c>
      <c r="I55" s="4" cm="1">
        <f t="array" aca="1" ref="I55" ca="1">_FV(table1[[#This Row],[DataField]],"P/E",TRUE)</f>
        <v>28.017900000000001</v>
      </c>
      <c r="J55" s="2" t="str">
        <f ca="1">IF(table1[[#This Row],[Price]] &lt; (table1[[#This Row],[52Low]] * 0.25) + table1[[#This Row],[52Low]],  "TRUE", "FALSE")</f>
        <v>TRUE</v>
      </c>
      <c r="K55" s="7" t="str">
        <f ca="1">IF(table1[[#This Row],[Price]] &lt; (table1[[#This Row],[52Low]] * 0.1) + table1[[#This Row],[52Low]],  "TRUE", "FALSE")</f>
        <v>TRUE</v>
      </c>
      <c r="L55" s="6" cm="1">
        <f t="array" aca="1" ref="L55" ca="1">_FV(table1[[#This Row],[DataField]],"Market cap",TRUE)</f>
        <v>180700823250</v>
      </c>
    </row>
    <row r="56" spans="1:12" x14ac:dyDescent="0.2">
      <c r="A56" t="e" vm="56">
        <v>#VALUE!</v>
      </c>
      <c r="B56" t="str" cm="1">
        <f t="array" aca="1" ref="B56" ca="1">_FV(table1[[#This Row],[DataField]],"Ticker symbol",TRUE)</f>
        <v>AOS</v>
      </c>
      <c r="F56" s="2" cm="1">
        <f t="array" aca="1" ref="F56" ca="1">_FV(table1[[#This Row],[DataField]],"Price")</f>
        <v>64.42</v>
      </c>
      <c r="G56" s="2" cm="1">
        <f t="array" aca="1" ref="G56" ca="1">_FV(table1[[#This Row],[DataField]],"52 week low",TRUE)</f>
        <v>58.83</v>
      </c>
      <c r="H56" s="2" cm="1">
        <f t="array" aca="1" ref="H56" ca="1">_FV(table1[[#This Row],[DataField]],"52 week high",TRUE)</f>
        <v>81.864999999999995</v>
      </c>
      <c r="I56" s="4" cm="1">
        <f t="array" aca="1" ref="I56" ca="1">_FV(table1[[#This Row],[DataField]],"P/E",TRUE)</f>
        <v>17.053699999999999</v>
      </c>
      <c r="J56" s="2" t="str">
        <f ca="1">IF(table1[[#This Row],[Price]] &lt; (table1[[#This Row],[52Low]] * 0.25) + table1[[#This Row],[52Low]],  "TRUE", "FALSE")</f>
        <v>TRUE</v>
      </c>
      <c r="K56" s="2" t="str">
        <f ca="1">IF(table1[[#This Row],[Price]] &lt; (table1[[#This Row],[52Low]] * 0.1) + table1[[#This Row],[52Low]],  "TRUE", "FALSE")</f>
        <v>TRUE</v>
      </c>
      <c r="L56" s="6" cm="1">
        <f t="array" aca="1" ref="L56" ca="1">_FV(table1[[#This Row],[DataField]],"Market cap",TRUE)</f>
        <v>8905407916</v>
      </c>
    </row>
    <row r="57" spans="1:12" x14ac:dyDescent="0.2">
      <c r="A57" t="e" vm="57">
        <v>#VALUE!</v>
      </c>
      <c r="B57" t="str" cm="1">
        <f t="array" aca="1" ref="B57" ca="1">_FV(table1[[#This Row],[DataField]],"Ticker symbol",TRUE)</f>
        <v>AVGO</v>
      </c>
      <c r="F57" s="2" cm="1">
        <f t="array" aca="1" ref="F57" ca="1">_FV(table1[[#This Row],[DataField]],"Price")</f>
        <v>300.68</v>
      </c>
      <c r="G57" s="2" cm="1">
        <f t="array" aca="1" ref="G57" ca="1">_FV(table1[[#This Row],[DataField]],"52 week low",TRUE)</f>
        <v>138.1</v>
      </c>
      <c r="H57" s="2" cm="1">
        <f t="array" aca="1" ref="H57" ca="1">_FV(table1[[#This Row],[DataField]],"52 week high",TRUE)</f>
        <v>414.61</v>
      </c>
      <c r="I57" s="4" cm="1">
        <f t="array" aca="1" ref="I57" ca="1">_FV(table1[[#This Row],[DataField]],"P/E",TRUE)</f>
        <v>63.035600000000002</v>
      </c>
      <c r="J57" s="2" t="str">
        <f ca="1">IF(table1[[#This Row],[Price]] &lt; (table1[[#This Row],[52Low]] * 0.25) + table1[[#This Row],[52Low]],  "TRUE", "FALSE")</f>
        <v>FALSE</v>
      </c>
      <c r="K57" s="2" t="str">
        <f ca="1">IF(table1[[#This Row],[Price]] &lt; (table1[[#This Row],[52Low]] * 0.1) + table1[[#This Row],[52Low]],  "TRUE", "FALSE")</f>
        <v>FALSE</v>
      </c>
      <c r="L57" s="6" cm="1">
        <f t="array" aca="1" ref="L57" ca="1">_FV(table1[[#This Row],[DataField]],"Market cap",TRUE)</f>
        <v>1423619974240</v>
      </c>
    </row>
    <row r="58" spans="1:12" x14ac:dyDescent="0.2">
      <c r="A58" t="e" vm="58">
        <v>#VALUE!</v>
      </c>
      <c r="B58" t="str" cm="1">
        <f t="array" aca="1" ref="B58" ca="1">_FV(table1[[#This Row],[DataField]],"Ticker symbol",TRUE)</f>
        <v>AWK</v>
      </c>
      <c r="F58" s="2" cm="1">
        <f t="array" aca="1" ref="F58" ca="1">_FV(table1[[#This Row],[DataField]],"Price")</f>
        <v>136.86000000000001</v>
      </c>
      <c r="G58" s="2" cm="1">
        <f t="array" aca="1" ref="G58" ca="1">_FV(table1[[#This Row],[DataField]],"52 week low",TRUE)</f>
        <v>121.27500000000001</v>
      </c>
      <c r="H58" s="2" cm="1">
        <f t="array" aca="1" ref="H58" ca="1">_FV(table1[[#This Row],[DataField]],"52 week high",TRUE)</f>
        <v>155.5</v>
      </c>
      <c r="I58" s="4" cm="1">
        <f t="array" aca="1" ref="I58" ca="1">_FV(table1[[#This Row],[DataField]],"P/E",TRUE)</f>
        <v>24.135400000000001</v>
      </c>
      <c r="J58" s="2" t="str">
        <f ca="1">IF(table1[[#This Row],[Price]] &lt; (table1[[#This Row],[52Low]] * 0.25) + table1[[#This Row],[52Low]],  "TRUE", "FALSE")</f>
        <v>TRUE</v>
      </c>
      <c r="K58" s="2" t="str">
        <f ca="1">IF(table1[[#This Row],[Price]] &lt; (table1[[#This Row],[52Low]] * 0.1) + table1[[#This Row],[52Low]],  "TRUE", "FALSE")</f>
        <v>FALSE</v>
      </c>
      <c r="L58" s="6" cm="1">
        <f t="array" aca="1" ref="L58" ca="1">_FV(table1[[#This Row],[DataField]],"Market cap",TRUE)</f>
        <v>26726034486</v>
      </c>
    </row>
    <row r="59" spans="1:12" x14ac:dyDescent="0.2">
      <c r="A59" t="e" vm="59">
        <v>#VALUE!</v>
      </c>
      <c r="B59" t="str" cm="1">
        <f t="array" aca="1" ref="B59" ca="1">_FV(table1[[#This Row],[DataField]],"Ticker symbol",TRUE)</f>
        <v>BBY</v>
      </c>
      <c r="F59" s="2" cm="1">
        <f t="array" aca="1" ref="F59" ca="1">_FV(table1[[#This Row],[DataField]],"Price")</f>
        <v>62.98</v>
      </c>
      <c r="G59" s="2" cm="1">
        <f t="array" aca="1" ref="G59" ca="1">_FV(table1[[#This Row],[DataField]],"52 week low",TRUE)</f>
        <v>54.99</v>
      </c>
      <c r="H59" s="2" cm="1">
        <f t="array" aca="1" ref="H59" ca="1">_FV(table1[[#This Row],[DataField]],"52 week high",TRUE)</f>
        <v>84.99</v>
      </c>
      <c r="I59" s="4" cm="1">
        <f t="array" aca="1" ref="I59" ca="1">_FV(table1[[#This Row],[DataField]],"P/E",TRUE)</f>
        <v>12.523400000000001</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13169911548</v>
      </c>
    </row>
    <row r="60" spans="1:12" x14ac:dyDescent="0.2">
      <c r="A60" t="e" vm="60">
        <v>#VALUE!</v>
      </c>
      <c r="B60" t="str" cm="1">
        <f t="array" aca="1" ref="B60" ca="1">_FV(table1[[#This Row],[DataField]],"Ticker symbol",TRUE)</f>
        <v>BDX</v>
      </c>
      <c r="F60" s="2" cm="1">
        <f t="array" aca="1" ref="F60" ca="1">_FV(table1[[#This Row],[DataField]],"Price")</f>
        <v>154.51</v>
      </c>
      <c r="G60" s="2" cm="1">
        <f t="array" aca="1" ref="G60" ca="1">_FV(table1[[#This Row],[DataField]],"52 week low",TRUE)</f>
        <v>127.5364</v>
      </c>
      <c r="H60" s="2" cm="1">
        <f t="array" aca="1" ref="H60" ca="1">_FV(table1[[#This Row],[DataField]],"52 week high",TRUE)</f>
        <v>187.35</v>
      </c>
      <c r="I60" s="4" cm="1">
        <f t="array" aca="1" ref="I60" ca="1">_FV(table1[[#This Row],[DataField]],"P/E",TRUE)</f>
        <v>25.727</v>
      </c>
      <c r="J60" s="2" t="str">
        <f ca="1">IF(table1[[#This Row],[Price]] &lt; (table1[[#This Row],[52Low]] * 0.25) + table1[[#This Row],[52Low]],  "TRUE", "FALSE")</f>
        <v>TRUE</v>
      </c>
      <c r="K60" s="7" t="str">
        <f ca="1">IF(table1[[#This Row],[Price]] &lt; (table1[[#This Row],[52Low]] * 0.1) + table1[[#This Row],[52Low]],  "TRUE", "FALSE")</f>
        <v>FALSE</v>
      </c>
      <c r="L60" s="6" cm="1">
        <f t="array" aca="1" ref="L60" ca="1">_FV(table1[[#This Row],[DataField]],"Market cap",TRUE)</f>
        <v>43995455518</v>
      </c>
    </row>
    <row r="61" spans="1:12" x14ac:dyDescent="0.2">
      <c r="A61" t="e" vm="61">
        <v>#VALUE!</v>
      </c>
      <c r="B61" t="str" cm="1">
        <f t="array" aca="1" ref="B61" ca="1">_FV(table1[[#This Row],[DataField]],"Ticker symbol",TRUE)</f>
        <v>BF.A</v>
      </c>
      <c r="F61" s="2" cm="1">
        <f t="array" aca="1" ref="F61" ca="1">_FV(table1[[#This Row],[DataField]],"Price")</f>
        <v>27.19</v>
      </c>
      <c r="G61" s="2" cm="1">
        <f t="array" aca="1" ref="G61" ca="1">_FV(table1[[#This Row],[DataField]],"52 week low",TRUE)</f>
        <v>23.01</v>
      </c>
      <c r="H61" s="2" cm="1">
        <f t="array" aca="1" ref="H61" ca="1">_FV(table1[[#This Row],[DataField]],"52 week high",TRUE)</f>
        <v>35.954999999999998</v>
      </c>
      <c r="I61" s="4" t="e" cm="1" vm="25">
        <f t="array" ref="I61">_FV(table1[[#This Row],[DataField]],"P/E",TRUE)</f>
        <v>#VALUE!</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12472150884</v>
      </c>
    </row>
    <row r="62" spans="1:12" x14ac:dyDescent="0.2">
      <c r="A62" t="e" vm="62">
        <v>#VALUE!</v>
      </c>
      <c r="B62" t="str" cm="1">
        <f t="array" aca="1" ref="B62" ca="1">_FV(table1[[#This Row],[DataField]],"Ticker symbol",TRUE)</f>
        <v>CAT</v>
      </c>
      <c r="F62" s="2" cm="1">
        <f t="array" aca="1" ref="F62" ca="1">_FV(table1[[#This Row],[DataField]],"Price")</f>
        <v>695.4</v>
      </c>
      <c r="G62" s="2" cm="1">
        <f t="array" aca="1" ref="G62" ca="1">_FV(table1[[#This Row],[DataField]],"52 week low",TRUE)</f>
        <v>267.3</v>
      </c>
      <c r="H62" s="2" cm="1">
        <f t="array" aca="1" ref="H62" ca="1">_FV(table1[[#This Row],[DataField]],"52 week high",TRUE)</f>
        <v>789.81</v>
      </c>
      <c r="I62" s="4" cm="1">
        <f t="array" aca="1" ref="I62" ca="1">_FV(table1[[#This Row],[DataField]],"P/E",TRUE)</f>
        <v>37.350999999999999</v>
      </c>
      <c r="J62" s="2" t="str">
        <f ca="1">IF(table1[[#This Row],[Price]] &lt; (table1[[#This Row],[52Low]] * 0.25) + table1[[#This Row],[52Low]],  "TRUE", "FALSE")</f>
        <v>FALSE</v>
      </c>
      <c r="K62" s="2" t="str">
        <f ca="1">IF(table1[[#This Row],[Price]] &lt; (table1[[#This Row],[52Low]] * 0.1) + table1[[#This Row],[52Low]],  "TRUE", "FALSE")</f>
        <v>FALSE</v>
      </c>
      <c r="L62" s="6" cm="1">
        <f t="array" aca="1" ref="L62" ca="1">_FV(table1[[#This Row],[DataField]],"Market cap",TRUE)</f>
        <v>323560788420</v>
      </c>
    </row>
    <row r="63" spans="1:12" x14ac:dyDescent="0.2">
      <c r="A63" t="e" vm="63">
        <v>#VALUE!</v>
      </c>
      <c r="B63" t="str" cm="1">
        <f t="array" aca="1" ref="B63" ca="1">_FV(table1[[#This Row],[DataField]],"Ticker symbol",TRUE)</f>
        <v>CL</v>
      </c>
      <c r="F63" s="2" cm="1">
        <f t="array" aca="1" ref="F63" ca="1">_FV(table1[[#This Row],[DataField]],"Price")</f>
        <v>84.29</v>
      </c>
      <c r="G63" s="2" cm="1">
        <f t="array" aca="1" ref="G63" ca="1">_FV(table1[[#This Row],[DataField]],"52 week low",TRUE)</f>
        <v>74.545000000000002</v>
      </c>
      <c r="H63" s="2" cm="1">
        <f t="array" aca="1" ref="H63" ca="1">_FV(table1[[#This Row],[DataField]],"52 week high",TRUE)</f>
        <v>99.33</v>
      </c>
      <c r="I63" s="4" cm="1">
        <f t="array" aca="1" ref="I63" ca="1">_FV(table1[[#This Row],[DataField]],"P/E",TRUE)</f>
        <v>32.0974</v>
      </c>
      <c r="J63" s="2" t="str">
        <f ca="1">IF(table1[[#This Row],[Price]] &lt; (table1[[#This Row],[52Low]] * 0.25) + table1[[#This Row],[52Low]],  "TRUE", "FALSE")</f>
        <v>TRUE</v>
      </c>
      <c r="K63" s="2" t="str">
        <f ca="1">IF(table1[[#This Row],[Price]] &lt; (table1[[#This Row],[52Low]] * 0.1) + table1[[#This Row],[52Low]],  "TRUE", "FALSE")</f>
        <v>FALSE</v>
      </c>
      <c r="L63" s="6" cm="1">
        <f t="array" aca="1" ref="L63" ca="1">_FV(table1[[#This Row],[DataField]],"Market cap",TRUE)</f>
        <v>67626027151</v>
      </c>
    </row>
    <row r="64" spans="1:12" x14ac:dyDescent="0.2">
      <c r="A64" t="e" vm="64">
        <v>#VALUE!</v>
      </c>
      <c r="B64" t="str" cm="1">
        <f t="array" aca="1" ref="B64" ca="1">_FV(table1[[#This Row],[DataField]],"Ticker symbol",TRUE)</f>
        <v>CNI</v>
      </c>
      <c r="F64" s="2" cm="1">
        <f t="array" aca="1" ref="F64" ca="1">_FV(table1[[#This Row],[DataField]],"Price")</f>
        <v>101.43</v>
      </c>
      <c r="G64" s="2" cm="1">
        <f t="array" aca="1" ref="G64" ca="1">_FV(table1[[#This Row],[DataField]],"52 week low",TRUE)</f>
        <v>90.74</v>
      </c>
      <c r="H64" s="2" cm="1">
        <f t="array" aca="1" ref="H64" ca="1">_FV(table1[[#This Row],[DataField]],"52 week high",TRUE)</f>
        <v>113.08499999999999</v>
      </c>
      <c r="I64" s="4" cm="1">
        <f t="array" aca="1" ref="I64" ca="1">_FV(table1[[#This Row],[DataField]],"P/E",TRUE)</f>
        <v>18.423200000000001</v>
      </c>
      <c r="J64" s="2" t="str">
        <f ca="1">IF(table1[[#This Row],[Price]] &lt; (table1[[#This Row],[52Low]] * 0.25) + table1[[#This Row],[52Low]],  "TRUE", "FALSE")</f>
        <v>TRUE</v>
      </c>
      <c r="K64" s="2" t="str">
        <f ca="1">IF(table1[[#This Row],[Price]] &lt; (table1[[#This Row],[52Low]] * 0.1) + table1[[#This Row],[52Low]],  "TRUE", "FALSE")</f>
        <v>FALSE</v>
      </c>
      <c r="L64" s="6" cm="1">
        <f t="array" aca="1" ref="L64" ca="1">_FV(table1[[#This Row],[DataField]],"Market cap",TRUE)</f>
        <v>62014302000</v>
      </c>
    </row>
    <row r="65" spans="1:12" x14ac:dyDescent="0.2">
      <c r="A65" t="e" vm="65">
        <v>#VALUE!</v>
      </c>
      <c r="B65" t="str" cm="1">
        <f t="array" aca="1" ref="B65" ca="1">_FV(table1[[#This Row],[DataField]],"Ticker symbol",TRUE)</f>
        <v>D</v>
      </c>
      <c r="F65" s="2" cm="1">
        <f t="array" aca="1" ref="F65" ca="1">_FV(table1[[#This Row],[DataField]],"Price")</f>
        <v>60.88</v>
      </c>
      <c r="G65" s="2" cm="1">
        <f t="array" aca="1" ref="G65" ca="1">_FV(table1[[#This Row],[DataField]],"52 week low",TRUE)</f>
        <v>48.07</v>
      </c>
      <c r="H65" s="2" cm="1">
        <f t="array" aca="1" ref="H65" ca="1">_FV(table1[[#This Row],[DataField]],"52 week high",TRUE)</f>
        <v>67.569900000000004</v>
      </c>
      <c r="I65" s="4" cm="1">
        <f t="array" aca="1" ref="I65" ca="1">_FV(table1[[#This Row],[DataField]],"P/E",TRUE)</f>
        <v>17.64</v>
      </c>
      <c r="J65" s="2" t="str">
        <f ca="1">IF(table1[[#This Row],[Price]] &lt; (table1[[#This Row],[52Low]] * 0.25) + table1[[#This Row],[52Low]],  "TRUE", "FALSE")</f>
        <v>FALSE</v>
      </c>
      <c r="K65" s="2" t="str">
        <f ca="1">IF(table1[[#This Row],[Price]] &lt; (table1[[#This Row],[52Low]] * 0.1) + table1[[#This Row],[52Low]],  "TRUE", "FALSE")</f>
        <v>FALSE</v>
      </c>
      <c r="L65" s="6" cm="1">
        <f t="array" aca="1" ref="L65" ca="1">_FV(table1[[#This Row],[DataField]],"Market cap",TRUE)</f>
        <v>53511370936</v>
      </c>
    </row>
    <row r="66" spans="1:12" x14ac:dyDescent="0.2">
      <c r="A66" t="e" vm="66">
        <v>#VALUE!</v>
      </c>
      <c r="B66" t="str" cm="1">
        <f t="array" aca="1" ref="B66" ca="1">_FV(table1[[#This Row],[DataField]],"Ticker symbol",TRUE)</f>
        <v>DE</v>
      </c>
      <c r="F66" s="2" cm="1">
        <f t="array" aca="1" ref="F66" ca="1">_FV(table1[[#This Row],[DataField]],"Price")</f>
        <v>566.64</v>
      </c>
      <c r="G66" s="2" cm="1">
        <f t="array" aca="1" ref="G66" ca="1">_FV(table1[[#This Row],[DataField]],"52 week low",TRUE)</f>
        <v>404.42</v>
      </c>
      <c r="H66" s="2" cm="1">
        <f t="array" aca="1" ref="H66" ca="1">_FV(table1[[#This Row],[DataField]],"52 week high",TRUE)</f>
        <v>674.18989999999997</v>
      </c>
      <c r="I66" s="4" cm="1">
        <f t="array" aca="1" ref="I66" ca="1">_FV(table1[[#This Row],[DataField]],"P/E",TRUE)</f>
        <v>32.767699999999998</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153053600472</v>
      </c>
    </row>
    <row r="67" spans="1:12" x14ac:dyDescent="0.2">
      <c r="A67" t="e" vm="67">
        <v>#VALUE!</v>
      </c>
      <c r="B67" t="str" cm="1">
        <f t="array" aca="1" ref="B67" ca="1">_FV(table1[[#This Row],[DataField]],"Ticker symbol",TRUE)</f>
        <v>DEO</v>
      </c>
      <c r="F67" s="2" cm="1">
        <f t="array" aca="1" ref="F67" ca="1">_FV(table1[[#This Row],[DataField]],"Price")</f>
        <v>74.069999999999993</v>
      </c>
      <c r="G67" s="2" cm="1">
        <f t="array" aca="1" ref="G67" ca="1">_FV(table1[[#This Row],[DataField]],"52 week low",TRUE)</f>
        <v>72.45</v>
      </c>
      <c r="H67" s="2" cm="1">
        <f t="array" aca="1" ref="H67" ca="1">_FV(table1[[#This Row],[DataField]],"52 week high",TRUE)</f>
        <v>116.69</v>
      </c>
      <c r="I67" s="4" cm="1">
        <f t="array" aca="1" ref="I67" ca="1">_FV(table1[[#This Row],[DataField]],"P/E",TRUE)</f>
        <v>17.0335</v>
      </c>
      <c r="J67" s="2" t="str">
        <f ca="1">IF(table1[[#This Row],[Price]] &lt; (table1[[#This Row],[52Low]] * 0.25) + table1[[#This Row],[52Low]],  "TRUE", "FALSE")</f>
        <v>TRUE</v>
      </c>
      <c r="K67" s="2" t="str">
        <f ca="1">IF(table1[[#This Row],[Price]] &lt; (table1[[#This Row],[52Low]] * 0.1) + table1[[#This Row],[52Low]],  "TRUE", "FALSE")</f>
        <v>TRUE</v>
      </c>
      <c r="L67" s="6" cm="1">
        <f t="array" aca="1" ref="L67" ca="1">_FV(table1[[#This Row],[DataField]],"Market cap",TRUE)</f>
        <v>41228324910</v>
      </c>
    </row>
    <row r="68" spans="1:12" x14ac:dyDescent="0.2">
      <c r="A68" t="e" vm="68">
        <v>#VALUE!</v>
      </c>
      <c r="B68" t="str" cm="1">
        <f t="array" aca="1" ref="B68" ca="1">_FV(table1[[#This Row],[DataField]],"Ticker symbol",TRUE)</f>
        <v>DOW</v>
      </c>
      <c r="F68" s="2" cm="1">
        <f t="array" aca="1" ref="F68" ca="1">_FV(table1[[#This Row],[DataField]],"Price")</f>
        <v>40.82</v>
      </c>
      <c r="G68" s="2" cm="1">
        <f t="array" aca="1" ref="G68" ca="1">_FV(table1[[#This Row],[DataField]],"52 week low",TRUE)</f>
        <v>20.401900000000001</v>
      </c>
      <c r="H68" s="2" cm="1">
        <f t="array" aca="1" ref="H68" ca="1">_FV(table1[[#This Row],[DataField]],"52 week high",TRUE)</f>
        <v>41.055</v>
      </c>
      <c r="I68" s="4" t="e" cm="1" vm="25">
        <f t="array" ref="I68">_FV(table1[[#This Row],[DataField]],"P/E",TRUE)</f>
        <v>#VALUE!</v>
      </c>
      <c r="J68" s="2" t="str">
        <f ca="1">IF(table1[[#This Row],[Price]] &lt; (table1[[#This Row],[52Low]] * 0.25) + table1[[#This Row],[52Low]],  "TRUE", "FALSE")</f>
        <v>FALSE</v>
      </c>
      <c r="K68" s="2" t="str">
        <f ca="1">IF(table1[[#This Row],[Price]] &lt; (table1[[#This Row],[52Low]] * 0.1) + table1[[#This Row],[52Low]],  "TRUE", "FALSE")</f>
        <v>FALSE</v>
      </c>
      <c r="L68" s="6" cm="1">
        <f t="array" aca="1" ref="L68" ca="1">_FV(table1[[#This Row],[DataField]],"Market cap",TRUE)</f>
        <v>29374863908</v>
      </c>
    </row>
    <row r="69" spans="1:12" x14ac:dyDescent="0.2">
      <c r="A69" t="e" vm="69">
        <v>#VALUE!</v>
      </c>
      <c r="B69" t="str" cm="1">
        <f t="array" aca="1" ref="B69" ca="1">_FV(table1[[#This Row],[DataField]],"Ticker symbol",TRUE)</f>
        <v>DUK</v>
      </c>
      <c r="F69" s="2" cm="1">
        <f t="array" aca="1" ref="F69" ca="1">_FV(table1[[#This Row],[DataField]],"Price")</f>
        <v>129.99</v>
      </c>
      <c r="G69" s="2" cm="1">
        <f t="array" aca="1" ref="G69" ca="1">_FV(table1[[#This Row],[DataField]],"52 week low",TRUE)</f>
        <v>111.22</v>
      </c>
      <c r="H69" s="2" cm="1">
        <f t="array" aca="1" ref="H69" ca="1">_FV(table1[[#This Row],[DataField]],"52 week high",TRUE)</f>
        <v>134.49</v>
      </c>
      <c r="I69" s="4" cm="1">
        <f t="array" aca="1" ref="I69" ca="1">_FV(table1[[#This Row],[DataField]],"P/E",TRUE)</f>
        <v>20.466999999999999</v>
      </c>
      <c r="J69" s="2" t="str">
        <f ca="1">IF(table1[[#This Row],[Price]] &lt; (table1[[#This Row],[52Low]] * 0.25) + table1[[#This Row],[52Low]],  "TRUE", "FALSE")</f>
        <v>TRUE</v>
      </c>
      <c r="K69" s="2" t="str">
        <f ca="1">IF(table1[[#This Row],[Price]] &lt; (table1[[#This Row],[52Low]] * 0.1) + table1[[#This Row],[52Low]],  "TRUE", "FALSE")</f>
        <v>FALSE</v>
      </c>
      <c r="L69" s="6" cm="1">
        <f t="array" aca="1" ref="L69" ca="1">_FV(table1[[#This Row],[DataField]],"Market cap",TRUE)</f>
        <v>101147506824</v>
      </c>
    </row>
    <row r="70" spans="1:12" x14ac:dyDescent="0.2">
      <c r="A70" t="e" vm="70">
        <v>#VALUE!</v>
      </c>
      <c r="B70" t="str" cm="1">
        <f t="array" aca="1" ref="B70" ca="1">_FV(table1[[#This Row],[DataField]],"Ticker symbol",TRUE)</f>
        <v>ED</v>
      </c>
      <c r="F70" s="2" cm="1">
        <f t="array" aca="1" ref="F70" ca="1">_FV(table1[[#This Row],[DataField]],"Price")</f>
        <v>111.68</v>
      </c>
      <c r="G70" s="2" cm="1">
        <f t="array" aca="1" ref="G70" ca="1">_FV(table1[[#This Row],[DataField]],"52 week low",TRUE)</f>
        <v>94.96</v>
      </c>
      <c r="H70" s="2" cm="1">
        <f t="array" aca="1" ref="H70" ca="1">_FV(table1[[#This Row],[DataField]],"52 week high",TRUE)</f>
        <v>116.23</v>
      </c>
      <c r="I70" s="4" cm="1">
        <f t="array" aca="1" ref="I70" ca="1">_FV(table1[[#This Row],[DataField]],"P/E",TRUE)</f>
        <v>19.726600000000001</v>
      </c>
      <c r="J70" s="2" t="str">
        <f ca="1">IF(table1[[#This Row],[Price]] &lt; (table1[[#This Row],[52Low]] * 0.25) + table1[[#This Row],[52Low]],  "TRUE", "FALSE")</f>
        <v>TRUE</v>
      </c>
      <c r="K70" s="2" t="str">
        <f ca="1">IF(table1[[#This Row],[Price]] &lt; (table1[[#This Row],[52Low]] * 0.1) + table1[[#This Row],[52Low]],  "TRUE", "FALSE")</f>
        <v>FALSE</v>
      </c>
      <c r="L70" s="6" cm="1">
        <f t="array" aca="1" ref="L70" ca="1">_FV(table1[[#This Row],[DataField]],"Market cap",TRUE)</f>
        <v>40350285536</v>
      </c>
    </row>
    <row r="71" spans="1:12" x14ac:dyDescent="0.2">
      <c r="A71" t="e" vm="71">
        <v>#VALUE!</v>
      </c>
      <c r="B71" t="str" cm="1">
        <f t="array" aca="1" ref="B71" ca="1">_FV(table1[[#This Row],[DataField]],"Ticker symbol",TRUE)</f>
        <v>EOG</v>
      </c>
      <c r="F71" s="2" cm="1">
        <f t="array" aca="1" ref="F71" ca="1">_FV(table1[[#This Row],[DataField]],"Price")</f>
        <v>149.56</v>
      </c>
      <c r="G71" s="2" cm="1">
        <f t="array" aca="1" ref="G71" ca="1">_FV(table1[[#This Row],[DataField]],"52 week low",TRUE)</f>
        <v>101.5936</v>
      </c>
      <c r="H71" s="2" cm="1">
        <f t="array" aca="1" ref="H71" ca="1">_FV(table1[[#This Row],[DataField]],"52 week high",TRUE)</f>
        <v>150.1</v>
      </c>
      <c r="I71" s="4" cm="1">
        <f t="array" aca="1" ref="I71" ca="1">_FV(table1[[#This Row],[DataField]],"P/E",TRUE)</f>
        <v>16.187899999999999</v>
      </c>
      <c r="J71" s="2" t="str">
        <f ca="1">IF(table1[[#This Row],[Price]] &lt; (table1[[#This Row],[52Low]] * 0.25) + table1[[#This Row],[52Low]],  "TRUE", "FALSE")</f>
        <v>FALSE</v>
      </c>
      <c r="K71" s="2" t="str">
        <f ca="1">IF(table1[[#This Row],[Price]] &lt; (table1[[#This Row],[52Low]] * 0.1) + table1[[#This Row],[52Low]],  "TRUE", "FALSE")</f>
        <v>FALSE</v>
      </c>
      <c r="L71" s="6" cm="1">
        <f t="array" aca="1" ref="L71" ca="1">_FV(table1[[#This Row],[DataField]],"Market cap",TRUE)</f>
        <v>80237668740</v>
      </c>
    </row>
    <row r="72" spans="1:12" x14ac:dyDescent="0.2">
      <c r="A72" t="e" vm="72">
        <v>#VALUE!</v>
      </c>
      <c r="B72" t="str" cm="1">
        <f t="array" aca="1" ref="B72" ca="1">_FV(table1[[#This Row],[DataField]],"Ticker symbol",TRUE)</f>
        <v>EQIX</v>
      </c>
      <c r="F72" s="2" cm="1">
        <f t="array" aca="1" ref="F72" ca="1">_FV(table1[[#This Row],[DataField]],"Price")</f>
        <v>963</v>
      </c>
      <c r="G72" s="2" cm="1">
        <f t="array" aca="1" ref="G72" ca="1">_FV(table1[[#This Row],[DataField]],"52 week low",TRUE)</f>
        <v>701.41</v>
      </c>
      <c r="H72" s="2" cm="1">
        <f t="array" aca="1" ref="H72" ca="1">_FV(table1[[#This Row],[DataField]],"52 week high",TRUE)</f>
        <v>992.9</v>
      </c>
      <c r="I72" s="4" cm="1">
        <f t="array" aca="1" ref="I72" ca="1">_FV(table1[[#This Row],[DataField]],"P/E",TRUE)</f>
        <v>70.011799999999994</v>
      </c>
      <c r="J72" s="2" t="str">
        <f ca="1">IF(table1[[#This Row],[Price]] &lt; (table1[[#This Row],[52Low]] * 0.25) + table1[[#This Row],[52Low]],  "TRUE", "FALSE")</f>
        <v>FALSE</v>
      </c>
      <c r="K72" s="2" t="str">
        <f ca="1">IF(table1[[#This Row],[Price]] &lt; (table1[[#This Row],[52Low]] * 0.1) + table1[[#This Row],[52Low]],  "TRUE", "FALSE")</f>
        <v>FALSE</v>
      </c>
      <c r="L72" s="6" cm="1">
        <f t="array" aca="1" ref="L72" ca="1">_FV(table1[[#This Row],[DataField]],"Market cap",TRUE)</f>
        <v>94619497590</v>
      </c>
    </row>
    <row r="73" spans="1:12" x14ac:dyDescent="0.2">
      <c r="A73" t="e" vm="73">
        <v>#VALUE!</v>
      </c>
      <c r="B73" t="str" cm="1">
        <f t="array" aca="1" ref="B73" ca="1">_FV(table1[[#This Row],[DataField]],"Ticker symbol",TRUE)</f>
        <v>FAST</v>
      </c>
      <c r="F73" s="2" cm="1">
        <f t="array" aca="1" ref="F73" ca="1">_FV(table1[[#This Row],[DataField]],"Price")</f>
        <v>44.95</v>
      </c>
      <c r="G73" s="2" cm="1">
        <f t="array" aca="1" ref="G73" ca="1">_FV(table1[[#This Row],[DataField]],"52 week low",TRUE)</f>
        <v>35.305</v>
      </c>
      <c r="H73" s="2" cm="1">
        <f t="array" aca="1" ref="H73" ca="1">_FV(table1[[#This Row],[DataField]],"52 week high",TRUE)</f>
        <v>50.63</v>
      </c>
      <c r="I73" s="4" cm="1">
        <f t="array" aca="1" ref="I73" ca="1">_FV(table1[[#This Row],[DataField]],"P/E",TRUE)</f>
        <v>41.084000000000003</v>
      </c>
      <c r="J73" s="2" t="str">
        <f ca="1">IF(table1[[#This Row],[Price]] &lt; (table1[[#This Row],[52Low]] * 0.25) + table1[[#This Row],[52Low]],  "TRUE", "FALSE")</f>
        <v>FALSE</v>
      </c>
      <c r="K73" s="2" t="str">
        <f ca="1">IF(table1[[#This Row],[Price]] &lt; (table1[[#This Row],[52Low]] * 0.1) + table1[[#This Row],[52Low]],  "TRUE", "FALSE")</f>
        <v>FALSE</v>
      </c>
      <c r="L73" s="6" cm="1">
        <f t="array" aca="1" ref="L73" ca="1">_FV(table1[[#This Row],[DataField]],"Market cap",TRUE)</f>
        <v>51617343600</v>
      </c>
    </row>
    <row r="74" spans="1:12" x14ac:dyDescent="0.2">
      <c r="A74" t="e" vm="74">
        <v>#VALUE!</v>
      </c>
      <c r="B74" t="str" cm="1">
        <f t="array" aca="1" ref="B74" ca="1">_FV(table1[[#This Row],[DataField]],"Ticker symbol",TRUE)</f>
        <v>FDX</v>
      </c>
      <c r="F74" s="2" cm="1">
        <f t="array" aca="1" ref="F74" ca="1">_FV(table1[[#This Row],[DataField]],"Price")</f>
        <v>343.97</v>
      </c>
      <c r="G74" s="2" cm="1">
        <f t="array" aca="1" ref="G74" ca="1">_FV(table1[[#This Row],[DataField]],"52 week low",TRUE)</f>
        <v>194.29499999999999</v>
      </c>
      <c r="H74" s="2" cm="1">
        <f t="array" aca="1" ref="H74" ca="1">_FV(table1[[#This Row],[DataField]],"52 week high",TRUE)</f>
        <v>392.86</v>
      </c>
      <c r="I74" s="4" cm="1">
        <f t="array" aca="1" ref="I74" ca="1">_FV(table1[[#This Row],[DataField]],"P/E",TRUE)</f>
        <v>19.296199999999999</v>
      </c>
      <c r="J74" s="2" t="str">
        <f ca="1">IF(table1[[#This Row],[Price]] &lt; (table1[[#This Row],[52Low]] * 0.25) + table1[[#This Row],[52Low]],  "TRUE", "FALSE")</f>
        <v>FALSE</v>
      </c>
      <c r="K74" s="2" t="str">
        <f ca="1">IF(table1[[#This Row],[Price]] &lt; (table1[[#This Row],[52Low]] * 0.1) + table1[[#This Row],[52Low]],  "TRUE", "FALSE")</f>
        <v>FALSE</v>
      </c>
      <c r="L74" s="6" cm="1">
        <f t="array" aca="1" ref="L74" ca="1">_FV(table1[[#This Row],[DataField]],"Market cap",TRUE)</f>
        <v>82073580996</v>
      </c>
    </row>
    <row r="75" spans="1:12" x14ac:dyDescent="0.2">
      <c r="A75" t="e" vm="75">
        <v>#VALUE!</v>
      </c>
      <c r="B75" t="str" cm="1">
        <f t="array" aca="1" ref="B75" ca="1">_FV(table1[[#This Row],[DataField]],"Ticker symbol",TRUE)</f>
        <v>FLO</v>
      </c>
      <c r="F75" s="2" cm="1">
        <f t="array" aca="1" ref="F75" ca="1">_FV(table1[[#This Row],[DataField]],"Price")</f>
        <v>8.4</v>
      </c>
      <c r="G75" s="2" cm="1">
        <f t="array" aca="1" ref="G75" ca="1">_FV(table1[[#This Row],[DataField]],"52 week low",TRUE)</f>
        <v>8.0399999999999991</v>
      </c>
      <c r="H75" s="2" cm="1">
        <f t="array" aca="1" ref="H75" ca="1">_FV(table1[[#This Row],[DataField]],"52 week high",TRUE)</f>
        <v>20.23</v>
      </c>
      <c r="I75" s="4" cm="1">
        <f t="array" aca="1" ref="I75" ca="1">_FV(table1[[#This Row],[DataField]],"P/E",TRUE)</f>
        <v>21.1538</v>
      </c>
      <c r="J75" s="2" t="str">
        <f ca="1">IF(table1[[#This Row],[Price]] &lt; (table1[[#This Row],[52Low]] * 0.25) + table1[[#This Row],[52Low]],  "TRUE", "FALSE")</f>
        <v>TRUE</v>
      </c>
      <c r="K75" s="2" t="str">
        <f ca="1">IF(table1[[#This Row],[Price]] &lt; (table1[[#This Row],[52Low]] * 0.1) + table1[[#This Row],[52Low]],  "TRUE", "FALSE")</f>
        <v>TRUE</v>
      </c>
      <c r="L75" s="6" cm="1">
        <f t="array" aca="1" ref="L75" ca="1">_FV(table1[[#This Row],[DataField]],"Market cap",TRUE)</f>
        <v>1777056120</v>
      </c>
    </row>
    <row r="76" spans="1:12" x14ac:dyDescent="0.2">
      <c r="A76" t="e" vm="76">
        <v>#VALUE!</v>
      </c>
      <c r="B76" t="str" cm="1">
        <f t="array" aca="1" ref="B76" ca="1">_FV(table1[[#This Row],[DataField]],"Ticker symbol",TRUE)</f>
        <v>HRL</v>
      </c>
      <c r="F76" s="2" cm="1">
        <f t="array" aca="1" ref="F76" ca="1">_FV(table1[[#This Row],[DataField]],"Price")</f>
        <v>23.07</v>
      </c>
      <c r="G76" s="2" cm="1">
        <f t="array" aca="1" ref="G76" ca="1">_FV(table1[[#This Row],[DataField]],"52 week low",TRUE)</f>
        <v>21.03</v>
      </c>
      <c r="H76" s="2" cm="1">
        <f t="array" aca="1" ref="H76" ca="1">_FV(table1[[#This Row],[DataField]],"52 week high",TRUE)</f>
        <v>32.07</v>
      </c>
      <c r="I76" s="4" cm="1">
        <f t="array" aca="1" ref="I76" ca="1">_FV(table1[[#This Row],[DataField]],"P/E",TRUE)</f>
        <v>25.710799999999999</v>
      </c>
      <c r="J76" s="2" t="str">
        <f ca="1">IF(table1[[#This Row],[Price]] &lt; (table1[[#This Row],[52Low]] * 0.25) + table1[[#This Row],[52Low]],  "TRUE", "FALSE")</f>
        <v>TRUE</v>
      </c>
      <c r="K76" s="2" t="str">
        <f ca="1">IF(table1[[#This Row],[Price]] &lt; (table1[[#This Row],[52Low]] * 0.1) + table1[[#This Row],[52Low]],  "TRUE", "FALSE")</f>
        <v>TRUE</v>
      </c>
      <c r="L76" s="6" cm="1">
        <f t="array" aca="1" ref="L76" ca="1">_FV(table1[[#This Row],[DataField]],"Market cap",TRUE)</f>
        <v>12695056494</v>
      </c>
    </row>
    <row r="77" spans="1:12" x14ac:dyDescent="0.2">
      <c r="A77" t="e" vm="77">
        <v>#VALUE!</v>
      </c>
      <c r="B77" t="str" cm="1">
        <f t="array" aca="1" ref="B77" ca="1">_FV(table1[[#This Row],[DataField]],"Ticker symbol",TRUE)</f>
        <v>INTU</v>
      </c>
      <c r="F77" s="2" cm="1">
        <f t="array" aca="1" ref="F77" ca="1">_FV(table1[[#This Row],[DataField]],"Price")</f>
        <v>416.44</v>
      </c>
      <c r="G77" s="2" cm="1">
        <f t="array" aca="1" ref="G77" ca="1">_FV(table1[[#This Row],[DataField]],"52 week low",TRUE)</f>
        <v>349</v>
      </c>
      <c r="H77" s="2" cm="1">
        <f t="array" aca="1" ref="H77" ca="1">_FV(table1[[#This Row],[DataField]],"52 week high",TRUE)</f>
        <v>813.7</v>
      </c>
      <c r="I77" s="4" cm="1">
        <f t="array" aca="1" ref="I77" ca="1">_FV(table1[[#This Row],[DataField]],"P/E",TRUE)</f>
        <v>28.136700000000001</v>
      </c>
      <c r="J77" s="2" t="str">
        <f ca="1">IF(table1[[#This Row],[Price]] &lt; (table1[[#This Row],[52Low]] * 0.25) + table1[[#This Row],[52Low]],  "TRUE", "FALSE")</f>
        <v>TRUE</v>
      </c>
      <c r="K77" s="2" t="str">
        <f ca="1">IF(table1[[#This Row],[Price]] &lt; (table1[[#This Row],[52Low]] * 0.1) + table1[[#This Row],[52Low]],  "TRUE", "FALSE")</f>
        <v>FALSE</v>
      </c>
      <c r="L77" s="6" cm="1">
        <f t="array" aca="1" ref="L77" ca="1">_FV(table1[[#This Row],[DataField]],"Market cap",TRUE)</f>
        <v>115166482000</v>
      </c>
    </row>
    <row r="78" spans="1:12" x14ac:dyDescent="0.2">
      <c r="A78" t="e" vm="78">
        <v>#VALUE!</v>
      </c>
      <c r="B78" t="str" cm="1">
        <f t="array" aca="1" ref="B78" ca="1">_FV(table1[[#This Row],[DataField]],"Ticker symbol",TRUE)</f>
        <v>ITW</v>
      </c>
      <c r="F78" s="2" cm="1">
        <f t="array" aca="1" ref="F78" ca="1">_FV(table1[[#This Row],[DataField]],"Price")</f>
        <v>259.04000000000002</v>
      </c>
      <c r="G78" s="2" cm="1">
        <f t="array" aca="1" ref="G78" ca="1">_FV(table1[[#This Row],[DataField]],"52 week low",TRUE)</f>
        <v>214.66</v>
      </c>
      <c r="H78" s="2" cm="1">
        <f t="array" aca="1" ref="H78" ca="1">_FV(table1[[#This Row],[DataField]],"52 week high",TRUE)</f>
        <v>303.15499999999997</v>
      </c>
      <c r="I78" s="4" cm="1">
        <f t="array" aca="1" ref="I78" ca="1">_FV(table1[[#This Row],[DataField]],"P/E",TRUE)</f>
        <v>24.912800000000001</v>
      </c>
      <c r="J78" s="2" t="str">
        <f ca="1">IF(table1[[#This Row],[Price]] &lt; (table1[[#This Row],[52Low]] * 0.25) + table1[[#This Row],[52Low]],  "TRUE", "FALSE")</f>
        <v>TRUE</v>
      </c>
      <c r="K78" s="7" t="str">
        <f ca="1">IF(table1[[#This Row],[Price]] &lt; (table1[[#This Row],[52Low]] * 0.1) + table1[[#This Row],[52Low]],  "TRUE", "FALSE")</f>
        <v>FALSE</v>
      </c>
      <c r="L78" s="6" cm="1">
        <f t="array" aca="1" ref="L78" ca="1">_FV(table1[[#This Row],[DataField]],"Market cap",TRUE)</f>
        <v>74655328000</v>
      </c>
    </row>
    <row r="79" spans="1:12" x14ac:dyDescent="0.2">
      <c r="A79" t="e" vm="79">
        <v>#VALUE!</v>
      </c>
      <c r="B79" t="str" cm="1">
        <f t="array" aca="1" ref="B79" ca="1">_FV(table1[[#This Row],[DataField]],"Ticker symbol",TRUE)</f>
        <v>KO</v>
      </c>
      <c r="F79" s="2" cm="1">
        <f t="array" aca="1" ref="F79" ca="1">_FV(table1[[#This Row],[DataField]],"Price")</f>
        <v>75.709999999999994</v>
      </c>
      <c r="G79" s="2" cm="1">
        <f t="array" aca="1" ref="G79" ca="1">_FV(table1[[#This Row],[DataField]],"52 week low",TRUE)</f>
        <v>65.353800000000007</v>
      </c>
      <c r="H79" s="2" cm="1">
        <f t="array" aca="1" ref="H79" ca="1">_FV(table1[[#This Row],[DataField]],"52 week high",TRUE)</f>
        <v>82</v>
      </c>
      <c r="I79" s="4" cm="1">
        <f t="array" aca="1" ref="I79" ca="1">_FV(table1[[#This Row],[DataField]],"P/E",TRUE)</f>
        <v>24.5776</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325867423630</v>
      </c>
    </row>
    <row r="80" spans="1:12" x14ac:dyDescent="0.2">
      <c r="A80" t="e" vm="80">
        <v>#VALUE!</v>
      </c>
      <c r="B80" t="str" cm="1">
        <f t="array" aca="1" ref="B80" ca="1">_FV(table1[[#This Row],[DataField]],"Ticker symbol",TRUE)</f>
        <v>LLY</v>
      </c>
      <c r="F80" s="2" cm="1">
        <f t="array" aca="1" ref="F80" ca="1">_FV(table1[[#This Row],[DataField]],"Price")</f>
        <v>878.24</v>
      </c>
      <c r="G80" s="2" cm="1">
        <f t="array" aca="1" ref="G80" ca="1">_FV(table1[[#This Row],[DataField]],"52 week low",TRUE)</f>
        <v>623.78</v>
      </c>
      <c r="H80" s="2" cm="1">
        <f t="array" aca="1" ref="H80" ca="1">_FV(table1[[#This Row],[DataField]],"52 week high",TRUE)</f>
        <v>1133.95</v>
      </c>
      <c r="I80" s="4" cm="1">
        <f t="array" aca="1" ref="I80" ca="1">_FV(table1[[#This Row],[DataField]],"P/E",TRUE)</f>
        <v>39.073799999999999</v>
      </c>
      <c r="J80" s="2" t="str">
        <f ca="1">IF(table1[[#This Row],[Price]] &lt; (table1[[#This Row],[52Low]] * 0.25) + table1[[#This Row],[52Low]],  "TRUE", "FALSE")</f>
        <v>FALSE</v>
      </c>
      <c r="K80" s="2" t="str">
        <f ca="1">IF(table1[[#This Row],[Price]] &lt; (table1[[#This Row],[52Low]] * 0.1) + table1[[#This Row],[52Low]],  "TRUE", "FALSE")</f>
        <v>FALSE</v>
      </c>
      <c r="L80" s="6" cm="1">
        <f t="array" aca="1" ref="L80" ca="1">_FV(table1[[#This Row],[DataField]],"Market cap",TRUE)</f>
        <v>829777750736</v>
      </c>
    </row>
    <row r="81" spans="1:12" x14ac:dyDescent="0.2">
      <c r="A81" t="e" vm="81">
        <v>#VALUE!</v>
      </c>
      <c r="B81" t="str" cm="1">
        <f t="array" aca="1" ref="B81" ca="1">_FV(table1[[#This Row],[DataField]],"Ticker symbol",TRUE)</f>
        <v>MCO</v>
      </c>
      <c r="F81" s="2" cm="1">
        <f t="array" aca="1" ref="F81" ca="1">_FV(table1[[#This Row],[DataField]],"Price")</f>
        <v>424.84</v>
      </c>
      <c r="G81" s="2" cm="1">
        <f t="array" aca="1" ref="G81" ca="1">_FV(table1[[#This Row],[DataField]],"52 week low",TRUE)</f>
        <v>378.71</v>
      </c>
      <c r="H81" s="2" cm="1">
        <f t="array" aca="1" ref="H81" ca="1">_FV(table1[[#This Row],[DataField]],"52 week high",TRUE)</f>
        <v>546.88</v>
      </c>
      <c r="I81" s="4" cm="1">
        <f t="array" aca="1" ref="I81" ca="1">_FV(table1[[#This Row],[DataField]],"P/E",TRUE)</f>
        <v>31.625499999999999</v>
      </c>
      <c r="J81" s="2" t="str">
        <f ca="1">IF(table1[[#This Row],[Price]] &lt; (table1[[#This Row],[52Low]] * 0.25) + table1[[#This Row],[52Low]],  "TRUE", "FALSE")</f>
        <v>TRUE</v>
      </c>
      <c r="K81" s="7" t="str">
        <f ca="1">IF(table1[[#This Row],[Price]] &lt; (table1[[#This Row],[52Low]] * 0.1) + table1[[#This Row],[52Low]],  "TRUE", "FALSE")</f>
        <v>FALSE</v>
      </c>
      <c r="L81" s="6" cm="1">
        <f t="array" aca="1" ref="L81" ca="1">_FV(table1[[#This Row],[DataField]],"Market cap",TRUE)</f>
        <v>75623176876</v>
      </c>
    </row>
    <row r="82" spans="1:12" x14ac:dyDescent="0.2">
      <c r="A82" t="e" vm="82">
        <v>#VALUE!</v>
      </c>
      <c r="B82" t="str" cm="1">
        <f t="array" aca="1" ref="B82" ca="1">_FV(table1[[#This Row],[DataField]],"Ticker symbol",TRUE)</f>
        <v>MDLZ</v>
      </c>
      <c r="F82" s="2" cm="1">
        <f t="array" aca="1" ref="F82" ca="1">_FV(table1[[#This Row],[DataField]],"Price")</f>
        <v>58.27</v>
      </c>
      <c r="G82" s="2" cm="1">
        <f t="array" aca="1" ref="G82" ca="1">_FV(table1[[#This Row],[DataField]],"52 week low",TRUE)</f>
        <v>51.200800000000001</v>
      </c>
      <c r="H82" s="2" cm="1">
        <f t="array" aca="1" ref="H82" ca="1">_FV(table1[[#This Row],[DataField]],"52 week high",TRUE)</f>
        <v>71.150000000000006</v>
      </c>
      <c r="I82" s="4" cm="1">
        <f t="array" aca="1" ref="I82" ca="1">_FV(table1[[#This Row],[DataField]],"P/E",TRUE)</f>
        <v>30.473299999999998</v>
      </c>
      <c r="J82" s="2" t="str">
        <f ca="1">IF(table1[[#This Row],[Price]] &lt; (table1[[#This Row],[52Low]] * 0.25) + table1[[#This Row],[52Low]],  "TRUE", "FALSE")</f>
        <v>TRUE</v>
      </c>
      <c r="K82" s="2" t="str">
        <f ca="1">IF(table1[[#This Row],[Price]] &lt; (table1[[#This Row],[52Low]] * 0.1) + table1[[#This Row],[52Low]],  "TRUE", "FALSE")</f>
        <v>FALSE</v>
      </c>
      <c r="L82" s="6" cm="1">
        <f t="array" aca="1" ref="L82" ca="1">_FV(table1[[#This Row],[DataField]],"Market cap",TRUE)</f>
        <v>74693166420</v>
      </c>
    </row>
    <row r="83" spans="1:12" x14ac:dyDescent="0.2">
      <c r="A83" t="e" vm="83">
        <v>#VALUE!</v>
      </c>
      <c r="B83" t="str" cm="1">
        <f t="array" aca="1" ref="B83" ca="1">_FV(table1[[#This Row],[DataField]],"Ticker symbol",TRUE)</f>
        <v>MMM</v>
      </c>
      <c r="F83" s="2" cm="1">
        <f t="array" aca="1" ref="F83" ca="1">_FV(table1[[#This Row],[DataField]],"Price")</f>
        <v>143.04</v>
      </c>
      <c r="G83" s="2" cm="1">
        <f t="array" aca="1" ref="G83" ca="1">_FV(table1[[#This Row],[DataField]],"52 week low",TRUE)</f>
        <v>121.97709999999999</v>
      </c>
      <c r="H83" s="2" cm="1">
        <f t="array" aca="1" ref="H83" ca="1">_FV(table1[[#This Row],[DataField]],"52 week high",TRUE)</f>
        <v>177.41</v>
      </c>
      <c r="I83" s="4" cm="1">
        <f t="array" aca="1" ref="I83" ca="1">_FV(table1[[#This Row],[DataField]],"P/E",TRUE)</f>
        <v>24.015899999999998</v>
      </c>
      <c r="J83" s="2" t="str">
        <f ca="1">IF(table1[[#This Row],[Price]] &lt; (table1[[#This Row],[52Low]] * 0.25) + table1[[#This Row],[52Low]],  "TRUE", "FALSE")</f>
        <v>TRUE</v>
      </c>
      <c r="K83" s="2" t="str">
        <f ca="1">IF(table1[[#This Row],[Price]] &lt; (table1[[#This Row],[52Low]] * 0.1) + table1[[#This Row],[52Low]],  "TRUE", "FALSE")</f>
        <v>FALSE</v>
      </c>
      <c r="L83" s="6" cm="1">
        <f t="array" aca="1" ref="L83" ca="1">_FV(table1[[#This Row],[DataField]],"Market cap",TRUE)</f>
        <v>74723552448</v>
      </c>
    </row>
    <row r="84" spans="1:12" ht="18" customHeight="1" x14ac:dyDescent="0.2">
      <c r="A84" t="e" vm="84">
        <v>#VALUE!</v>
      </c>
      <c r="B84" t="str" cm="1">
        <f t="array" aca="1" ref="B84" ca="1">_FV(table1[[#This Row],[DataField]],"Ticker symbol",TRUE)</f>
        <v>MO</v>
      </c>
      <c r="F84" s="2" cm="1">
        <f t="array" aca="1" ref="F84" ca="1">_FV(table1[[#This Row],[DataField]],"Price")</f>
        <v>66.48</v>
      </c>
      <c r="G84" s="2" cm="1">
        <f t="array" aca="1" ref="G84" ca="1">_FV(table1[[#This Row],[DataField]],"52 week low",TRUE)</f>
        <v>52.82</v>
      </c>
      <c r="H84" s="2" cm="1">
        <f t="array" aca="1" ref="H84" ca="1">_FV(table1[[#This Row],[DataField]],"52 week high",TRUE)</f>
        <v>70.510000000000005</v>
      </c>
      <c r="I84" s="4" cm="1">
        <f t="array" aca="1" ref="I84" ca="1">_FV(table1[[#This Row],[DataField]],"P/E",TRUE)</f>
        <v>15.697100000000001</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111147779040</v>
      </c>
    </row>
    <row r="85" spans="1:12" x14ac:dyDescent="0.2">
      <c r="A85" t="e" vm="85">
        <v>#VALUE!</v>
      </c>
      <c r="B85" t="str" cm="1">
        <f t="array" aca="1" ref="B85" ca="1">_FV(table1[[#This Row],[DataField]],"Ticker symbol",TRUE)</f>
        <v>MRK</v>
      </c>
      <c r="F85" s="2" cm="1">
        <f t="array" aca="1" ref="F85" ca="1">_FV(table1[[#This Row],[DataField]],"Price")</f>
        <v>119.63</v>
      </c>
      <c r="G85" s="2" cm="1">
        <f t="array" aca="1" ref="G85" ca="1">_FV(table1[[#This Row],[DataField]],"52 week low",TRUE)</f>
        <v>73.31</v>
      </c>
      <c r="H85" s="2" cm="1">
        <f t="array" aca="1" ref="H85" ca="1">_FV(table1[[#This Row],[DataField]],"52 week high",TRUE)</f>
        <v>125.14</v>
      </c>
      <c r="I85" s="4" cm="1">
        <f t="array" aca="1" ref="I85" ca="1">_FV(table1[[#This Row],[DataField]],"P/E",TRUE)</f>
        <v>16.345300000000002</v>
      </c>
      <c r="J85" s="2" t="str">
        <f ca="1">IF(table1[[#This Row],[Price]] &lt; (table1[[#This Row],[52Low]] * 0.25) + table1[[#This Row],[52Low]],  "TRUE", "FALSE")</f>
        <v>FALSE</v>
      </c>
      <c r="K85" s="2" t="str">
        <f ca="1">IF(table1[[#This Row],[Price]] &lt; (table1[[#This Row],[52Low]] * 0.1) + table1[[#This Row],[52Low]],  "TRUE", "FALSE")</f>
        <v>FALSE</v>
      </c>
      <c r="L85" s="6" cm="1">
        <f t="array" aca="1" ref="L85" ca="1">_FV(table1[[#This Row],[DataField]],"Market cap",TRUE)</f>
        <v>295772254960</v>
      </c>
    </row>
    <row r="86" spans="1:12" x14ac:dyDescent="0.2">
      <c r="A86" t="e" vm="86">
        <v>#VALUE!</v>
      </c>
      <c r="B86" t="str" cm="1">
        <f t="array" aca="1" ref="B86" ca="1">_FV(table1[[#This Row],[DataField]],"Ticker symbol",TRUE)</f>
        <v>NOC</v>
      </c>
      <c r="F86" s="2" cm="1">
        <f t="array" aca="1" ref="F86" ca="1">_FV(table1[[#This Row],[DataField]],"Price")</f>
        <v>679</v>
      </c>
      <c r="G86" s="2" cm="1">
        <f t="array" aca="1" ref="G86" ca="1">_FV(table1[[#This Row],[DataField]],"52 week low",TRUE)</f>
        <v>450.13</v>
      </c>
      <c r="H86" s="2" cm="1">
        <f t="array" aca="1" ref="H86" ca="1">_FV(table1[[#This Row],[DataField]],"52 week high",TRUE)</f>
        <v>774</v>
      </c>
      <c r="I86" s="4" cm="1">
        <f t="array" aca="1" ref="I86" ca="1">_FV(table1[[#This Row],[DataField]],"P/E",TRUE)</f>
        <v>23.7944</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96364766400</v>
      </c>
    </row>
    <row r="87" spans="1:12" x14ac:dyDescent="0.2">
      <c r="A87" t="e" vm="87">
        <v>#VALUE!</v>
      </c>
      <c r="B87" t="str" cm="1">
        <f t="array" aca="1" ref="B87" ca="1">_FV(table1[[#This Row],[DataField]],"Ticker symbol",TRUE)</f>
        <v>NSRGY</v>
      </c>
      <c r="F87" s="2" cm="1">
        <f t="array" aca="1" ref="F87" ca="1">_FV(table1[[#This Row],[DataField]],"Price")</f>
        <v>95.41</v>
      </c>
      <c r="G87" s="2" cm="1">
        <f t="array" aca="1" ref="G87" ca="1">_FV(table1[[#This Row],[DataField]],"52 week low",TRUE)</f>
        <v>86.98</v>
      </c>
      <c r="H87" s="2" cm="1">
        <f t="array" aca="1" ref="H87" ca="1">_FV(table1[[#This Row],[DataField]],"52 week high",TRUE)</f>
        <v>109.59</v>
      </c>
      <c r="I87" s="4" cm="1">
        <f t="array" aca="1" ref="I87" ca="1">_FV(table1[[#This Row],[DataField]],"P/E",TRUE)</f>
        <v>21.530100000000001</v>
      </c>
      <c r="J87" s="2" t="str">
        <f ca="1">IF(table1[[#This Row],[Price]] &lt; (table1[[#This Row],[52Low]] * 0.25) + table1[[#This Row],[52Low]],  "TRUE", "FALSE")</f>
        <v>TRUE</v>
      </c>
      <c r="K87" s="7" t="str">
        <f ca="1">IF(table1[[#This Row],[Price]] &lt; (table1[[#This Row],[52Low]] * 0.1) + table1[[#This Row],[52Low]],  "TRUE", "FALSE")</f>
        <v>TRUE</v>
      </c>
      <c r="L87" s="6" cm="1">
        <f t="array" aca="1" ref="L87" ca="1">_FV(table1[[#This Row],[DataField]],"Market cap",TRUE)</f>
        <v>245825773200</v>
      </c>
    </row>
    <row r="88" spans="1:12" x14ac:dyDescent="0.2">
      <c r="A88" t="e" vm="88">
        <v>#VALUE!</v>
      </c>
      <c r="B88" t="str" cm="1">
        <f t="array" aca="1" ref="B88" ca="1">_FV(table1[[#This Row],[DataField]],"Ticker symbol",TRUE)</f>
        <v>PFE</v>
      </c>
      <c r="F88" s="2" cm="1">
        <f t="array" aca="1" ref="F88" ca="1">_FV(table1[[#This Row],[DataField]],"Price")</f>
        <v>27.04</v>
      </c>
      <c r="G88" s="2" cm="1">
        <f t="array" aca="1" ref="G88" ca="1">_FV(table1[[#This Row],[DataField]],"52 week low",TRUE)</f>
        <v>20.914999999999999</v>
      </c>
      <c r="H88" s="2" cm="1">
        <f t="array" aca="1" ref="H88" ca="1">_FV(table1[[#This Row],[DataField]],"52 week high",TRUE)</f>
        <v>27.94</v>
      </c>
      <c r="I88" s="4" cm="1">
        <f t="array" aca="1" ref="I88" ca="1">_FV(table1[[#This Row],[DataField]],"P/E",TRUE)</f>
        <v>20.334</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153813146240</v>
      </c>
    </row>
    <row r="89" spans="1:12" x14ac:dyDescent="0.2">
      <c r="A89" t="e" vm="89">
        <v>#VALUE!</v>
      </c>
      <c r="B89" t="str" cm="1">
        <f t="array" aca="1" ref="B89" ca="1">_FV(table1[[#This Row],[DataField]],"Ticker symbol",TRUE)</f>
        <v>PM</v>
      </c>
      <c r="F89" s="2" cm="1">
        <f t="array" aca="1" ref="F89" ca="1">_FV(table1[[#This Row],[DataField]],"Price")</f>
        <v>163.54</v>
      </c>
      <c r="G89" s="2" cm="1">
        <f t="array" aca="1" ref="G89" ca="1">_FV(table1[[#This Row],[DataField]],"52 week low",TRUE)</f>
        <v>142.11000000000001</v>
      </c>
      <c r="H89" s="2" cm="1">
        <f t="array" aca="1" ref="H89" ca="1">_FV(table1[[#This Row],[DataField]],"52 week high",TRUE)</f>
        <v>191.3</v>
      </c>
      <c r="I89" s="4" cm="1">
        <f t="array" aca="1" ref="I89" ca="1">_FV(table1[[#This Row],[DataField]],"P/E",TRUE)</f>
        <v>22.3718</v>
      </c>
      <c r="J89" s="2" t="str">
        <f ca="1">IF(table1[[#This Row],[Price]] &lt; (table1[[#This Row],[52Low]] * 0.25) + table1[[#This Row],[52Low]],  "TRUE", "FALSE")</f>
        <v>TRUE</v>
      </c>
      <c r="K89" s="7" t="str">
        <f ca="1">IF(table1[[#This Row],[Price]] &lt; (table1[[#This Row],[52Low]] * 0.1) + table1[[#This Row],[52Low]],  "TRUE", "FALSE")</f>
        <v>FALSE</v>
      </c>
      <c r="L89" s="6" cm="1">
        <f t="array" aca="1" ref="L89" ca="1">_FV(table1[[#This Row],[DataField]],"Market cap",TRUE)</f>
        <v>254881996200</v>
      </c>
    </row>
    <row r="90" spans="1:12" x14ac:dyDescent="0.2">
      <c r="A90" t="e" vm="90">
        <v>#VALUE!</v>
      </c>
      <c r="B90" t="str" cm="1">
        <f t="array" aca="1" ref="B90" ca="1">_FV(table1[[#This Row],[DataField]],"Ticker symbol",TRUE)</f>
        <v>PPG</v>
      </c>
      <c r="F90" s="2" cm="1">
        <f t="array" aca="1" ref="F90" ca="1">_FV(table1[[#This Row],[DataField]],"Price")</f>
        <v>103.82</v>
      </c>
      <c r="G90" s="2" cm="1">
        <f t="array" aca="1" ref="G90" ca="1">_FV(table1[[#This Row],[DataField]],"52 week low",TRUE)</f>
        <v>90.24</v>
      </c>
      <c r="H90" s="2" cm="1">
        <f t="array" aca="1" ref="H90" ca="1">_FV(table1[[#This Row],[DataField]],"52 week high",TRUE)</f>
        <v>133.43</v>
      </c>
      <c r="I90" s="4" cm="1">
        <f t="array" aca="1" ref="I90" ca="1">_FV(table1[[#This Row],[DataField]],"P/E",TRUE)</f>
        <v>15.2287</v>
      </c>
      <c r="J90" s="2" t="str">
        <f ca="1">IF(table1[[#This Row],[Price]] &lt; (table1[[#This Row],[52Low]] * 0.25) + table1[[#This Row],[52Low]],  "TRUE", "FALSE")</f>
        <v>TRUE</v>
      </c>
      <c r="K90" s="7" t="str">
        <f ca="1">IF(table1[[#This Row],[Price]] &lt; (table1[[#This Row],[52Low]] * 0.1) + table1[[#This Row],[52Low]],  "TRUE", "FALSE")</f>
        <v>FALSE</v>
      </c>
      <c r="L90" s="6" cm="1">
        <f t="array" aca="1" ref="L90" ca="1">_FV(table1[[#This Row],[DataField]],"Market cap",TRUE)</f>
        <v>23234770652</v>
      </c>
    </row>
    <row r="91" spans="1:12" x14ac:dyDescent="0.2">
      <c r="A91" t="e" vm="91">
        <v>#VALUE!</v>
      </c>
      <c r="B91" t="str" cm="1">
        <f t="array" aca="1" ref="B91" ca="1">_FV(table1[[#This Row],[DataField]],"Ticker symbol",TRUE)</f>
        <v>QCOM</v>
      </c>
      <c r="F91" s="2" cm="1">
        <f t="array" aca="1" ref="F91" ca="1">_FV(table1[[#This Row],[DataField]],"Price")</f>
        <v>127.11</v>
      </c>
      <c r="G91" s="2" cm="1">
        <f t="array" aca="1" ref="G91" ca="1">_FV(table1[[#This Row],[DataField]],"52 week low",TRUE)</f>
        <v>120.8019</v>
      </c>
      <c r="H91" s="2" cm="1">
        <f t="array" aca="1" ref="H91" ca="1">_FV(table1[[#This Row],[DataField]],"52 week high",TRUE)</f>
        <v>205.95</v>
      </c>
      <c r="I91" s="4" cm="1">
        <f t="array" aca="1" ref="I91" ca="1">_FV(table1[[#This Row],[DataField]],"P/E",TRUE)</f>
        <v>26.260200000000001</v>
      </c>
      <c r="J91" s="2" t="str">
        <f ca="1">IF(table1[[#This Row],[Price]] &lt; (table1[[#This Row],[52Low]] * 0.25) + table1[[#This Row],[52Low]],  "TRUE", "FALSE")</f>
        <v>TRUE</v>
      </c>
      <c r="K91" s="2" t="str">
        <f ca="1">IF(table1[[#This Row],[Price]] &lt; (table1[[#This Row],[52Low]] * 0.1) + table1[[#This Row],[52Low]],  "TRUE", "FALSE")</f>
        <v>TRUE</v>
      </c>
      <c r="L91" s="6" cm="1">
        <f t="array" aca="1" ref="L91" ca="1">_FV(table1[[#This Row],[DataField]],"Market cap",TRUE)</f>
        <v>135626370000</v>
      </c>
    </row>
    <row r="92" spans="1:12" x14ac:dyDescent="0.2">
      <c r="A92" t="e" vm="92">
        <v>#VALUE!</v>
      </c>
      <c r="B92" t="str" cm="1">
        <f t="array" aca="1" ref="B92" ca="1">_FV(table1[[#This Row],[DataField]],"Ticker symbol",TRUE)</f>
        <v>SBUX</v>
      </c>
      <c r="F92" s="2" cm="1">
        <f t="array" aca="1" ref="F92" ca="1">_FV(table1[[#This Row],[DataField]],"Price")</f>
        <v>86.81</v>
      </c>
      <c r="G92" s="2" cm="1">
        <f t="array" aca="1" ref="G92" ca="1">_FV(table1[[#This Row],[DataField]],"52 week low",TRUE)</f>
        <v>75.5</v>
      </c>
      <c r="H92" s="2" cm="1">
        <f t="array" aca="1" ref="H92" ca="1">_FV(table1[[#This Row],[DataField]],"52 week high",TRUE)</f>
        <v>104.82</v>
      </c>
      <c r="I92" s="4" cm="1">
        <f t="array" aca="1" ref="I92" ca="1">_FV(table1[[#This Row],[DataField]],"P/E",TRUE)</f>
        <v>72.317599999999999</v>
      </c>
      <c r="J92" s="2" t="str">
        <f ca="1">IF(table1[[#This Row],[Price]] &lt; (table1[[#This Row],[52Low]] * 0.25) + table1[[#This Row],[52Low]],  "TRUE", "FALSE")</f>
        <v>TRUE</v>
      </c>
      <c r="K92" s="7" t="str">
        <f ca="1">IF(table1[[#This Row],[Price]] &lt; (table1[[#This Row],[52Low]] * 0.1) + table1[[#This Row],[52Low]],  "TRUE", "FALSE")</f>
        <v>FALSE</v>
      </c>
      <c r="L92" s="6" cm="1">
        <f t="array" aca="1" ref="L92" ca="1">_FV(table1[[#This Row],[DataField]],"Market cap",TRUE)</f>
        <v>98902633000</v>
      </c>
    </row>
    <row r="93" spans="1:12" x14ac:dyDescent="0.2">
      <c r="A93" t="e" vm="93">
        <v>#VALUE!</v>
      </c>
      <c r="B93" t="str" cm="1">
        <f t="array" aca="1" ref="B93" ca="1">_FV(table1[[#This Row],[DataField]],"Ticker symbol",TRUE)</f>
        <v>SCHW</v>
      </c>
      <c r="F93" s="2" cm="1">
        <f t="array" aca="1" ref="F93" ca="1">_FV(table1[[#This Row],[DataField]],"Price")</f>
        <v>92.36</v>
      </c>
      <c r="G93" s="2" cm="1">
        <f t="array" aca="1" ref="G93" ca="1">_FV(table1[[#This Row],[DataField]],"52 week low",TRUE)</f>
        <v>65.88</v>
      </c>
      <c r="H93" s="2" cm="1">
        <f t="array" aca="1" ref="H93" ca="1">_FV(table1[[#This Row],[DataField]],"52 week high",TRUE)</f>
        <v>107.5</v>
      </c>
      <c r="I93" s="4" cm="1">
        <f t="array" aca="1" ref="I93" ca="1">_FV(table1[[#This Row],[DataField]],"P/E",TRUE)</f>
        <v>20.2605</v>
      </c>
      <c r="J93" s="2" t="str">
        <f ca="1">IF(table1[[#This Row],[Price]] &lt; (table1[[#This Row],[52Low]] * 0.25) + table1[[#This Row],[52Low]],  "TRUE", "FALSE")</f>
        <v>FALSE</v>
      </c>
      <c r="K93" s="2" t="str">
        <f ca="1">IF(table1[[#This Row],[Price]] &lt; (table1[[#This Row],[52Low]] * 0.1) + table1[[#This Row],[52Low]],  "TRUE", "FALSE")</f>
        <v>FALSE</v>
      </c>
      <c r="L93" s="6" cm="1">
        <f t="array" aca="1" ref="L93" ca="1">_FV(table1[[#This Row],[DataField]],"Market cap",TRUE)</f>
        <v>161834115600</v>
      </c>
    </row>
    <row r="94" spans="1:12" x14ac:dyDescent="0.2">
      <c r="A94" t="e" vm="94">
        <v>#VALUE!</v>
      </c>
      <c r="B94" t="str" cm="1">
        <f t="array" aca="1" ref="B94" ca="1">_FV(table1[[#This Row],[DataField]],"Ticker symbol",TRUE)</f>
        <v>SHW</v>
      </c>
      <c r="F94" s="2" cm="1">
        <f t="array" aca="1" ref="F94" ca="1">_FV(table1[[#This Row],[DataField]],"Price")</f>
        <v>315.37</v>
      </c>
      <c r="G94" s="2" cm="1">
        <f t="array" aca="1" ref="G94" ca="1">_FV(table1[[#This Row],[DataField]],"52 week low",TRUE)</f>
        <v>301.58</v>
      </c>
      <c r="H94" s="2" cm="1">
        <f t="array" aca="1" ref="H94" ca="1">_FV(table1[[#This Row],[DataField]],"52 week high",TRUE)</f>
        <v>379.65</v>
      </c>
      <c r="I94" s="4" cm="1">
        <f t="array" aca="1" ref="I94" ca="1">_FV(table1[[#This Row],[DataField]],"P/E",TRUE)</f>
        <v>31.1525</v>
      </c>
      <c r="J94" s="2" t="str">
        <f ca="1">IF(table1[[#This Row],[Price]] &lt; (table1[[#This Row],[52Low]] * 0.25) + table1[[#This Row],[52Low]],  "TRUE", "FALSE")</f>
        <v>TRUE</v>
      </c>
      <c r="K94" s="2" t="str">
        <f ca="1">IF(table1[[#This Row],[Price]] &lt; (table1[[#This Row],[52Low]] * 0.1) + table1[[#This Row],[52Low]],  "TRUE", "FALSE")</f>
        <v>TRUE</v>
      </c>
      <c r="L94" s="6" cm="1">
        <f t="array" aca="1" ref="L94" ca="1">_FV(table1[[#This Row],[DataField]],"Market cap",TRUE)</f>
        <v>78010680088</v>
      </c>
    </row>
    <row r="95" spans="1:12" x14ac:dyDescent="0.2">
      <c r="A95" t="e" vm="95">
        <v>#VALUE!</v>
      </c>
      <c r="B95" t="str" cm="1">
        <f t="array" aca="1" ref="B95" ca="1">_FV(table1[[#This Row],[DataField]],"Ticker symbol",TRUE)</f>
        <v>SNA</v>
      </c>
      <c r="F95" s="2" cm="1">
        <f t="array" aca="1" ref="F95" ca="1">_FV(table1[[#This Row],[DataField]],"Price")</f>
        <v>359.04</v>
      </c>
      <c r="G95" s="2" cm="1">
        <f t="array" aca="1" ref="G95" ca="1">_FV(table1[[#This Row],[DataField]],"52 week low",TRUE)</f>
        <v>289.81</v>
      </c>
      <c r="H95" s="2" cm="1">
        <f t="array" aca="1" ref="H95" ca="1">_FV(table1[[#This Row],[DataField]],"52 week high",TRUE)</f>
        <v>390.13</v>
      </c>
      <c r="I95" s="4" cm="1">
        <f t="array" aca="1" ref="I95" ca="1">_FV(table1[[#This Row],[DataField]],"P/E",TRUE)</f>
        <v>18.867100000000001</v>
      </c>
      <c r="J95" s="2" t="str">
        <f ca="1">IF(table1[[#This Row],[Price]] &lt; (table1[[#This Row],[52Low]] * 0.25) + table1[[#This Row],[52Low]],  "TRUE", "FALSE")</f>
        <v>TRUE</v>
      </c>
      <c r="K95" s="2" t="str">
        <f ca="1">IF(table1[[#This Row],[Price]] &lt; (table1[[#This Row],[52Low]] * 0.1) + table1[[#This Row],[52Low]],  "TRUE", "FALSE")</f>
        <v>FALSE</v>
      </c>
      <c r="L95" s="6" cm="1">
        <f t="array" aca="1" ref="L95" ca="1">_FV(table1[[#This Row],[DataField]],"Market cap",TRUE)</f>
        <v>18690667353</v>
      </c>
    </row>
    <row r="96" spans="1:12" x14ac:dyDescent="0.2">
      <c r="A96" t="e" vm="96">
        <v>#VALUE!</v>
      </c>
      <c r="B96" t="str" cm="1">
        <f t="array" aca="1" ref="B96" ca="1">_FV(table1[[#This Row],[DataField]],"Ticker symbol",TRUE)</f>
        <v>SO</v>
      </c>
      <c r="F96" s="2" cm="1">
        <f t="array" aca="1" ref="F96" ca="1">_FV(table1[[#This Row],[DataField]],"Price")</f>
        <v>95.55</v>
      </c>
      <c r="G96" s="2" cm="1">
        <f t="array" aca="1" ref="G96" ca="1">_FV(table1[[#This Row],[DataField]],"52 week low",TRUE)</f>
        <v>83.09</v>
      </c>
      <c r="H96" s="2" cm="1">
        <f t="array" aca="1" ref="H96" ca="1">_FV(table1[[#This Row],[DataField]],"52 week high",TRUE)</f>
        <v>100.83499999999999</v>
      </c>
      <c r="I96" s="4" cm="1">
        <f t="array" aca="1" ref="I96" ca="1">_FV(table1[[#This Row],[DataField]],"P/E",TRUE)</f>
        <v>24.360499999999998</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106957810050</v>
      </c>
    </row>
    <row r="97" spans="1:12" x14ac:dyDescent="0.2">
      <c r="A97" t="e" vm="97">
        <v>#VALUE!</v>
      </c>
      <c r="B97" t="str" cm="1">
        <f t="array" aca="1" ref="B97" ca="1">_FV(table1[[#This Row],[DataField]],"Ticker symbol",TRUE)</f>
        <v>SPGI</v>
      </c>
      <c r="F97" s="2" cm="1">
        <f t="array" aca="1" ref="F97" ca="1">_FV(table1[[#This Row],[DataField]],"Price")</f>
        <v>406.24</v>
      </c>
      <c r="G97" s="2" cm="1">
        <f t="array" aca="1" ref="G97" ca="1">_FV(table1[[#This Row],[DataField]],"52 week low",TRUE)</f>
        <v>381.60500000000002</v>
      </c>
      <c r="H97" s="2" cm="1">
        <f t="array" aca="1" ref="H97" ca="1">_FV(table1[[#This Row],[DataField]],"52 week high",TRUE)</f>
        <v>579.04999999999995</v>
      </c>
      <c r="I97" s="4" cm="1">
        <f t="array" aca="1" ref="I97" ca="1">_FV(table1[[#This Row],[DataField]],"P/E",TRUE)</f>
        <v>28.133800000000001</v>
      </c>
      <c r="J97" s="2" t="str">
        <f ca="1">IF(table1[[#This Row],[Price]] &lt; (table1[[#This Row],[52Low]] * 0.25) + table1[[#This Row],[52Low]],  "TRUE", "FALSE")</f>
        <v>TRUE</v>
      </c>
      <c r="K97" s="2" t="str">
        <f ca="1">IF(table1[[#This Row],[Price]] &lt; (table1[[#This Row],[52Low]] * 0.1) + table1[[#This Row],[52Low]],  "TRUE", "FALSE")</f>
        <v>TRUE</v>
      </c>
      <c r="L97" s="6" cm="1">
        <f t="array" aca="1" ref="L97" ca="1">_FV(table1[[#This Row],[DataField]],"Market cap",TRUE)</f>
        <v>121384512000</v>
      </c>
    </row>
    <row r="98" spans="1:12" x14ac:dyDescent="0.2">
      <c r="A98" t="e" vm="98">
        <v>#VALUE!</v>
      </c>
      <c r="B98" t="str" cm="1">
        <f t="array" aca="1" ref="B98" ca="1">_FV(table1[[#This Row],[DataField]],"Ticker symbol",TRUE)</f>
        <v>SWK</v>
      </c>
      <c r="F98" s="2" cm="1">
        <f t="array" aca="1" ref="F98" ca="1">_FV(table1[[#This Row],[DataField]],"Price")</f>
        <v>68.819999999999993</v>
      </c>
      <c r="G98" s="2" cm="1">
        <f t="array" aca="1" ref="G98" ca="1">_FV(table1[[#This Row],[DataField]],"52 week low",TRUE)</f>
        <v>53.9101</v>
      </c>
      <c r="H98" s="2" cm="1">
        <f t="array" aca="1" ref="H98" ca="1">_FV(table1[[#This Row],[DataField]],"52 week high",TRUE)</f>
        <v>93.37</v>
      </c>
      <c r="I98" s="4" cm="1">
        <f t="array" aca="1" ref="I98" ca="1">_FV(table1[[#This Row],[DataField]],"P/E",TRUE)</f>
        <v>26.763300000000001</v>
      </c>
      <c r="J98" s="2" t="str">
        <f ca="1">IF(table1[[#This Row],[Price]] &lt; (table1[[#This Row],[52Low]] * 0.25) + table1[[#This Row],[52Low]],  "TRUE", "FALSE")</f>
        <v>FALSE</v>
      </c>
      <c r="K98" s="7" t="str">
        <f ca="1">IF(table1[[#This Row],[Price]] &lt; (table1[[#This Row],[52Low]] * 0.1) + table1[[#This Row],[52Low]],  "TRUE", "FALSE")</f>
        <v>FALSE</v>
      </c>
      <c r="L98" s="6" cm="1">
        <f t="array" aca="1" ref="L98" ca="1">_FV(table1[[#This Row],[DataField]],"Market cap",TRUE)</f>
        <v>10686810047</v>
      </c>
    </row>
    <row r="99" spans="1:12" x14ac:dyDescent="0.2">
      <c r="A99" t="e" vm="99">
        <v>#VALUE!</v>
      </c>
      <c r="B99" t="str" cm="1">
        <f t="array" aca="1" ref="B99" ca="1">_FV(table1[[#This Row],[DataField]],"Ticker symbol",TRUE)</f>
        <v>SYY</v>
      </c>
      <c r="F99" s="2" cm="1">
        <f t="array" aca="1" ref="F99" ca="1">_FV(table1[[#This Row],[DataField]],"Price")</f>
        <v>81.8</v>
      </c>
      <c r="G99" s="2" cm="1">
        <f t="array" aca="1" ref="G99" ca="1">_FV(table1[[#This Row],[DataField]],"52 week low",TRUE)</f>
        <v>67.12</v>
      </c>
      <c r="H99" s="2" cm="1">
        <f t="array" aca="1" ref="H99" ca="1">_FV(table1[[#This Row],[DataField]],"52 week high",TRUE)</f>
        <v>91.844999999999999</v>
      </c>
      <c r="I99" s="4" cm="1">
        <f t="array" aca="1" ref="I99" ca="1">_FV(table1[[#This Row],[DataField]],"P/E",TRUE)</f>
        <v>22.2257</v>
      </c>
      <c r="J99" s="2" t="str">
        <f ca="1">IF(table1[[#This Row],[Price]] &lt; (table1[[#This Row],[52Low]] * 0.25) + table1[[#This Row],[52Low]],  "TRUE", "FALSE")</f>
        <v>TRUE</v>
      </c>
      <c r="K99" s="7" t="str">
        <f ca="1">IF(table1[[#This Row],[Price]] &lt; (table1[[#This Row],[52Low]] * 0.1) + table1[[#This Row],[52Low]],  "TRUE", "FALSE")</f>
        <v>FALSE</v>
      </c>
      <c r="L99" s="6" cm="1">
        <f t="array" aca="1" ref="L99" ca="1">_FV(table1[[#This Row],[DataField]],"Market cap",TRUE)</f>
        <v>39176531260</v>
      </c>
    </row>
    <row r="100" spans="1:12" x14ac:dyDescent="0.2">
      <c r="A100" t="e" vm="100">
        <v>#VALUE!</v>
      </c>
      <c r="B100" t="str" cm="1">
        <f t="array" aca="1" ref="B100" ca="1">_FV(table1[[#This Row],[DataField]],"Ticker symbol",TRUE)</f>
        <v>TSCO</v>
      </c>
      <c r="F100" s="2" cm="1">
        <f t="array" aca="1" ref="F100" ca="1">_FV(table1[[#This Row],[DataField]],"Price")</f>
        <v>44.87</v>
      </c>
      <c r="G100" s="2" cm="1">
        <f t="array" aca="1" ref="G100" ca="1">_FV(table1[[#This Row],[DataField]],"52 week low",TRUE)</f>
        <v>44.44</v>
      </c>
      <c r="H100" s="2" cm="1">
        <f t="array" aca="1" ref="H100" ca="1">_FV(table1[[#This Row],[DataField]],"52 week high",TRUE)</f>
        <v>63.989899999999999</v>
      </c>
      <c r="I100" s="4" cm="1">
        <f t="array" aca="1" ref="I100" ca="1">_FV(table1[[#This Row],[DataField]],"P/E",TRUE)</f>
        <v>22.2773</v>
      </c>
      <c r="J100" s="2" t="str">
        <f ca="1">IF(table1[[#This Row],[Price]] &lt; (table1[[#This Row],[52Low]] * 0.25) + table1[[#This Row],[52Low]],  "TRUE", "FALSE")</f>
        <v>TRUE</v>
      </c>
      <c r="K100" s="7" t="str">
        <f ca="1">IF(table1[[#This Row],[Price]] &lt; (table1[[#This Row],[52Low]] * 0.1) + table1[[#This Row],[52Low]],  "TRUE", "FALSE")</f>
        <v>TRUE</v>
      </c>
      <c r="L100" s="6" cm="1">
        <f t="array" aca="1" ref="L100" ca="1">_FV(table1[[#This Row],[DataField]],"Market cap",TRUE)</f>
        <v>23601902681</v>
      </c>
    </row>
    <row r="101" spans="1:12" x14ac:dyDescent="0.2">
      <c r="A101" t="e" vm="101">
        <v>#VALUE!</v>
      </c>
      <c r="B101" t="str" cm="1">
        <f t="array" aca="1" ref="B101" ca="1">_FV(table1[[#This Row],[DataField]],"Ticker symbol",TRUE)</f>
        <v>UNP</v>
      </c>
      <c r="F101" s="2" cm="1">
        <f t="array" aca="1" ref="F101" ca="1">_FV(table1[[#This Row],[DataField]],"Price")</f>
        <v>238.79</v>
      </c>
      <c r="G101" s="2" cm="1">
        <f t="array" aca="1" ref="G101" ca="1">_FV(table1[[#This Row],[DataField]],"52 week low",TRUE)</f>
        <v>204.66</v>
      </c>
      <c r="H101" s="2" cm="1">
        <f t="array" aca="1" ref="H101" ca="1">_FV(table1[[#This Row],[DataField]],"52 week high",TRUE)</f>
        <v>268.14</v>
      </c>
      <c r="I101" s="4" cm="1">
        <f t="array" aca="1" ref="I101" ca="1">_FV(table1[[#This Row],[DataField]],"P/E",TRUE)</f>
        <v>19.9602</v>
      </c>
      <c r="J101" s="2" t="str">
        <f ca="1">IF(table1[[#This Row],[Price]] &lt; (table1[[#This Row],[52Low]] * 0.25) + table1[[#This Row],[52Low]],  "TRUE", "FALSE")</f>
        <v>TRUE</v>
      </c>
      <c r="K101" s="2" t="str">
        <f ca="1">IF(table1[[#This Row],[Price]] &lt; (table1[[#This Row],[52Low]] * 0.1) + table1[[#This Row],[52Low]],  "TRUE", "FALSE")</f>
        <v>FALSE</v>
      </c>
      <c r="L101" s="6" cm="1">
        <f t="array" aca="1" ref="L101" ca="1">_FV(table1[[#This Row],[DataField]],"Market cap",TRUE)</f>
        <v>141764441257</v>
      </c>
    </row>
    <row r="102" spans="1:12" x14ac:dyDescent="0.2">
      <c r="A102" t="e" vm="102">
        <v>#VALUE!</v>
      </c>
      <c r="B102" t="str" cm="1">
        <f t="array" aca="1" ref="B102" ca="1">_FV(table1[[#This Row],[DataField]],"Ticker symbol",TRUE)</f>
        <v>WST</v>
      </c>
      <c r="F102" s="2" cm="1">
        <f t="array" aca="1" ref="F102" ca="1">_FV(table1[[#This Row],[DataField]],"Price")</f>
        <v>243.35</v>
      </c>
      <c r="G102" s="2" cm="1">
        <f t="array" aca="1" ref="G102" ca="1">_FV(table1[[#This Row],[DataField]],"52 week low",TRUE)</f>
        <v>187.43</v>
      </c>
      <c r="H102" s="2" cm="1">
        <f t="array" aca="1" ref="H102" ca="1">_FV(table1[[#This Row],[DataField]],"52 week high",TRUE)</f>
        <v>322.33999999999997</v>
      </c>
      <c r="I102" s="4" cm="1">
        <f t="array" aca="1" ref="I102" ca="1">_FV(table1[[#This Row],[DataField]],"P/E",TRUE)</f>
        <v>36.523099999999999</v>
      </c>
      <c r="J102" s="2" t="str">
        <f ca="1">IF(table1[[#This Row],[Price]] &lt; (table1[[#This Row],[52Low]] * 0.25) + table1[[#This Row],[52Low]],  "TRUE", "FALSE")</f>
        <v>FALSE</v>
      </c>
      <c r="K102" s="7" t="str">
        <f ca="1">IF(table1[[#This Row],[Price]] &lt; (table1[[#This Row],[52Low]] * 0.1) + table1[[#This Row],[52Low]],  "TRUE", "FALSE")</f>
        <v>FALSE</v>
      </c>
      <c r="L102" s="6" cm="1">
        <f t="array" aca="1" ref="L102" ca="1">_FV(table1[[#This Row],[DataField]],"Market cap",TRUE)</f>
        <v>17541059793</v>
      </c>
    </row>
    <row r="103" spans="1:12" x14ac:dyDescent="0.2">
      <c r="A103" t="e" vm="103">
        <v>#VALUE!</v>
      </c>
      <c r="B103" t="str" cm="1">
        <f t="array" aca="1" ref="B103" ca="1">_FV(table1[[#This Row],[DataField]],"Ticker symbol",TRUE)</f>
        <v>ZTS</v>
      </c>
      <c r="F103" s="2" cm="1">
        <f t="array" aca="1" ref="F103" ca="1">_FV(table1[[#This Row],[DataField]],"Price")</f>
        <v>113.35</v>
      </c>
      <c r="G103" s="2" cm="1">
        <f t="array" aca="1" ref="G103" ca="1">_FV(table1[[#This Row],[DataField]],"52 week low",TRUE)</f>
        <v>113.29</v>
      </c>
      <c r="H103" s="2" cm="1">
        <f t="array" aca="1" ref="H103" ca="1">_FV(table1[[#This Row],[DataField]],"52 week high",TRUE)</f>
        <v>172.23</v>
      </c>
      <c r="I103" s="4" cm="1">
        <f t="array" aca="1" ref="I103" ca="1">_FV(table1[[#This Row],[DataField]],"P/E",TRUE)</f>
        <v>19.3674</v>
      </c>
      <c r="J103" s="2" t="str">
        <f ca="1">IF(table1[[#This Row],[Price]] &lt; (table1[[#This Row],[52Low]] * 0.25) + table1[[#This Row],[52Low]],  "TRUE", "FALSE")</f>
        <v>TRUE</v>
      </c>
      <c r="K103" s="2" t="str">
        <f ca="1">IF(table1[[#This Row],[Price]] &lt; (table1[[#This Row],[52Low]] * 0.1) + table1[[#This Row],[52Low]],  "TRUE", "FALSE")</f>
        <v>TRUE</v>
      </c>
      <c r="L103" s="6" cm="1">
        <f t="array" aca="1" ref="L103" ca="1">_FV(table1[[#This Row],[DataField]],"Market cap",TRUE)</f>
        <v>47848174795</v>
      </c>
    </row>
    <row r="104" spans="1:12" x14ac:dyDescent="0.2">
      <c r="A104" t="e" vm="104">
        <v>#VALUE!</v>
      </c>
      <c r="B104" t="str" cm="1">
        <f t="array" aca="1" ref="B104" ca="1">_FV(table1[[#This Row],[DataField]],"Ticker symbol",TRUE)</f>
        <v>WSO</v>
      </c>
      <c r="F104" s="2" cm="1">
        <f t="array" aca="1" ref="F104" ca="1">_FV(table1[[#This Row],[DataField]],"Price")</f>
        <v>347.2</v>
      </c>
      <c r="G104" s="2" cm="1">
        <f t="array" aca="1" ref="G104" ca="1">_FV(table1[[#This Row],[DataField]],"52 week low",TRUE)</f>
        <v>323.05</v>
      </c>
      <c r="H104" s="2" cm="1">
        <f t="array" aca="1" ref="H104" ca="1">_FV(table1[[#This Row],[DataField]],"52 week high",TRUE)</f>
        <v>521.70000000000005</v>
      </c>
      <c r="I104" s="4" cm="1">
        <f t="array" aca="1" ref="I104" ca="1">_FV(table1[[#This Row],[DataField]],"P/E",TRUE)</f>
        <v>28.7395</v>
      </c>
      <c r="J104" s="2" t="str">
        <f ca="1">IF(table1[[#This Row],[Price]] &lt; (table1[[#This Row],[52Low]] * 0.25) + table1[[#This Row],[52Low]],  "TRUE", "FALSE")</f>
        <v>TRUE</v>
      </c>
      <c r="K104" s="7" t="str">
        <f ca="1">IF(table1[[#This Row],[Price]] &lt; (table1[[#This Row],[52Low]] * 0.1) + table1[[#This Row],[52Low]],  "TRUE", "FALSE")</f>
        <v>TRUE</v>
      </c>
      <c r="L104" s="6" cm="1">
        <f t="array" aca="1" ref="L104" ca="1">_FV(table1[[#This Row],[DataField]],"Market cap",TRUE)</f>
        <v>14089049632</v>
      </c>
    </row>
  </sheetData>
  <phoneticPr fontId="2" type="noConversion"/>
  <conditionalFormatting sqref="B1:B1048576">
    <cfRule type="duplicateValues" dxfId="2" priority="1"/>
  </conditionalFormatting>
  <conditionalFormatting sqref="J1:K104 L89:L1048576">
    <cfRule type="cellIs" dxfId="1"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2026-03-29T13:30:56Z</dcterms:modified>
</cp:coreProperties>
</file>