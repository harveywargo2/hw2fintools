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BCD9E9C5-0D53-7A49-B0EC-2315D54BEF2E}" xr6:coauthVersionLast="47" xr6:coauthVersionMax="47" xr10:uidLastSave="{00000000-0000-0000-0000-000000000000}"/>
  <bookViews>
    <workbookView xWindow="0" yWindow="660" windowWidth="34560" windowHeight="216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 l="1" a="1"/>
  <c r="F29" i="1" s="1"/>
  <c r="F97" i="1" a="1"/>
  <c r="F97" i="1" s="1"/>
  <c r="F30" i="1" a="1"/>
  <c r="F30" i="1" s="1"/>
  <c r="F98" i="1" a="1"/>
  <c r="F98" i="1" s="1"/>
  <c r="F99" i="1" a="1"/>
  <c r="F99" i="1" s="1"/>
  <c r="F31" i="1" a="1"/>
  <c r="F31" i="1" s="1"/>
  <c r="F100" i="1" a="1"/>
  <c r="F100" i="1" s="1"/>
  <c r="F101" i="1" a="1"/>
  <c r="F101" i="1" s="1"/>
  <c r="F102" i="1" a="1"/>
  <c r="F102" i="1" s="1"/>
  <c r="B82" i="1" a="1"/>
  <c r="B82" i="1" s="1"/>
  <c r="F82" i="1" a="1"/>
  <c r="F82" i="1" s="1"/>
  <c r="G82" i="1" a="1"/>
  <c r="G82" i="1" s="1"/>
  <c r="H82" i="1" a="1"/>
  <c r="H82" i="1" s="1"/>
  <c r="I82" i="1" a="1"/>
  <c r="I82" i="1" s="1"/>
  <c r="L82" i="1" a="1"/>
  <c r="L82" i="1" s="1"/>
  <c r="B99" i="1" a="1"/>
  <c r="B99" i="1" s="1"/>
  <c r="G99" i="1" a="1"/>
  <c r="G99" i="1" s="1"/>
  <c r="H99" i="1" a="1"/>
  <c r="H99" i="1" s="1"/>
  <c r="I99" i="1" a="1"/>
  <c r="I99" i="1" s="1"/>
  <c r="L99" i="1" a="1"/>
  <c r="L99" i="1" s="1"/>
  <c r="B71" i="1" a="1"/>
  <c r="B71" i="1" s="1"/>
  <c r="F71" i="1" a="1"/>
  <c r="F71" i="1" s="1"/>
  <c r="G71" i="1" a="1"/>
  <c r="G71" i="1" s="1"/>
  <c r="H71" i="1" a="1"/>
  <c r="H71" i="1" s="1"/>
  <c r="I71" i="1" a="1"/>
  <c r="I71" i="1" s="1"/>
  <c r="L71" i="1" a="1"/>
  <c r="L71" i="1" s="1"/>
  <c r="B75" i="1" a="1"/>
  <c r="B75" i="1" s="1"/>
  <c r="F75" i="1" a="1"/>
  <c r="F75" i="1" s="1"/>
  <c r="G75" i="1" a="1"/>
  <c r="G75" i="1" s="1"/>
  <c r="H75" i="1" a="1"/>
  <c r="H75" i="1" s="1"/>
  <c r="I75" i="1" a="1"/>
  <c r="I75" i="1" s="1"/>
  <c r="L75" i="1" a="1"/>
  <c r="L75" i="1" s="1"/>
  <c r="B86" i="1" a="1"/>
  <c r="B86" i="1" s="1"/>
  <c r="F86" i="1" a="1"/>
  <c r="F86" i="1" s="1"/>
  <c r="G86" i="1" a="1"/>
  <c r="G86" i="1" s="1"/>
  <c r="H86" i="1" a="1"/>
  <c r="H86" i="1" s="1"/>
  <c r="I86" i="1" a="1"/>
  <c r="I86" i="1" s="1"/>
  <c r="L86" i="1" a="1"/>
  <c r="L86" i="1" s="1"/>
  <c r="B85" i="1" a="1"/>
  <c r="B85" i="1" s="1"/>
  <c r="F85" i="1" a="1"/>
  <c r="F85" i="1" s="1"/>
  <c r="G85" i="1" a="1"/>
  <c r="G85" i="1" s="1"/>
  <c r="H85" i="1" a="1"/>
  <c r="H85" i="1" s="1"/>
  <c r="I85" i="1" a="1"/>
  <c r="I85" i="1" s="1"/>
  <c r="L85" i="1" a="1"/>
  <c r="L85" i="1" s="1"/>
  <c r="B88" i="1" a="1"/>
  <c r="B88" i="1" s="1"/>
  <c r="F88" i="1" a="1"/>
  <c r="F88" i="1" s="1"/>
  <c r="G88" i="1" a="1"/>
  <c r="G88" i="1" s="1"/>
  <c r="H88" i="1" a="1"/>
  <c r="H88" i="1" s="1"/>
  <c r="I88" i="1" a="1"/>
  <c r="I88" i="1" s="1"/>
  <c r="L88" i="1" a="1"/>
  <c r="L88" i="1" s="1"/>
  <c r="B95" i="1" a="1"/>
  <c r="B95" i="1" s="1"/>
  <c r="F95" i="1" a="1"/>
  <c r="F95" i="1" s="1"/>
  <c r="G95" i="1" a="1"/>
  <c r="G95" i="1" s="1"/>
  <c r="H95" i="1" a="1"/>
  <c r="H95" i="1" s="1"/>
  <c r="I95" i="1" a="1"/>
  <c r="I95" i="1" s="1"/>
  <c r="L95" i="1" a="1"/>
  <c r="L95" i="1" s="1"/>
  <c r="I37" i="1" a="1"/>
  <c r="I37" i="1" s="1"/>
  <c r="I3" i="1" a="1"/>
  <c r="I3" i="1" s="1"/>
  <c r="I38" i="1" a="1"/>
  <c r="I38" i="1" s="1"/>
  <c r="I39" i="1" a="1"/>
  <c r="I39" i="1" s="1"/>
  <c r="I40" i="1" a="1"/>
  <c r="I40" i="1" s="1"/>
  <c r="I4" i="1" a="1"/>
  <c r="I4" i="1" s="1"/>
  <c r="I41" i="1" a="1"/>
  <c r="I41" i="1" s="1"/>
  <c r="I42" i="1" a="1"/>
  <c r="I42" i="1" s="1"/>
  <c r="I43" i="1" a="1"/>
  <c r="I43" i="1" s="1"/>
  <c r="I44" i="1" a="1"/>
  <c r="I44" i="1" s="1"/>
  <c r="I45" i="1" a="1"/>
  <c r="I45" i="1" s="1"/>
  <c r="I46" i="1" a="1"/>
  <c r="I46" i="1" s="1"/>
  <c r="I5" i="1" a="1"/>
  <c r="I5" i="1" s="1"/>
  <c r="I6" i="1" a="1"/>
  <c r="I6" i="1" s="1"/>
  <c r="I47" i="1" a="1"/>
  <c r="I47" i="1" s="1"/>
  <c r="I48" i="1" a="1"/>
  <c r="I48" i="1" s="1"/>
  <c r="I49" i="1" a="1"/>
  <c r="I49" i="1" s="1"/>
  <c r="I7" i="1" a="1"/>
  <c r="I7" i="1" s="1"/>
  <c r="I8" i="1" a="1"/>
  <c r="I8" i="1" s="1"/>
  <c r="I50" i="1" a="1"/>
  <c r="I50" i="1" s="1"/>
  <c r="I51" i="1" a="1"/>
  <c r="I51" i="1" s="1"/>
  <c r="I52" i="1" a="1"/>
  <c r="I52" i="1" s="1"/>
  <c r="I9" i="1" a="1"/>
  <c r="I9" i="1" s="1"/>
  <c r="I10" i="1" a="1"/>
  <c r="I10" i="1" s="1"/>
  <c r="I53" i="1" a="1"/>
  <c r="I53" i="1" s="1"/>
  <c r="I54" i="1" a="1"/>
  <c r="I54" i="1" s="1"/>
  <c r="I55" i="1" a="1"/>
  <c r="I55" i="1" s="1"/>
  <c r="I57" i="1" a="1"/>
  <c r="I57" i="1" s="1"/>
  <c r="I58" i="1" a="1"/>
  <c r="I58" i="1" s="1"/>
  <c r="I59" i="1" a="1"/>
  <c r="I59" i="1" s="1"/>
  <c r="I11" i="1" a="1"/>
  <c r="I11" i="1" s="1"/>
  <c r="I60" i="1" a="1"/>
  <c r="I60" i="1" s="1"/>
  <c r="I62" i="1" a="1"/>
  <c r="I62" i="1" s="1"/>
  <c r="I63" i="1" a="1"/>
  <c r="I63" i="1" s="1"/>
  <c r="I64" i="1" a="1"/>
  <c r="I64" i="1" s="1"/>
  <c r="I12" i="1" a="1"/>
  <c r="I12" i="1" s="1"/>
  <c r="I65" i="1" a="1"/>
  <c r="I65" i="1" s="1"/>
  <c r="I66" i="1" a="1"/>
  <c r="I66" i="1" s="1"/>
  <c r="I13" i="1" a="1"/>
  <c r="I13" i="1" s="1"/>
  <c r="I67" i="1" a="1"/>
  <c r="I67" i="1" s="1"/>
  <c r="I14" i="1" a="1"/>
  <c r="I14" i="1" s="1"/>
  <c r="I68" i="1" a="1"/>
  <c r="I68" i="1" s="1"/>
  <c r="I69" i="1" a="1"/>
  <c r="I69" i="1" s="1"/>
  <c r="I15" i="1" a="1"/>
  <c r="I15" i="1" s="1"/>
  <c r="I32" i="1" a="1"/>
  <c r="I32" i="1" s="1"/>
  <c r="I72" i="1" a="1"/>
  <c r="I72" i="1" s="1"/>
  <c r="I73" i="1" a="1"/>
  <c r="I73" i="1" s="1"/>
  <c r="I36" i="1" a="1"/>
  <c r="I36" i="1" s="1"/>
  <c r="I35" i="1" a="1"/>
  <c r="I35" i="1" s="1"/>
  <c r="I34" i="1" a="1"/>
  <c r="I34" i="1" s="1"/>
  <c r="I16" i="1" a="1"/>
  <c r="I16" i="1" s="1"/>
  <c r="I74" i="1" a="1"/>
  <c r="I74" i="1" s="1"/>
  <c r="I33" i="1" a="1"/>
  <c r="I33" i="1" s="1"/>
  <c r="I76" i="1" a="1"/>
  <c r="I76" i="1" s="1"/>
  <c r="I17" i="1" a="1"/>
  <c r="I17" i="1" s="1"/>
  <c r="I77" i="1" a="1"/>
  <c r="I77" i="1" s="1"/>
  <c r="I18" i="1" a="1"/>
  <c r="I18" i="1" s="1"/>
  <c r="I78" i="1" a="1"/>
  <c r="I78" i="1" s="1"/>
  <c r="I79" i="1" a="1"/>
  <c r="I79" i="1" s="1"/>
  <c r="I80" i="1" a="1"/>
  <c r="I80" i="1" s="1"/>
  <c r="I19" i="1" a="1"/>
  <c r="I19" i="1" s="1"/>
  <c r="I20" i="1" a="1"/>
  <c r="I20" i="1" s="1"/>
  <c r="I81" i="1" a="1"/>
  <c r="I81" i="1" s="1"/>
  <c r="I83" i="1" a="1"/>
  <c r="I83" i="1" s="1"/>
  <c r="I21" i="1" a="1"/>
  <c r="I21" i="1" s="1"/>
  <c r="I22" i="1" a="1"/>
  <c r="I22" i="1" s="1"/>
  <c r="I84" i="1" a="1"/>
  <c r="I84" i="1" s="1"/>
  <c r="I87" i="1" a="1"/>
  <c r="I87" i="1" s="1"/>
  <c r="I89" i="1" a="1"/>
  <c r="I89" i="1" s="1"/>
  <c r="I90" i="1" a="1"/>
  <c r="I90" i="1" s="1"/>
  <c r="I23" i="1" a="1"/>
  <c r="I23" i="1" s="1"/>
  <c r="I91" i="1" a="1"/>
  <c r="I91" i="1" s="1"/>
  <c r="I92" i="1" a="1"/>
  <c r="I92" i="1" s="1"/>
  <c r="I24" i="1" a="1"/>
  <c r="I24" i="1" s="1"/>
  <c r="I93" i="1" a="1"/>
  <c r="I93" i="1" s="1"/>
  <c r="I25" i="1" a="1"/>
  <c r="I25" i="1" s="1"/>
  <c r="I94" i="1" a="1"/>
  <c r="I94" i="1" s="1"/>
  <c r="I26" i="1" a="1"/>
  <c r="I26" i="1" s="1"/>
  <c r="I96" i="1" a="1"/>
  <c r="I96" i="1" s="1"/>
  <c r="I27" i="1" a="1"/>
  <c r="I27" i="1" s="1"/>
  <c r="I28" i="1" a="1"/>
  <c r="I28" i="1" s="1"/>
  <c r="I29" i="1" a="1"/>
  <c r="I29" i="1" s="1"/>
  <c r="I97" i="1" a="1"/>
  <c r="I97" i="1" s="1"/>
  <c r="I30" i="1" a="1"/>
  <c r="I30" i="1" s="1"/>
  <c r="I98" i="1" a="1"/>
  <c r="I98" i="1" s="1"/>
  <c r="I31" i="1" a="1"/>
  <c r="I31" i="1" s="1"/>
  <c r="I100" i="1" a="1"/>
  <c r="I100" i="1" s="1"/>
  <c r="I101" i="1" a="1"/>
  <c r="I101" i="1" s="1"/>
  <c r="I102" i="1" a="1"/>
  <c r="I102" i="1" s="1"/>
  <c r="I56" i="1" a="1"/>
  <c r="I56" i="1" s="1"/>
  <c r="I61" i="1" a="1"/>
  <c r="I61" i="1" s="1"/>
  <c r="I70" i="1" a="1"/>
  <c r="I70" i="1" s="1"/>
  <c r="I2" i="1" a="1"/>
  <c r="I2" i="1" s="1"/>
  <c r="B70" i="1" a="1"/>
  <c r="B70" i="1" s="1"/>
  <c r="F70" i="1" a="1"/>
  <c r="F70" i="1" s="1"/>
  <c r="G70" i="1" a="1"/>
  <c r="G70" i="1" s="1"/>
  <c r="H70" i="1" a="1"/>
  <c r="H70" i="1" s="1"/>
  <c r="L70" i="1" a="1"/>
  <c r="L70" i="1" s="1"/>
  <c r="B61" i="1" a="1"/>
  <c r="B61" i="1" s="1"/>
  <c r="F61" i="1" a="1"/>
  <c r="F61" i="1" s="1"/>
  <c r="G61" i="1" a="1"/>
  <c r="G61" i="1" s="1"/>
  <c r="H61" i="1" a="1"/>
  <c r="H61" i="1" s="1"/>
  <c r="L61" i="1" a="1"/>
  <c r="L61" i="1" s="1"/>
  <c r="B56" i="1" a="1"/>
  <c r="B56" i="1" s="1"/>
  <c r="F56" i="1" a="1"/>
  <c r="F56" i="1" s="1"/>
  <c r="G56" i="1" a="1"/>
  <c r="G56" i="1" s="1"/>
  <c r="H56" i="1" a="1"/>
  <c r="H56" i="1" s="1"/>
  <c r="L56" i="1" a="1"/>
  <c r="L56" i="1" s="1"/>
  <c r="B100" i="1" a="1"/>
  <c r="B100" i="1" s="1"/>
  <c r="G100" i="1" a="1"/>
  <c r="G100" i="1" s="1"/>
  <c r="H100" i="1" a="1"/>
  <c r="H100" i="1" s="1"/>
  <c r="L100" i="1" a="1"/>
  <c r="L100" i="1" s="1"/>
  <c r="B84" i="1" a="1"/>
  <c r="B84" i="1" s="1"/>
  <c r="F84" i="1" a="1"/>
  <c r="F84" i="1" s="1"/>
  <c r="G84" i="1" a="1"/>
  <c r="G84" i="1" s="1"/>
  <c r="H84" i="1" a="1"/>
  <c r="H84" i="1" s="1"/>
  <c r="L84" i="1" a="1"/>
  <c r="L84" i="1" s="1"/>
  <c r="B48" i="1" a="1"/>
  <c r="B48" i="1" s="1"/>
  <c r="F48" i="1" a="1"/>
  <c r="F48" i="1" s="1"/>
  <c r="G48" i="1" a="1"/>
  <c r="G48" i="1" s="1"/>
  <c r="H48" i="1" a="1"/>
  <c r="H48" i="1" s="1"/>
  <c r="L48" i="1" a="1"/>
  <c r="L48" i="1" s="1"/>
  <c r="B40" i="1" a="1"/>
  <c r="B40" i="1" s="1"/>
  <c r="F40" i="1" a="1"/>
  <c r="F40" i="1" s="1"/>
  <c r="G40" i="1" a="1"/>
  <c r="G40" i="1" s="1"/>
  <c r="H40" i="1" a="1"/>
  <c r="H40" i="1" s="1"/>
  <c r="L40" i="1" a="1"/>
  <c r="L40" i="1" s="1"/>
  <c r="B96" i="1" a="1"/>
  <c r="B96" i="1" s="1"/>
  <c r="F96" i="1" a="1"/>
  <c r="F96" i="1" s="1"/>
  <c r="G96" i="1" a="1"/>
  <c r="G96" i="1" s="1"/>
  <c r="H96" i="1" a="1"/>
  <c r="H96" i="1" s="1"/>
  <c r="L96" i="1" a="1"/>
  <c r="L96" i="1" s="1"/>
  <c r="B93" i="1" a="1"/>
  <c r="B93" i="1" s="1"/>
  <c r="F93" i="1" a="1"/>
  <c r="F93" i="1" s="1"/>
  <c r="G93" i="1" a="1"/>
  <c r="G93" i="1" s="1"/>
  <c r="H93" i="1" a="1"/>
  <c r="H93" i="1" s="1"/>
  <c r="L93" i="1" a="1"/>
  <c r="L93" i="1" s="1"/>
  <c r="B44" i="1" a="1"/>
  <c r="B44" i="1" s="1"/>
  <c r="F44" i="1" a="1"/>
  <c r="F44" i="1" s="1"/>
  <c r="G44" i="1" a="1"/>
  <c r="G44" i="1" s="1"/>
  <c r="H44" i="1" a="1"/>
  <c r="H44" i="1" s="1"/>
  <c r="L44" i="1" a="1"/>
  <c r="L44" i="1" s="1"/>
  <c r="B76" i="1" a="1"/>
  <c r="B76" i="1" s="1"/>
  <c r="F76" i="1" a="1"/>
  <c r="F76" i="1" s="1"/>
  <c r="G76" i="1" a="1"/>
  <c r="G76" i="1" s="1"/>
  <c r="H76" i="1" a="1"/>
  <c r="H76" i="1" s="1"/>
  <c r="L76" i="1" a="1"/>
  <c r="L76" i="1" s="1"/>
  <c r="B102" i="1" a="1"/>
  <c r="B102" i="1" s="1"/>
  <c r="G102" i="1" a="1"/>
  <c r="G102" i="1" s="1"/>
  <c r="H102" i="1" a="1"/>
  <c r="H102" i="1" s="1"/>
  <c r="L102" i="1" a="1"/>
  <c r="L102" i="1" s="1"/>
  <c r="B80" i="1" a="1"/>
  <c r="B80" i="1" s="1"/>
  <c r="F80" i="1" a="1"/>
  <c r="F80" i="1" s="1"/>
  <c r="G80" i="1" a="1"/>
  <c r="G80" i="1" s="1"/>
  <c r="H80" i="1" a="1"/>
  <c r="H80" i="1" s="1"/>
  <c r="L80" i="1" a="1"/>
  <c r="L80" i="1" s="1"/>
  <c r="B39" i="1" a="1"/>
  <c r="B39" i="1" s="1"/>
  <c r="F39" i="1" a="1"/>
  <c r="F39" i="1" s="1"/>
  <c r="G39" i="1" a="1"/>
  <c r="G39" i="1" s="1"/>
  <c r="H39" i="1" a="1"/>
  <c r="H39" i="1" s="1"/>
  <c r="L39" i="1" a="1"/>
  <c r="L39" i="1" s="1"/>
  <c r="B78" i="1" a="1"/>
  <c r="B78" i="1" s="1"/>
  <c r="F78" i="1" a="1"/>
  <c r="F78" i="1" s="1"/>
  <c r="G78" i="1" a="1"/>
  <c r="G78" i="1" s="1"/>
  <c r="H78" i="1" a="1"/>
  <c r="H78" i="1" s="1"/>
  <c r="L78" i="1" a="1"/>
  <c r="L78" i="1" s="1"/>
  <c r="B42" i="1" a="1"/>
  <c r="B42" i="1" s="1"/>
  <c r="F42" i="1" a="1"/>
  <c r="F42" i="1" s="1"/>
  <c r="G42" i="1" a="1"/>
  <c r="G42" i="1" s="1"/>
  <c r="H42" i="1" a="1"/>
  <c r="H42" i="1" s="1"/>
  <c r="L42" i="1" a="1"/>
  <c r="L42" i="1" s="1"/>
  <c r="B101" i="1" a="1"/>
  <c r="B101" i="1" s="1"/>
  <c r="G101" i="1" a="1"/>
  <c r="G101" i="1" s="1"/>
  <c r="H101" i="1" a="1"/>
  <c r="H101" i="1" s="1"/>
  <c r="L101" i="1" a="1"/>
  <c r="L101" i="1" s="1"/>
  <c r="B98" i="1" a="1"/>
  <c r="B98" i="1" s="1"/>
  <c r="G98" i="1" a="1"/>
  <c r="G98" i="1" s="1"/>
  <c r="H98" i="1" a="1"/>
  <c r="H98" i="1" s="1"/>
  <c r="L98" i="1" a="1"/>
  <c r="L98" i="1" s="1"/>
  <c r="B29" i="1" a="1"/>
  <c r="B29" i="1" s="1"/>
  <c r="G29" i="1" a="1"/>
  <c r="G29" i="1" s="1"/>
  <c r="H29" i="1" a="1"/>
  <c r="H29" i="1" s="1"/>
  <c r="L29" i="1" a="1"/>
  <c r="L29" i="1" s="1"/>
  <c r="B97" i="1" a="1"/>
  <c r="B97" i="1" s="1"/>
  <c r="G97" i="1" a="1"/>
  <c r="G97" i="1" s="1"/>
  <c r="H97" i="1" a="1"/>
  <c r="H97" i="1" s="1"/>
  <c r="L97" i="1" a="1"/>
  <c r="L97" i="1" s="1"/>
  <c r="B94" i="1" a="1"/>
  <c r="B94" i="1" s="1"/>
  <c r="F94" i="1" a="1"/>
  <c r="F94" i="1" s="1"/>
  <c r="G94" i="1" a="1"/>
  <c r="G94" i="1" s="1"/>
  <c r="H94" i="1" a="1"/>
  <c r="H94" i="1" s="1"/>
  <c r="L94" i="1" a="1"/>
  <c r="L94" i="1" s="1"/>
  <c r="B92" i="1" a="1"/>
  <c r="B92" i="1" s="1"/>
  <c r="F92" i="1" a="1"/>
  <c r="F92" i="1" s="1"/>
  <c r="G92" i="1" a="1"/>
  <c r="G92" i="1" s="1"/>
  <c r="H92" i="1" a="1"/>
  <c r="H92" i="1" s="1"/>
  <c r="L92" i="1" a="1"/>
  <c r="L92" i="1" s="1"/>
  <c r="B91" i="1" a="1"/>
  <c r="B91" i="1" s="1"/>
  <c r="F91" i="1" a="1"/>
  <c r="F91" i="1" s="1"/>
  <c r="G91" i="1" a="1"/>
  <c r="G91" i="1" s="1"/>
  <c r="H91" i="1" a="1"/>
  <c r="H91" i="1" s="1"/>
  <c r="L91" i="1" a="1"/>
  <c r="L91" i="1" s="1"/>
  <c r="B90" i="1" a="1"/>
  <c r="B90" i="1" s="1"/>
  <c r="F90" i="1" a="1"/>
  <c r="F90" i="1" s="1"/>
  <c r="G90" i="1" a="1"/>
  <c r="G90" i="1" s="1"/>
  <c r="H90" i="1" a="1"/>
  <c r="H90" i="1" s="1"/>
  <c r="L90" i="1" a="1"/>
  <c r="L90" i="1" s="1"/>
  <c r="B89" i="1" a="1"/>
  <c r="B89" i="1" s="1"/>
  <c r="F89" i="1" a="1"/>
  <c r="F89" i="1" s="1"/>
  <c r="G89" i="1" a="1"/>
  <c r="G89" i="1" s="1"/>
  <c r="H89" i="1" a="1"/>
  <c r="H89" i="1" s="1"/>
  <c r="L89" i="1" a="1"/>
  <c r="L89" i="1" s="1"/>
  <c r="B87" i="1" a="1"/>
  <c r="B87" i="1" s="1"/>
  <c r="F87" i="1" a="1"/>
  <c r="F87" i="1" s="1"/>
  <c r="G87" i="1" a="1"/>
  <c r="G87" i="1" s="1"/>
  <c r="H87" i="1" a="1"/>
  <c r="H87" i="1" s="1"/>
  <c r="L87" i="1" a="1"/>
  <c r="L87" i="1" s="1"/>
  <c r="B81" i="1" a="1"/>
  <c r="B81" i="1" s="1"/>
  <c r="F81" i="1" a="1"/>
  <c r="F81" i="1" s="1"/>
  <c r="G81" i="1" a="1"/>
  <c r="G81" i="1" s="1"/>
  <c r="H81" i="1" a="1"/>
  <c r="H81" i="1" s="1"/>
  <c r="L81" i="1" a="1"/>
  <c r="L81" i="1" s="1"/>
  <c r="B79" i="1" a="1"/>
  <c r="B79" i="1" s="1"/>
  <c r="F79" i="1" a="1"/>
  <c r="F79" i="1" s="1"/>
  <c r="G79" i="1" a="1"/>
  <c r="G79" i="1" s="1"/>
  <c r="H79" i="1" a="1"/>
  <c r="H79" i="1" s="1"/>
  <c r="L79" i="1" a="1"/>
  <c r="L79" i="1" s="1"/>
  <c r="B74" i="1" a="1"/>
  <c r="B74" i="1" s="1"/>
  <c r="F74" i="1" a="1"/>
  <c r="F74" i="1" s="1"/>
  <c r="G74" i="1" a="1"/>
  <c r="G74" i="1" s="1"/>
  <c r="H74" i="1" a="1"/>
  <c r="H74" i="1" s="1"/>
  <c r="L74" i="1" a="1"/>
  <c r="L74" i="1" s="1"/>
  <c r="B73" i="1" a="1"/>
  <c r="B73" i="1" s="1"/>
  <c r="F73" i="1" a="1"/>
  <c r="F73" i="1" s="1"/>
  <c r="G73" i="1" a="1"/>
  <c r="G73" i="1" s="1"/>
  <c r="H73" i="1" a="1"/>
  <c r="H73" i="1" s="1"/>
  <c r="L73" i="1" a="1"/>
  <c r="L73" i="1" s="1"/>
  <c r="B72" i="1" a="1"/>
  <c r="B72" i="1" s="1"/>
  <c r="F72" i="1" a="1"/>
  <c r="F72" i="1" s="1"/>
  <c r="G72" i="1" a="1"/>
  <c r="G72" i="1" s="1"/>
  <c r="H72" i="1" a="1"/>
  <c r="H72" i="1" s="1"/>
  <c r="L72" i="1" a="1"/>
  <c r="L72" i="1" s="1"/>
  <c r="B69" i="1" a="1"/>
  <c r="B69" i="1" s="1"/>
  <c r="F69" i="1" a="1"/>
  <c r="F69" i="1" s="1"/>
  <c r="G69" i="1" a="1"/>
  <c r="G69" i="1" s="1"/>
  <c r="H69" i="1" a="1"/>
  <c r="H69" i="1" s="1"/>
  <c r="L69" i="1" a="1"/>
  <c r="L69" i="1" s="1"/>
  <c r="B68" i="1" a="1"/>
  <c r="B68" i="1" s="1"/>
  <c r="F68" i="1" a="1"/>
  <c r="F68" i="1" s="1"/>
  <c r="G68" i="1" a="1"/>
  <c r="G68" i="1" s="1"/>
  <c r="H68" i="1" a="1"/>
  <c r="H68" i="1" s="1"/>
  <c r="L68" i="1" a="1"/>
  <c r="L68" i="1" s="1"/>
  <c r="B67" i="1" a="1"/>
  <c r="B67" i="1" s="1"/>
  <c r="F67" i="1" a="1"/>
  <c r="F67" i="1" s="1"/>
  <c r="G67" i="1" a="1"/>
  <c r="G67" i="1" s="1"/>
  <c r="H67" i="1" a="1"/>
  <c r="H67" i="1" s="1"/>
  <c r="L67" i="1" a="1"/>
  <c r="L67" i="1" s="1"/>
  <c r="B65" i="1" a="1"/>
  <c r="B65" i="1" s="1"/>
  <c r="F65" i="1" a="1"/>
  <c r="F65" i="1" s="1"/>
  <c r="G65" i="1" a="1"/>
  <c r="G65" i="1" s="1"/>
  <c r="H65" i="1" a="1"/>
  <c r="H65" i="1" s="1"/>
  <c r="L65" i="1" a="1"/>
  <c r="L65" i="1" s="1"/>
  <c r="B64" i="1" a="1"/>
  <c r="B64" i="1" s="1"/>
  <c r="F64" i="1" a="1"/>
  <c r="F64" i="1" s="1"/>
  <c r="G64" i="1" a="1"/>
  <c r="G64" i="1" s="1"/>
  <c r="H64" i="1" a="1"/>
  <c r="H64" i="1" s="1"/>
  <c r="L64" i="1" a="1"/>
  <c r="L64" i="1" s="1"/>
  <c r="B63" i="1" a="1"/>
  <c r="B63" i="1" s="1"/>
  <c r="F63" i="1" a="1"/>
  <c r="F63" i="1" s="1"/>
  <c r="G63" i="1" a="1"/>
  <c r="G63" i="1" s="1"/>
  <c r="H63" i="1" a="1"/>
  <c r="H63" i="1" s="1"/>
  <c r="L63" i="1" a="1"/>
  <c r="L63" i="1" s="1"/>
  <c r="B62" i="1" a="1"/>
  <c r="B62" i="1" s="1"/>
  <c r="F62" i="1" a="1"/>
  <c r="F62" i="1" s="1"/>
  <c r="G62" i="1" a="1"/>
  <c r="G62" i="1" s="1"/>
  <c r="H62" i="1" a="1"/>
  <c r="H62" i="1" s="1"/>
  <c r="L62" i="1" a="1"/>
  <c r="L62" i="1" s="1"/>
  <c r="B60" i="1" a="1"/>
  <c r="B60" i="1" s="1"/>
  <c r="F60" i="1" a="1"/>
  <c r="F60" i="1" s="1"/>
  <c r="G60" i="1" a="1"/>
  <c r="G60" i="1" s="1"/>
  <c r="H60" i="1" a="1"/>
  <c r="H60" i="1" s="1"/>
  <c r="L60" i="1" a="1"/>
  <c r="L60" i="1" s="1"/>
  <c r="B57" i="1" a="1"/>
  <c r="B57" i="1" s="1"/>
  <c r="F57" i="1" a="1"/>
  <c r="F57" i="1" s="1"/>
  <c r="G57" i="1" a="1"/>
  <c r="G57" i="1" s="1"/>
  <c r="H57" i="1" a="1"/>
  <c r="H57" i="1" s="1"/>
  <c r="L57" i="1" a="1"/>
  <c r="L57" i="1" s="1"/>
  <c r="B55" i="1" a="1"/>
  <c r="B55" i="1" s="1"/>
  <c r="F55" i="1" a="1"/>
  <c r="F55" i="1" s="1"/>
  <c r="G55" i="1" a="1"/>
  <c r="G55" i="1" s="1"/>
  <c r="H55" i="1" a="1"/>
  <c r="H55" i="1" s="1"/>
  <c r="L55" i="1" a="1"/>
  <c r="L55" i="1" s="1"/>
  <c r="B59" i="1" a="1"/>
  <c r="B59" i="1" s="1"/>
  <c r="F59" i="1" a="1"/>
  <c r="F59" i="1" s="1"/>
  <c r="G59" i="1" a="1"/>
  <c r="G59" i="1" s="1"/>
  <c r="H59" i="1" a="1"/>
  <c r="H59" i="1" s="1"/>
  <c r="L59" i="1" a="1"/>
  <c r="L59" i="1" s="1"/>
  <c r="B58" i="1" a="1"/>
  <c r="B58" i="1" s="1"/>
  <c r="F58" i="1" a="1"/>
  <c r="F58" i="1" s="1"/>
  <c r="G58" i="1" a="1"/>
  <c r="G58" i="1" s="1"/>
  <c r="H58" i="1" a="1"/>
  <c r="H58" i="1" s="1"/>
  <c r="L58" i="1" a="1"/>
  <c r="L58" i="1" s="1"/>
  <c r="B54" i="1" a="1"/>
  <c r="B54" i="1" s="1"/>
  <c r="F54" i="1" a="1"/>
  <c r="F54" i="1" s="1"/>
  <c r="G54" i="1" a="1"/>
  <c r="G54" i="1" s="1"/>
  <c r="H54" i="1" a="1"/>
  <c r="H54" i="1" s="1"/>
  <c r="L54" i="1" a="1"/>
  <c r="L54" i="1" s="1"/>
  <c r="B53" i="1" a="1"/>
  <c r="B53" i="1" s="1"/>
  <c r="F53" i="1" a="1"/>
  <c r="F53" i="1" s="1"/>
  <c r="G53" i="1" a="1"/>
  <c r="G53" i="1" s="1"/>
  <c r="H53" i="1" a="1"/>
  <c r="H53" i="1" s="1"/>
  <c r="L53" i="1" a="1"/>
  <c r="L53" i="1" s="1"/>
  <c r="B52" i="1" a="1"/>
  <c r="B52" i="1" s="1"/>
  <c r="F52" i="1" a="1"/>
  <c r="F52" i="1" s="1"/>
  <c r="G52" i="1" a="1"/>
  <c r="G52" i="1" s="1"/>
  <c r="H52" i="1" a="1"/>
  <c r="H52" i="1" s="1"/>
  <c r="L52" i="1" a="1"/>
  <c r="L52" i="1" s="1"/>
  <c r="B51" i="1" a="1"/>
  <c r="B51" i="1" s="1"/>
  <c r="F51" i="1" a="1"/>
  <c r="F51" i="1" s="1"/>
  <c r="G51" i="1" a="1"/>
  <c r="G51" i="1" s="1"/>
  <c r="H51" i="1" a="1"/>
  <c r="H51" i="1" s="1"/>
  <c r="L51" i="1" a="1"/>
  <c r="L51" i="1" s="1"/>
  <c r="B50" i="1" a="1"/>
  <c r="B50" i="1" s="1"/>
  <c r="F50" i="1" a="1"/>
  <c r="F50" i="1" s="1"/>
  <c r="G50" i="1" a="1"/>
  <c r="G50" i="1" s="1"/>
  <c r="H50" i="1" a="1"/>
  <c r="H50" i="1" s="1"/>
  <c r="L50" i="1" a="1"/>
  <c r="L50" i="1" s="1"/>
  <c r="B49" i="1" a="1"/>
  <c r="B49" i="1" s="1"/>
  <c r="F49" i="1" a="1"/>
  <c r="F49" i="1" s="1"/>
  <c r="G49" i="1" a="1"/>
  <c r="G49" i="1" s="1"/>
  <c r="H49" i="1" a="1"/>
  <c r="H49" i="1" s="1"/>
  <c r="L49" i="1" a="1"/>
  <c r="L49" i="1" s="1"/>
  <c r="B47" i="1" a="1"/>
  <c r="B47" i="1" s="1"/>
  <c r="F47" i="1" a="1"/>
  <c r="F47" i="1" s="1"/>
  <c r="G47" i="1" a="1"/>
  <c r="G47" i="1" s="1"/>
  <c r="H47" i="1" a="1"/>
  <c r="H47" i="1" s="1"/>
  <c r="L47" i="1" a="1"/>
  <c r="L47" i="1" s="1"/>
  <c r="B46" i="1" a="1"/>
  <c r="B46" i="1" s="1"/>
  <c r="F46" i="1" a="1"/>
  <c r="F46" i="1" s="1"/>
  <c r="G46" i="1" a="1"/>
  <c r="G46" i="1" s="1"/>
  <c r="H46" i="1" a="1"/>
  <c r="H46" i="1" s="1"/>
  <c r="L46" i="1" a="1"/>
  <c r="L46" i="1" s="1"/>
  <c r="B45" i="1" a="1"/>
  <c r="B45" i="1" s="1"/>
  <c r="F45" i="1" a="1"/>
  <c r="F45" i="1" s="1"/>
  <c r="G45" i="1" a="1"/>
  <c r="G45" i="1" s="1"/>
  <c r="H45" i="1" a="1"/>
  <c r="H45" i="1" s="1"/>
  <c r="L45" i="1" a="1"/>
  <c r="L45" i="1" s="1"/>
  <c r="B43" i="1" a="1"/>
  <c r="B43" i="1" s="1"/>
  <c r="F43" i="1" a="1"/>
  <c r="F43" i="1" s="1"/>
  <c r="G43" i="1" a="1"/>
  <c r="G43" i="1" s="1"/>
  <c r="H43" i="1" a="1"/>
  <c r="H43" i="1" s="1"/>
  <c r="L43" i="1" a="1"/>
  <c r="L43" i="1" s="1"/>
  <c r="B41" i="1" a="1"/>
  <c r="B41" i="1" s="1"/>
  <c r="F41" i="1" a="1"/>
  <c r="F41" i="1" s="1"/>
  <c r="G41" i="1" a="1"/>
  <c r="G41" i="1" s="1"/>
  <c r="H41" i="1" a="1"/>
  <c r="H41" i="1" s="1"/>
  <c r="L41" i="1" a="1"/>
  <c r="L41" i="1" s="1"/>
  <c r="B38" i="1" a="1"/>
  <c r="B38" i="1" s="1"/>
  <c r="F38" i="1" a="1"/>
  <c r="F38" i="1" s="1"/>
  <c r="G38" i="1" a="1"/>
  <c r="G38" i="1" s="1"/>
  <c r="H38" i="1" a="1"/>
  <c r="H38" i="1" s="1"/>
  <c r="L38" i="1" a="1"/>
  <c r="L38" i="1" s="1"/>
  <c r="B37" i="1" a="1"/>
  <c r="B37" i="1" s="1"/>
  <c r="F37" i="1" a="1"/>
  <c r="F37" i="1" s="1"/>
  <c r="G37" i="1" a="1"/>
  <c r="G37" i="1" s="1"/>
  <c r="H37" i="1" a="1"/>
  <c r="H37" i="1" s="1"/>
  <c r="L37" i="1" a="1"/>
  <c r="L37" i="1" s="1"/>
  <c r="J99" i="1" l="1"/>
  <c r="J82" i="1"/>
  <c r="K82" i="1"/>
  <c r="K99" i="1"/>
  <c r="J71" i="1"/>
  <c r="J75" i="1"/>
  <c r="K71" i="1"/>
  <c r="K75" i="1"/>
  <c r="J86" i="1"/>
  <c r="K86" i="1"/>
  <c r="K85" i="1"/>
  <c r="J88" i="1"/>
  <c r="J85" i="1"/>
  <c r="J95" i="1"/>
  <c r="K88" i="1"/>
  <c r="K95" i="1"/>
  <c r="J70" i="1"/>
  <c r="K70" i="1"/>
  <c r="J61" i="1"/>
  <c r="J56" i="1"/>
  <c r="K61" i="1"/>
  <c r="K56" i="1"/>
  <c r="J100" i="1"/>
  <c r="K100" i="1"/>
  <c r="J84" i="1"/>
  <c r="K84" i="1"/>
  <c r="J48" i="1"/>
  <c r="K48" i="1"/>
  <c r="J40" i="1"/>
  <c r="K96" i="1"/>
  <c r="K40" i="1"/>
  <c r="J96" i="1"/>
  <c r="J93" i="1"/>
  <c r="K93" i="1"/>
  <c r="J44" i="1"/>
  <c r="J76" i="1"/>
  <c r="K44" i="1"/>
  <c r="J102" i="1"/>
  <c r="K76" i="1"/>
  <c r="J80" i="1"/>
  <c r="K102" i="1"/>
  <c r="K80" i="1"/>
  <c r="J39" i="1"/>
  <c r="J78" i="1"/>
  <c r="K39" i="1"/>
  <c r="J42" i="1"/>
  <c r="K78" i="1"/>
  <c r="K42" i="1"/>
  <c r="K98" i="1"/>
  <c r="J101" i="1"/>
  <c r="K101" i="1"/>
  <c r="J98" i="1"/>
  <c r="J29" i="1"/>
  <c r="K29" i="1"/>
  <c r="J97" i="1"/>
  <c r="J94" i="1"/>
  <c r="K97" i="1"/>
  <c r="J92" i="1"/>
  <c r="K94" i="1"/>
  <c r="J91" i="1"/>
  <c r="K92" i="1"/>
  <c r="J90" i="1"/>
  <c r="K91" i="1"/>
  <c r="J89" i="1"/>
  <c r="K90" i="1"/>
  <c r="K89" i="1"/>
  <c r="J87" i="1"/>
  <c r="J81" i="1"/>
  <c r="K87" i="1"/>
  <c r="J79" i="1"/>
  <c r="K81" i="1"/>
  <c r="K79" i="1"/>
  <c r="J74" i="1"/>
  <c r="K74" i="1"/>
  <c r="J73" i="1"/>
  <c r="K72" i="1"/>
  <c r="K73" i="1"/>
  <c r="J72" i="1"/>
  <c r="J69" i="1"/>
  <c r="J68" i="1"/>
  <c r="K69" i="1"/>
  <c r="K68" i="1"/>
  <c r="J67" i="1"/>
  <c r="K67" i="1"/>
  <c r="J65" i="1"/>
  <c r="K65" i="1"/>
  <c r="J64" i="1"/>
  <c r="K63" i="1"/>
  <c r="K64" i="1"/>
  <c r="J63" i="1"/>
  <c r="J62" i="1"/>
  <c r="K62" i="1"/>
  <c r="J60" i="1"/>
  <c r="K60" i="1"/>
  <c r="J57" i="1"/>
  <c r="K57" i="1"/>
  <c r="J59" i="1"/>
  <c r="J55" i="1"/>
  <c r="K55" i="1"/>
  <c r="J58" i="1"/>
  <c r="K59" i="1"/>
  <c r="J54" i="1"/>
  <c r="K58" i="1"/>
  <c r="K54" i="1"/>
  <c r="J53" i="1"/>
  <c r="K53" i="1"/>
  <c r="K52" i="1"/>
  <c r="J52" i="1"/>
  <c r="J51" i="1"/>
  <c r="K51" i="1"/>
  <c r="J50" i="1"/>
  <c r="K50" i="1"/>
  <c r="J49" i="1"/>
  <c r="K49" i="1"/>
  <c r="J47" i="1"/>
  <c r="K47" i="1"/>
  <c r="J46" i="1"/>
  <c r="J45" i="1"/>
  <c r="K46" i="1"/>
  <c r="K45" i="1"/>
  <c r="J43" i="1"/>
  <c r="J41" i="1"/>
  <c r="K43" i="1"/>
  <c r="K41" i="1"/>
  <c r="J38" i="1"/>
  <c r="K38" i="1"/>
  <c r="K37" i="1"/>
  <c r="J37" i="1"/>
  <c r="B77" i="1" l="1" a="1"/>
  <c r="B77" i="1" s="1"/>
  <c r="F77" i="1" a="1"/>
  <c r="F77" i="1" s="1"/>
  <c r="G77" i="1" a="1"/>
  <c r="G77" i="1" s="1"/>
  <c r="H77" i="1" a="1"/>
  <c r="H77" i="1" s="1"/>
  <c r="L77" i="1" a="1"/>
  <c r="L77" i="1" s="1"/>
  <c r="B83" i="1" a="1"/>
  <c r="B83" i="1" s="1"/>
  <c r="F83" i="1" a="1"/>
  <c r="F83" i="1" s="1"/>
  <c r="G83" i="1" a="1"/>
  <c r="G83" i="1" s="1"/>
  <c r="H83" i="1" a="1"/>
  <c r="H83" i="1" s="1"/>
  <c r="L83" i="1" a="1"/>
  <c r="L83" i="1" s="1"/>
  <c r="B66" i="1" a="1"/>
  <c r="B66" i="1" s="1"/>
  <c r="F66" i="1" a="1"/>
  <c r="F66" i="1" s="1"/>
  <c r="G66" i="1" a="1"/>
  <c r="G66" i="1" s="1"/>
  <c r="H66" i="1" a="1"/>
  <c r="H66" i="1" s="1"/>
  <c r="L66" i="1" a="1"/>
  <c r="L66" i="1" s="1"/>
  <c r="F20" i="1" a="1"/>
  <c r="F20" i="1" s="1"/>
  <c r="F21" i="1" a="1"/>
  <c r="F21" i="1" s="1"/>
  <c r="F22" i="1" a="1"/>
  <c r="F22" i="1" s="1"/>
  <c r="F23" i="1" a="1"/>
  <c r="F23" i="1" s="1"/>
  <c r="F24" i="1" a="1"/>
  <c r="F24" i="1" s="1"/>
  <c r="F25" i="1" a="1"/>
  <c r="F25" i="1" s="1"/>
  <c r="F26" i="1" a="1"/>
  <c r="F26" i="1" s="1"/>
  <c r="F27" i="1" a="1"/>
  <c r="F27" i="1" s="1"/>
  <c r="F28" i="1" a="1"/>
  <c r="F28" i="1" s="1"/>
  <c r="F34" i="1" a="1"/>
  <c r="F34" i="1" s="1"/>
  <c r="F33" i="1" a="1"/>
  <c r="F33" i="1" s="1"/>
  <c r="F32" i="1" a="1"/>
  <c r="F32" i="1" s="1"/>
  <c r="L2" i="1" a="1"/>
  <c r="L2" i="1" s="1"/>
  <c r="L3" i="1" a="1"/>
  <c r="L3" i="1" s="1"/>
  <c r="L4" i="1" a="1"/>
  <c r="L4" i="1" s="1"/>
  <c r="L5" i="1" a="1"/>
  <c r="L5" i="1" s="1"/>
  <c r="L6" i="1" a="1"/>
  <c r="L6" i="1" s="1"/>
  <c r="L7" i="1" a="1"/>
  <c r="L7" i="1" s="1"/>
  <c r="L8" i="1" a="1"/>
  <c r="L8" i="1" s="1"/>
  <c r="L9" i="1" a="1"/>
  <c r="L9" i="1" s="1"/>
  <c r="L10" i="1" a="1"/>
  <c r="L10" i="1" s="1"/>
  <c r="L11" i="1" a="1"/>
  <c r="L11" i="1" s="1"/>
  <c r="L12" i="1" a="1"/>
  <c r="L12" i="1" s="1"/>
  <c r="L13" i="1" a="1"/>
  <c r="L13" i="1" s="1"/>
  <c r="L14" i="1" a="1"/>
  <c r="L14" i="1" s="1"/>
  <c r="L15" i="1" a="1"/>
  <c r="L15" i="1" s="1"/>
  <c r="L36" i="1" a="1"/>
  <c r="L36" i="1" s="1"/>
  <c r="L35" i="1" a="1"/>
  <c r="L35" i="1" s="1"/>
  <c r="L16" i="1" a="1"/>
  <c r="L16" i="1" s="1"/>
  <c r="L17" i="1" a="1"/>
  <c r="L17" i="1" s="1"/>
  <c r="L18" i="1" a="1"/>
  <c r="L18" i="1" s="1"/>
  <c r="L19" i="1" a="1"/>
  <c r="L19" i="1" s="1"/>
  <c r="L20" i="1" a="1"/>
  <c r="L20" i="1" s="1"/>
  <c r="L21" i="1" a="1"/>
  <c r="L21" i="1" s="1"/>
  <c r="L22" i="1" a="1"/>
  <c r="L22" i="1" s="1"/>
  <c r="L23" i="1" a="1"/>
  <c r="L23" i="1" s="1"/>
  <c r="L24" i="1" a="1"/>
  <c r="L24" i="1" s="1"/>
  <c r="L25" i="1" a="1"/>
  <c r="L25" i="1" s="1"/>
  <c r="L26" i="1" a="1"/>
  <c r="L26" i="1" s="1"/>
  <c r="L27" i="1" a="1"/>
  <c r="L27" i="1" s="1"/>
  <c r="L28" i="1" a="1"/>
  <c r="L28" i="1" s="1"/>
  <c r="L30" i="1" a="1"/>
  <c r="L30" i="1" s="1"/>
  <c r="L31" i="1" a="1"/>
  <c r="L31" i="1" s="1"/>
  <c r="L34" i="1" a="1"/>
  <c r="L34" i="1" s="1"/>
  <c r="L33" i="1" a="1"/>
  <c r="L33" i="1" s="1"/>
  <c r="L32" i="1" a="1"/>
  <c r="L32" i="1" s="1"/>
  <c r="H2" i="1" a="1"/>
  <c r="H2" i="1" s="1"/>
  <c r="H3" i="1" a="1"/>
  <c r="H3" i="1" s="1"/>
  <c r="H4" i="1" a="1"/>
  <c r="H4" i="1" s="1"/>
  <c r="H5" i="1" a="1"/>
  <c r="H5" i="1" s="1"/>
  <c r="H6" i="1" a="1"/>
  <c r="H6" i="1" s="1"/>
  <c r="H7" i="1" a="1"/>
  <c r="H7" i="1" s="1"/>
  <c r="H8" i="1" a="1"/>
  <c r="H8" i="1" s="1"/>
  <c r="H9" i="1" a="1"/>
  <c r="H9" i="1" s="1"/>
  <c r="H10" i="1" a="1"/>
  <c r="H10" i="1" s="1"/>
  <c r="H11" i="1" a="1"/>
  <c r="H11" i="1" s="1"/>
  <c r="H12" i="1" a="1"/>
  <c r="H12" i="1" s="1"/>
  <c r="H13" i="1" a="1"/>
  <c r="H13" i="1" s="1"/>
  <c r="H14" i="1" a="1"/>
  <c r="H14" i="1" s="1"/>
  <c r="H15" i="1" a="1"/>
  <c r="H15" i="1" s="1"/>
  <c r="H36" i="1" a="1"/>
  <c r="H36" i="1" s="1"/>
  <c r="H35" i="1" a="1"/>
  <c r="H35" i="1" s="1"/>
  <c r="H16" i="1" a="1"/>
  <c r="H16" i="1" s="1"/>
  <c r="H17" i="1" a="1"/>
  <c r="H17" i="1" s="1"/>
  <c r="H18" i="1" a="1"/>
  <c r="H18" i="1" s="1"/>
  <c r="H19" i="1" a="1"/>
  <c r="H19" i="1" s="1"/>
  <c r="H20" i="1" a="1"/>
  <c r="H20" i="1" s="1"/>
  <c r="H21" i="1" a="1"/>
  <c r="H21" i="1" s="1"/>
  <c r="H22" i="1" a="1"/>
  <c r="H22" i="1" s="1"/>
  <c r="H23" i="1" a="1"/>
  <c r="H23" i="1" s="1"/>
  <c r="H24" i="1" a="1"/>
  <c r="H24" i="1" s="1"/>
  <c r="H25" i="1" a="1"/>
  <c r="H25" i="1" s="1"/>
  <c r="H26" i="1" a="1"/>
  <c r="H26" i="1" s="1"/>
  <c r="H27" i="1" a="1"/>
  <c r="H27" i="1" s="1"/>
  <c r="H28" i="1" a="1"/>
  <c r="H28" i="1" s="1"/>
  <c r="H30" i="1" a="1"/>
  <c r="H30" i="1" s="1"/>
  <c r="H31" i="1" a="1"/>
  <c r="H31" i="1" s="1"/>
  <c r="H34" i="1" a="1"/>
  <c r="H34" i="1" s="1"/>
  <c r="H33" i="1" a="1"/>
  <c r="H33" i="1" s="1"/>
  <c r="H32" i="1" a="1"/>
  <c r="H32" i="1" s="1"/>
  <c r="G2" i="1" a="1"/>
  <c r="G2" i="1" s="1"/>
  <c r="G3" i="1" a="1"/>
  <c r="G3" i="1" s="1"/>
  <c r="G4" i="1" a="1"/>
  <c r="G4" i="1" s="1"/>
  <c r="G5" i="1" a="1"/>
  <c r="G5" i="1" s="1"/>
  <c r="G6" i="1" a="1"/>
  <c r="G6" i="1" s="1"/>
  <c r="G7" i="1" a="1"/>
  <c r="G7" i="1" s="1"/>
  <c r="G8" i="1" a="1"/>
  <c r="G8" i="1" s="1"/>
  <c r="G9" i="1" a="1"/>
  <c r="G9" i="1" s="1"/>
  <c r="G10" i="1" a="1"/>
  <c r="G10" i="1" s="1"/>
  <c r="G11" i="1" a="1"/>
  <c r="G11" i="1" s="1"/>
  <c r="G12" i="1" a="1"/>
  <c r="G12" i="1" s="1"/>
  <c r="G13" i="1" a="1"/>
  <c r="G13" i="1" s="1"/>
  <c r="G14" i="1" a="1"/>
  <c r="G14" i="1" s="1"/>
  <c r="G15" i="1" a="1"/>
  <c r="G15" i="1" s="1"/>
  <c r="G36" i="1" a="1"/>
  <c r="G36" i="1" s="1"/>
  <c r="G35" i="1" a="1"/>
  <c r="G3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30" i="1" a="1"/>
  <c r="G30" i="1" s="1"/>
  <c r="G31" i="1" a="1"/>
  <c r="G31" i="1" s="1"/>
  <c r="G34" i="1" a="1"/>
  <c r="G34" i="1" s="1"/>
  <c r="G33" i="1" a="1"/>
  <c r="G33" i="1" s="1"/>
  <c r="G32" i="1" a="1"/>
  <c r="G32" i="1" s="1"/>
  <c r="F2" i="1" a="1"/>
  <c r="F2"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36" i="1" a="1"/>
  <c r="F36" i="1" s="1"/>
  <c r="F35" i="1" a="1"/>
  <c r="F35" i="1" s="1"/>
  <c r="F16" i="1" a="1"/>
  <c r="F16" i="1" s="1"/>
  <c r="F17" i="1" a="1"/>
  <c r="F17" i="1" s="1"/>
  <c r="F18" i="1" a="1"/>
  <c r="F18" i="1" s="1"/>
  <c r="F19" i="1" a="1"/>
  <c r="F19" i="1" s="1"/>
  <c r="B32" i="1" a="1"/>
  <c r="B32" i="1" s="1"/>
  <c r="B33" i="1" a="1"/>
  <c r="B33" i="1" s="1"/>
  <c r="B34" i="1" a="1"/>
  <c r="B34" i="1" s="1"/>
  <c r="B31" i="1" a="1"/>
  <c r="B31" i="1" s="1"/>
  <c r="B30" i="1" a="1"/>
  <c r="B30" i="1" s="1"/>
  <c r="B28" i="1" a="1"/>
  <c r="B28" i="1" s="1"/>
  <c r="B27" i="1" a="1"/>
  <c r="B27" i="1" s="1"/>
  <c r="B26" i="1" a="1"/>
  <c r="B26" i="1" s="1"/>
  <c r="B25" i="1" a="1"/>
  <c r="B25" i="1" s="1"/>
  <c r="B24" i="1" a="1"/>
  <c r="B24" i="1" s="1"/>
  <c r="B23" i="1" a="1"/>
  <c r="B23" i="1" s="1"/>
  <c r="B22" i="1" a="1"/>
  <c r="B22" i="1" s="1"/>
  <c r="B21" i="1" a="1"/>
  <c r="B21" i="1" s="1"/>
  <c r="B20" i="1" a="1"/>
  <c r="B20" i="1" s="1"/>
  <c r="B19" i="1" a="1"/>
  <c r="B19" i="1" s="1"/>
  <c r="B18" i="1" a="1"/>
  <c r="B18" i="1" s="1"/>
  <c r="B17" i="1" a="1"/>
  <c r="B17" i="1" s="1"/>
  <c r="B16" i="1" a="1"/>
  <c r="B16" i="1" s="1"/>
  <c r="B35" i="1" a="1"/>
  <c r="B35" i="1" s="1"/>
  <c r="B36" i="1" a="1"/>
  <c r="B36" i="1" s="1"/>
  <c r="B15" i="1" a="1"/>
  <c r="B15" i="1" s="1"/>
  <c r="B14" i="1" a="1"/>
  <c r="B14" i="1" s="1"/>
  <c r="B13" i="1" a="1"/>
  <c r="B13" i="1" s="1"/>
  <c r="B12" i="1" a="1"/>
  <c r="B12" i="1" s="1"/>
  <c r="B11" i="1" a="1"/>
  <c r="B11" i="1" s="1"/>
  <c r="B10" i="1" a="1"/>
  <c r="B10" i="1" s="1"/>
  <c r="B9" i="1" a="1"/>
  <c r="B9" i="1" s="1"/>
  <c r="B8" i="1" a="1"/>
  <c r="B8" i="1" s="1"/>
  <c r="B7" i="1" a="1"/>
  <c r="B7" i="1" s="1"/>
  <c r="B6" i="1" a="1"/>
  <c r="B6" i="1" s="1"/>
  <c r="B5" i="1" a="1"/>
  <c r="B5" i="1" s="1"/>
  <c r="B4" i="1" a="1"/>
  <c r="B4" i="1" s="1"/>
  <c r="B3" i="1" a="1"/>
  <c r="B3" i="1" s="1"/>
  <c r="B2" i="1" a="1"/>
  <c r="B2" i="1" s="1"/>
  <c r="J77" i="1" l="1"/>
  <c r="J83" i="1"/>
  <c r="K77" i="1"/>
  <c r="K83" i="1"/>
  <c r="J66" i="1"/>
  <c r="K66" i="1"/>
  <c r="K15" i="1"/>
  <c r="K6" i="1"/>
  <c r="K32" i="1"/>
  <c r="K23" i="1"/>
  <c r="K30" i="1"/>
  <c r="K19" i="1"/>
  <c r="K3" i="1"/>
  <c r="J26" i="1"/>
  <c r="J16" i="1"/>
  <c r="J9" i="1"/>
  <c r="K11" i="1"/>
  <c r="K25" i="1"/>
  <c r="K35" i="1"/>
  <c r="J8" i="1"/>
  <c r="K28" i="1"/>
  <c r="K18" i="1"/>
  <c r="K2" i="1"/>
  <c r="K24" i="1"/>
  <c r="K33" i="1"/>
  <c r="K22" i="1"/>
  <c r="K14" i="1"/>
  <c r="K5" i="1"/>
  <c r="K4" i="1"/>
  <c r="J27" i="1"/>
  <c r="J17" i="1"/>
  <c r="K34" i="1"/>
  <c r="K21" i="1"/>
  <c r="K13" i="1"/>
  <c r="J10" i="1"/>
  <c r="K36" i="1"/>
  <c r="K7" i="1"/>
  <c r="K31" i="1"/>
  <c r="K20" i="1"/>
  <c r="K12" i="1"/>
  <c r="K27" i="1"/>
  <c r="K17" i="1"/>
  <c r="K10" i="1"/>
  <c r="K26" i="1"/>
  <c r="K16" i="1"/>
  <c r="K9" i="1"/>
  <c r="J2" i="1"/>
  <c r="K8" i="1"/>
  <c r="J25" i="1"/>
  <c r="J35" i="1"/>
  <c r="J15" i="1"/>
  <c r="J32" i="1"/>
  <c r="J23" i="1"/>
  <c r="J6" i="1"/>
  <c r="J28" i="1"/>
  <c r="J18" i="1"/>
  <c r="J11" i="1"/>
  <c r="J30" i="1"/>
  <c r="J19" i="1"/>
  <c r="J3" i="1"/>
  <c r="J24" i="1"/>
  <c r="J36" i="1"/>
  <c r="J7" i="1"/>
  <c r="J33" i="1"/>
  <c r="J22" i="1"/>
  <c r="J14" i="1"/>
  <c r="J5" i="1"/>
  <c r="J21" i="1"/>
  <c r="J13" i="1"/>
  <c r="J4" i="1"/>
  <c r="J34" i="1"/>
  <c r="J31" i="1"/>
  <c r="J20" i="1"/>
  <c r="J12"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5"/>
        </ext>
      </extLst>
    </bk>
    <bk>
      <extLst>
        <ext uri="{3e2802c4-a4d2-4d8b-9148-e3be6c30e623}">
          <xlrd:rvb i="48"/>
        </ext>
      </extLst>
    </bk>
    <bk>
      <extLst>
        <ext uri="{3e2802c4-a4d2-4d8b-9148-e3be6c30e623}">
          <xlrd:rvb i="55"/>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4"/>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bk>
      <extLst>
        <ext uri="{3e2802c4-a4d2-4d8b-9148-e3be6c30e623}">
          <xlrd:rvb i="298"/>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9"/>
        </ext>
      </extLst>
    </bk>
  </futureMetadata>
  <cellMetadata count="1">
    <bk>
      <rc t="1" v="0"/>
    </bk>
  </cellMetadata>
  <valueMetadata count="10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valueMetadata>
</metadata>
</file>

<file path=xl/sharedStrings.xml><?xml version="1.0" encoding="utf-8"?>
<sst xmlns="http://schemas.openxmlformats.org/spreadsheetml/2006/main" count="12" uniqueCount="12">
  <si>
    <t>Ticker</t>
  </si>
  <si>
    <t>DataField</t>
  </si>
  <si>
    <t>S&amp;P</t>
  </si>
  <si>
    <t>Price</t>
  </si>
  <si>
    <t>P/E</t>
  </si>
  <si>
    <t>52High</t>
  </si>
  <si>
    <t>52Low</t>
  </si>
  <si>
    <t>Watch</t>
  </si>
  <si>
    <t>Alert</t>
  </si>
  <si>
    <t>MarketCap</t>
  </si>
  <si>
    <t>Grp</t>
  </si>
  <si>
    <t>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</si>
</sst>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20">
  <rv s="0">
    <v>https://www.bing.com/financeapi/forcetrigger?t=a1mou2&amp;q=XNAS%3aAAPL&amp;form=skydnc</v>
    <v>Learn more on Bing</v>
  </rv>
  <rv s="1">
    <v>0</v>
    <v>APPLE INC. (XNAS:AAPL)</v>
    <v>2</v>
    <v>3</v>
    <v>Finance</v>
    <v>4</v>
    <v>en-US</v>
    <v>a1mou2</v>
    <v>268435456</v>
    <v>1</v>
    <v>Powered by Refinitiv</v>
    <v>288.62</v>
    <v>169.21010000000001</v>
    <v>1.1186</v>
    <v>-0.97</v>
    <v>-3.8960000000000002E-3</v>
    <v>1.78</v>
    <v>7.1780000000000004E-3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249.19990000000001</v>
    <v>Computers, Phones &amp; Household Electronics</v>
    <v>Stock</v>
    <v>46101.999966238283</v>
    <v>0</v>
    <v>246</v>
    <v>3646122573000</v>
    <v>APPLE INC.</v>
    <v>APPLE INC.</v>
    <v>247.97499999999999</v>
    <v>31.506399999999999</v>
    <v>248.96</v>
    <v>247.99</v>
    <v>249.77</v>
    <v>14702700000</v>
    <v>AAPL</v>
    <v>APPLE INC. (XNAS:AAPL)</v>
    <v>88331081</v>
    <v>41779741</v>
    <v>1977</v>
  </rv>
  <rv s="2">
    <v>1</v>
  </rv>
  <rv s="0">
    <v>https://www.bing.com/financeapi/forcetrigger?t=a1mvm7&amp;q=XNYS%3aADM&amp;form=skydnc</v>
    <v>Learn more on Bing</v>
  </rv>
  <rv s="1">
    <v>0</v>
    <v>ARCHER-DANIELS-MIDLAND COMPANY. (XNYS:ADM)</v>
    <v>2</v>
    <v>3</v>
    <v>Finance</v>
    <v>4</v>
    <v>en-US</v>
    <v>a1mvm7</v>
    <v>268435456</v>
    <v>1</v>
    <v>Powered by Refinitiv</v>
    <v>73.72</v>
    <v>40.98</v>
    <v>0.67330000000000001</v>
    <v>-2.4700000000000002</v>
    <v>-3.5985000000000003E-2</v>
    <v>0.27</v>
    <v>4.0799999999999994E-3</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40798</v>
    <v>New York Stock Exchange</v>
    <v>XNYS</v>
    <v>XNYS</v>
    <v>77 W. Wacker Dr., CHICAGO, IL, 60601 US</v>
    <v>68.819999999999993</v>
    <v>Food &amp; Tobacco</v>
    <v>Stock</v>
    <v>46101.979712360939</v>
    <v>3</v>
    <v>65.069999999999993</v>
    <v>31841123106</v>
    <v>ARCHER-DANIELS-MIDLAND COMPANY.</v>
    <v>ARCHER-DANIELS-MIDLAND COMPANY.</v>
    <v>68.819999999999993</v>
    <v>29.692599999999999</v>
    <v>68.64</v>
    <v>66.17</v>
    <v>66.44</v>
    <v>481201800</v>
    <v>ADM</v>
    <v>ARCHER-DANIELS-MIDLAND COMPANY. (XNYS:ADM)</v>
    <v>16669302</v>
    <v>3647753</v>
    <v>1923</v>
  </rv>
  <rv s="2">
    <v>4</v>
  </rv>
  <rv s="0">
    <v>https://www.bing.com/financeapi/forcetrigger?t=a1nhlh&amp;q=XNAS%3aAMZN&amp;form=skydnc</v>
    <v>Learn more on Bing</v>
  </rv>
  <rv s="1">
    <v>0</v>
    <v>AMAZON.COM, INC. (XNAS:AMZN)</v>
    <v>2</v>
    <v>3</v>
    <v>Finance</v>
    <v>4</v>
    <v>en-US</v>
    <v>a1nhlh</v>
    <v>268435456</v>
    <v>1</v>
    <v>Powered by Refinitiv</v>
    <v>258.60000000000002</v>
    <v>161.38</v>
    <v>1.3867</v>
    <v>-3.39</v>
    <v>-1.6239E-2</v>
    <v>1.73</v>
    <v>8.4240000000000009E-3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207.54</v>
    <v>Diversified Retail</v>
    <v>Stock</v>
    <v>46101.999975115628</v>
    <v>6</v>
    <v>204.316</v>
    <v>2204630520400</v>
    <v>AMAZON.COM, INC.</v>
    <v>AMAZON.COM, INC.</v>
    <v>207.4</v>
    <v>28.6342</v>
    <v>208.76</v>
    <v>205.37</v>
    <v>207.1</v>
    <v>10734920000</v>
    <v>AMZN</v>
    <v>AMAZON.COM, INC. (XNAS:AMZN)</v>
    <v>63694603</v>
    <v>49439508</v>
    <v>1996</v>
  </rv>
  <rv s="2">
    <v>7</v>
  </rv>
  <rv s="0">
    <v>https://www.bing.com/financeapi/forcetrigger?t=a1om4c&amp;q=XNYS%3aBLK&amp;form=skydnc</v>
    <v>Learn more on Bing</v>
  </rv>
  <rv s="1">
    <v>0</v>
    <v>BLACKROCK, INC. (XNYS:BLK)</v>
    <v>2</v>
    <v>3</v>
    <v>Finance</v>
    <v>4</v>
    <v>en-US</v>
    <v>a1om4c</v>
    <v>268435456</v>
    <v>1</v>
    <v>Powered by Refinitiv</v>
    <v>1219.9399000000001</v>
    <v>773.74009999999998</v>
    <v>1.4962</v>
    <v>-11.69</v>
    <v>-1.2057E-2</v>
    <v>8.39</v>
    <v>8.7589999999999994E-3</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971.79</v>
    <v>Investment Banking &amp; Investment Services</v>
    <v>Stock</v>
    <v>46101.999200277343</v>
    <v>9</v>
    <v>945.52</v>
    <v>148994758265</v>
    <v>BLACKROCK, INC.</v>
    <v>BLACKROCK, INC.</v>
    <v>970.26</v>
    <v>27.64</v>
    <v>969.6</v>
    <v>957.91</v>
    <v>966.3</v>
    <v>155541500</v>
    <v>BLK</v>
    <v>BLACKROCK, INC. (XNYS:BLK)</v>
    <v>1410189</v>
    <v>960684</v>
    <v>2024</v>
  </rv>
  <rv s="2">
    <v>10</v>
  </rv>
  <rv s="0">
    <v>https://www.bing.com/financeapi/forcetrigger?t=a1ook2&amp;q=XNYS%3aBMY&amp;form=skydnc</v>
    <v>Learn more on Bing</v>
  </rv>
  <rv s="1">
    <v>0</v>
    <v>BRISTOL-MYERS SQUIBB COMPANY (XNYS:BMY)</v>
    <v>2</v>
    <v>3</v>
    <v>Finance</v>
    <v>4</v>
    <v>en-US</v>
    <v>a1ook2</v>
    <v>268435456</v>
    <v>1</v>
    <v>Powered by Refinitiv</v>
    <v>62.886400000000002</v>
    <v>42.52</v>
    <v>0.29070000000000001</v>
    <v>-0.63</v>
    <v>-1.0842000000000001E-2</v>
    <v>0.17</v>
    <v>2.9580000000000001E-3</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32500</v>
    <v>New York Stock Exchange</v>
    <v>XNYS</v>
    <v>XNYS</v>
    <v>Route 206 And Province Line Road, PRINCETON, NJ, 08543 US</v>
    <v>58.545000000000002</v>
    <v>Pharmaceuticals</v>
    <v>Stock</v>
    <v>46101.998452858592</v>
    <v>12</v>
    <v>56.91</v>
    <v>117056525520</v>
    <v>BRISTOL-MYERS SQUIBB COMPANY</v>
    <v>BRISTOL-MYERS SQUIBB COMPANY</v>
    <v>58.26</v>
    <v>16.828399999999998</v>
    <v>58.11</v>
    <v>57.48</v>
    <v>57.65</v>
    <v>2036474000</v>
    <v>BMY</v>
    <v>BRISTOL-MYERS SQUIBB COMPANY (XNYS:BMY)</v>
    <v>65847757</v>
    <v>12318723</v>
    <v>1933</v>
  </rv>
  <rv s="2">
    <v>13</v>
  </rv>
  <rv s="0">
    <v>https://www.bing.com/financeapi/forcetrigger?t=a1pvu2&amp;q=XNYS%3aCLX&amp;form=skydnc</v>
    <v>Learn more on Bing</v>
  </rv>
  <rv s="1">
    <v>0</v>
    <v>THE CLOROX COMPANY (XNYS:CLX)</v>
    <v>2</v>
    <v>3</v>
    <v>Finance</v>
    <v>4</v>
    <v>en-US</v>
    <v>a1pvu2</v>
    <v>268435456</v>
    <v>1</v>
    <v>Powered by Refinitiv</v>
    <v>150.84</v>
    <v>96.6601</v>
    <v>0.624</v>
    <v>-0.47</v>
    <v>-4.4080000000000005E-3</v>
    <v>0.26</v>
    <v>2.4490000000000002E-3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CloroxPro, Clorox Healthcare brands, and Hidden Valley brand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international brands include Chux, Clorinda and Poett.</v>
    <v>7600</v>
    <v>New York Stock Exchange</v>
    <v>XNYS</v>
    <v>XNYS</v>
    <v>1221 Broadway, OAKLAND, CA, 94612-1888 US</v>
    <v>107.4</v>
    <v>Personal &amp; Household Products &amp; Services</v>
    <v>Stock</v>
    <v>46101.99987925859</v>
    <v>15</v>
    <v>105.62</v>
    <v>12834798185</v>
    <v>THE CLOROX COMPANY</v>
    <v>THE CLOROX COMPANY</v>
    <v>107.21</v>
    <v>17.4209</v>
    <v>106.62</v>
    <v>106.15</v>
    <v>106.41</v>
    <v>120911900</v>
    <v>CLX</v>
    <v>THE CLOROX COMPANY (XNYS:CLX)</v>
    <v>4823269</v>
    <v>1980257</v>
    <v>1986</v>
  </rv>
  <rv s="2">
    <v>16</v>
  </rv>
  <rv s="0">
    <v>https://www.bing.com/financeapi/forcetrigger?t=a1pwqh&amp;q=XNAS%3aCMCSA&amp;form=skydnc</v>
    <v>Learn more on Bing</v>
  </rv>
  <rv s="1">
    <v>0</v>
    <v>COMCAST CORPORATION (XNAS:CMCSA)</v>
    <v>2</v>
    <v>3</v>
    <v>Finance</v>
    <v>4</v>
    <v>en-US</v>
    <v>a1pwqh</v>
    <v>268435456</v>
    <v>1</v>
    <v>Powered by Refinitiv</v>
    <v>35.337299999999999</v>
    <v>24.1234</v>
    <v>0.78590000000000004</v>
    <v>0.04</v>
    <v>1.3800000000000002E-3</v>
    <v>0.04</v>
    <v>1.3780000000000001E-3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29.515000000000001</v>
    <v>Telecommunications Services</v>
    <v>Stock</v>
    <v>46101.998706921091</v>
    <v>18</v>
    <v>28.84</v>
    <v>104409490920</v>
    <v>COMCAST CORPORATION</v>
    <v>COMCAST CORPORATION</v>
    <v>28.925000000000001</v>
    <v>5.3983999999999996</v>
    <v>28.98</v>
    <v>29.02</v>
    <v>29.06</v>
    <v>3597846000</v>
    <v>CMCSA</v>
    <v>COMCAST CORPORATION (XNAS:CMCSA)</v>
    <v>246107119</v>
    <v>26901389</v>
    <v>2001</v>
  </rv>
  <rv s="2">
    <v>19</v>
  </rv>
  <rv s="0">
    <v>https://www.bing.com/financeapi/forcetrigger?t=a1qlnm&amp;q=XNYS%3aCVS&amp;form=skydnc</v>
    <v>Learn more on Bing</v>
  </rv>
  <rv s="1">
    <v>0</v>
    <v>CVS HEALTH CORPORATION (XNYS:CVS)</v>
    <v>2</v>
    <v>3</v>
    <v>Finance</v>
    <v>4</v>
    <v>en-US</v>
    <v>a1qlnm</v>
    <v>268435456</v>
    <v>1</v>
    <v>Powered by Refinitiv</v>
    <v>85.15</v>
    <v>58.35</v>
    <v>0.49980000000000002</v>
    <v>-0.38</v>
    <v>-5.2880000000000002E-3</v>
    <v>0.48180000000000001</v>
    <v>6.7400000000000003E-3</v>
    <v>USD</v>
    <v>CVS Health Corporation is a health solutions company. The Company's segments include Health Care Benefits, Health Services, Pharmacy &amp; Consumer Wellness and Corporate/Other. The Health Care Benefits segment offers a broad range of traditional, voluntary and consumer-directed health insurance products and related services, including medical, pharmacy, dental and behavioral health plans, PDPs and Medicaid health care management services. The Health Services segment provides a full range of pharmacy benefit management (PBM) solutions through its CVS Caremark operations and delivers health care services in its medical clinics, virtually, and in the home. The Pharmacy &amp; Consumer Wellness segment dispenses prescriptions in its CVS Pharmacy retail locations and, through its infusion operations, provides ancillary pharmacy services including pharmacy patient care programs, and vaccination administration, and sells a wide assortment of health and wellness products and general merchandise.</v>
    <v>300000</v>
    <v>New York Stock Exchange</v>
    <v>XNYS</v>
    <v>XNYS</v>
    <v>One Cvs Dr., WOONSOCKET, RI, 02895 US</v>
    <v>71.73</v>
    <v>Healthcare Providers &amp; Services</v>
    <v>Stock</v>
    <v>46101.985265532028</v>
    <v>21</v>
    <v>70.209999999999994</v>
    <v>90937642280</v>
    <v>CVS HEALTH CORPORATION</v>
    <v>CVS HEALTH CORPORATION</v>
    <v>71.5</v>
    <v>52.270600000000002</v>
    <v>71.86</v>
    <v>71.48</v>
    <v>71.961799999999997</v>
    <v>1272211000</v>
    <v>CVS</v>
    <v>CVS HEALTH CORPORATION (XNYS:CVS)</v>
    <v>18871390</v>
    <v>7591022</v>
    <v>1996</v>
  </rv>
  <rv s="2">
    <v>22</v>
  </rv>
  <rv s="0">
    <v>https://www.bing.com/financeapi/forcetrigger?t=a1qlz2&amp;q=XNYS%3aCVX&amp;form=skydnc</v>
    <v>Learn more on Bing</v>
  </rv>
  <rv s="1">
    <v>0</v>
    <v>CHEVRON CORPORATION (XNYS:CVX)</v>
    <v>2</v>
    <v>3</v>
    <v>Finance</v>
    <v>4</v>
    <v>en-US</v>
    <v>a1qlz2</v>
    <v>268435456</v>
    <v>1</v>
    <v>Powered by Refinitiv</v>
    <v>205.08</v>
    <v>132.04</v>
    <v>0.61570000000000003</v>
    <v>0.28999999999999998</v>
    <v>1.4399999999999999E-3</v>
    <v>0.27</v>
    <v>1.338E-3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205.08</v>
    <v>Oil &amp; Gas</v>
    <v>Stock</v>
    <v>46101.999984027345</v>
    <v>24</v>
    <v>201</v>
    <v>402529016050</v>
    <v>CHEVRON CORPORATION</v>
    <v>CHEVRON CORPORATION</v>
    <v>201.4</v>
    <v>30.354099999999999</v>
    <v>201.44</v>
    <v>201.73</v>
    <v>202</v>
    <v>1995385000</v>
    <v>CVX</v>
    <v>CHEVRON CORPORATION (XNYS:CVX)</v>
    <v>35849471</v>
    <v>12251235</v>
    <v>1926</v>
  </rv>
  <rv s="2">
    <v>25</v>
  </rv>
  <rv s="0">
    <v>https://www.bing.com/financeapi/forcetrigger?t=a1rxu2&amp;q=XNYS%3aEMN&amp;form=skydnc</v>
    <v>Learn more on Bing</v>
  </rv>
  <rv s="1">
    <v>0</v>
    <v>EASTMAN CHEMICAL COMPANY (XNYS:EMN)</v>
    <v>2</v>
    <v>3</v>
    <v>Finance</v>
    <v>4</v>
    <v>en-US</v>
    <v>a1rxu2</v>
    <v>268435456</v>
    <v>1</v>
    <v>Powered by Refinitiv</v>
    <v>91.27</v>
    <v>56.11</v>
    <v>1.2316</v>
    <v>-3.43</v>
    <v>-4.9884000000000005E-2</v>
    <v>1.08</v>
    <v>1.6531000000000001E-2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13000</v>
    <v>New York Stock Exchange</v>
    <v>XNYS</v>
    <v>XNYS</v>
    <v>Po Box 511, 200 South Wilcox Drive, KINGSPORT, TN, 37660 US</v>
    <v>69.17</v>
    <v>Chemicals</v>
    <v>Stock</v>
    <v>46101.997421550783</v>
    <v>27</v>
    <v>64.59</v>
    <v>7453976609</v>
    <v>EASTMAN CHEMICAL COMPANY</v>
    <v>EASTMAN CHEMICAL COMPANY</v>
    <v>68.86</v>
    <v>17.1754</v>
    <v>68.760000000000005</v>
    <v>65.33</v>
    <v>66.41</v>
    <v>114097300</v>
    <v>EMN</v>
    <v>EASTMAN CHEMICAL COMPANY (XNYS:EMN)</v>
    <v>5098217</v>
    <v>1586132</v>
    <v>1993</v>
  </rv>
  <rv s="2">
    <v>28</v>
  </rv>
  <rv s="0">
    <v>https://www.bing.com/financeapi/forcetrigger?t=a1tppr&amp;q=XNYS%3aGD&amp;form=skydnc</v>
    <v>Learn more on Bing</v>
  </rv>
  <rv s="1">
    <v>0</v>
    <v>GENERAL DYNAMICS CORPORATION (XNYS:GD)</v>
    <v>2</v>
    <v>3</v>
    <v>Finance</v>
    <v>4</v>
    <v>en-US</v>
    <v>a1tppr</v>
    <v>268435456</v>
    <v>1</v>
    <v>Powered by Refinitiv</v>
    <v>369.7</v>
    <v>239.2</v>
    <v>0.37859999999999999</v>
    <v>-3.85</v>
    <v>-1.1011999999999999E-2</v>
    <v>0.67</v>
    <v>1.9380000000000001E-3</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352.04989999999998</v>
    <v>Aerospace &amp; Defense</v>
    <v>Stock</v>
    <v>46101.999763344531</v>
    <v>30</v>
    <v>343.08</v>
    <v>93495385044</v>
    <v>GENERAL DYNAMICS CORPORATION</v>
    <v>GENERAL DYNAMICS CORPORATION</v>
    <v>349.01</v>
    <v>22.3751</v>
    <v>349.63</v>
    <v>345.78</v>
    <v>346.45</v>
    <v>270389800</v>
    <v>GD</v>
    <v>GENERAL DYNAMICS CORPORATION (XNYS:GD)</v>
    <v>2894137</v>
    <v>1233422</v>
    <v>1952</v>
  </rv>
  <rv s="2">
    <v>31</v>
  </rv>
  <rv s="0">
    <v>https://www.bing.com/financeapi/forcetrigger?t=a1uj52&amp;q=XNYS%3aHD&amp;form=skydnc</v>
    <v>Learn more on Bing</v>
  </rv>
  <rv s="1">
    <v>0</v>
    <v>THE HOME DEPOT, INC. (XNYS:HD)</v>
    <v>2</v>
    <v>3</v>
    <v>Finance</v>
    <v>4</v>
    <v>en-US</v>
    <v>a1uj52</v>
    <v>268435456</v>
    <v>1</v>
    <v>Powered by Refinitiv</v>
    <v>426.75</v>
    <v>320.2645</v>
    <v>1.0841000000000001</v>
    <v>-7.46</v>
    <v>-2.2728999999999999E-2</v>
    <v>3.1030000000000002</v>
    <v>9.6740000000000003E-3</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472400</v>
    <v>New York Stock Exchange</v>
    <v>XNYS</v>
    <v>XNYS</v>
    <v>2455 Paces Ferry Road, ATLANTA, GA, 30339 US</v>
    <v>330.23</v>
    <v>Specialty Retailers</v>
    <v>Stock</v>
    <v>46101.999583193749</v>
    <v>33</v>
    <v>320.2645</v>
    <v>319470688625</v>
    <v>THE HOME DEPOT, INC.</v>
    <v>THE HOME DEPOT, INC.</v>
    <v>327.75</v>
    <v>23.0562</v>
    <v>328.21</v>
    <v>320.75</v>
    <v>323.85300000000001</v>
    <v>996011500</v>
    <v>HD</v>
    <v>THE HOME DEPOT, INC. (XNYS:HD)</v>
    <v>9672177</v>
    <v>3886969</v>
    <v>1978</v>
  </rv>
  <rv s="2">
    <v>34</v>
  </rv>
  <rv s="0">
    <v>https://www.bing.com/financeapi/forcetrigger?t=a1uwu2&amp;q=XNYS%3aHSY&amp;form=skydnc</v>
    <v>Learn more on Bing</v>
  </rv>
  <rv s="1">
    <v>0</v>
    <v>THE HERSHEY COMPANY (XNYS:HSY)</v>
    <v>2</v>
    <v>3</v>
    <v>Finance</v>
    <v>4</v>
    <v>en-US</v>
    <v>a1uwu2</v>
    <v>268435456</v>
    <v>1</v>
    <v>Powered by Refinitiv</v>
    <v>239.48</v>
    <v>150.04</v>
    <v>0.16</v>
    <v>-0.44</v>
    <v>-2.0890000000000001E-3</v>
    <v>-3.3877000000000002</v>
    <v>-1.6121E-2</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17550</v>
    <v>New York Stock Exchange</v>
    <v>XNYS</v>
    <v>XNYS</v>
    <v>19 East Chocolate Avenue, External Rptg &amp; Compliance, HERSHEY, PA, 17033 US</v>
    <v>212.37</v>
    <v>Food &amp; Tobacco</v>
    <v>Stock</v>
    <v>46101.992799733591</v>
    <v>36</v>
    <v>208.98</v>
    <v>42593465726</v>
    <v>THE HERSHEY COMPANY</v>
    <v>THE HERSHEY COMPANY</v>
    <v>211.69</v>
    <v>48.400399999999998</v>
    <v>210.58</v>
    <v>210.14</v>
    <v>206.75229999999999</v>
    <v>202690900</v>
    <v>HSY</v>
    <v>THE HERSHEY COMPANY (XNYS:HSY)</v>
    <v>5666597</v>
    <v>1754045</v>
    <v>1927</v>
  </rv>
  <rv s="2">
    <v>37</v>
  </rv>
  <rv s="0">
    <v>https://www.bing.com/financeapi/forcetrigger?t=a1w8ec&amp;q=XNYS%3aJNJ&amp;form=skydnc</v>
    <v>Learn more on Bing</v>
  </rv>
  <rv s="1">
    <v>0</v>
    <v>JOHNSON &amp; JOHNSON (XNYS:JNJ)</v>
    <v>2</v>
    <v>3</v>
    <v>Finance</v>
    <v>4</v>
    <v>en-US</v>
    <v>a1w8ec</v>
    <v>268435456</v>
    <v>1</v>
    <v>Powered by Refinitiv</v>
    <v>251.71</v>
    <v>141.5</v>
    <v>0.34189999999999998</v>
    <v>-2.23</v>
    <v>-9.3860000000000002E-3</v>
    <v>1.68</v>
    <v>7.1380000000000002E-3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238.29</v>
    <v>Pharmaceuticals</v>
    <v>Stock</v>
    <v>46101.99500958281</v>
    <v>39</v>
    <v>234.5</v>
    <v>566915241810</v>
    <v>JOHNSON &amp; JOHNSON</v>
    <v>JOHNSON &amp; JOHNSON</v>
    <v>236.83</v>
    <v>21.517499999999998</v>
    <v>237.6</v>
    <v>235.37</v>
    <v>237.05</v>
    <v>2408613000</v>
    <v>JNJ</v>
    <v>JOHNSON &amp; JOHNSON (XNYS:JNJ)</v>
    <v>17156623</v>
    <v>8659328</v>
    <v>1887</v>
  </rv>
  <rv s="2">
    <v>40</v>
  </rv>
  <rv s="0">
    <v>https://www.bing.com/financeapi/forcetrigger?t=a1x8c7&amp;q=XNYS%3aLYB&amp;form=skydnc</v>
    <v>Learn more on Bing</v>
  </rv>
  <rv s="3">
    <v>5</v>
    <v>LyondellBasell Industries NV (XNYS:LYB)</v>
    <v>2</v>
    <v>6</v>
    <v>Finance</v>
    <v>4</v>
    <v>en-US</v>
    <v>a1x8c7</v>
    <v>268435456</v>
    <v>1</v>
    <v>Powered by Refinitiv</v>
    <v>77.36</v>
    <v>41.58</v>
    <v>0.49769999999999998</v>
    <v>-1.25</v>
    <v>-1.6763E-2</v>
    <v>-7.0000000000000007E-2</v>
    <v>-9.5469999999999995E-4</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18970</v>
    <v>New York Stock Exchange</v>
    <v>XNYS</v>
    <v>XNYS</v>
    <v>4th Floor, One Vine Street, LONDON, W1J 0AH GB</v>
    <v>75.745000000000005</v>
    <v>Chemicals</v>
    <v>Stock</v>
    <v>46101.999480902341</v>
    <v>42</v>
    <v>72.819999999999993</v>
    <v>23621504399</v>
    <v>LyondellBasell Industries NV</v>
    <v>LyondellBasell Industries NV</v>
    <v>74.819999999999993</v>
    <v>74.569999999999993</v>
    <v>73.319999999999993</v>
    <v>73.25</v>
    <v>322170000</v>
    <v>LYB</v>
    <v>LyondellBasell Industries NV (XNYS:LYB)</v>
    <v>23437406</v>
    <v>9010155</v>
    <v>2009</v>
  </rv>
  <rv s="2">
    <v>43</v>
  </rv>
  <rv s="4">
    <v>12</v>
    <v>P/E</v>
    <v>0</v>
  </rv>
  <rv s="0">
    <v>https://www.bing.com/financeapi/forcetrigger?t=a1xg3m&amp;q=XNYS%3aMDT&amp;form=skydnc</v>
    <v>Learn more on Bing</v>
  </rv>
  <rv s="1">
    <v>0</v>
    <v>MEDTRONIC PUBLIC LIMITED COMPANY (XNYS:MDT)</v>
    <v>2</v>
    <v>3</v>
    <v>Finance</v>
    <v>4</v>
    <v>en-US</v>
    <v>a1xg3m</v>
    <v>268435456</v>
    <v>1</v>
    <v>Powered by Refinitiv</v>
    <v>106.33</v>
    <v>79.55</v>
    <v>0.76049999999999995</v>
    <v>-0.71</v>
    <v>-8.1729999999999997E-3</v>
    <v>0.51880000000000004</v>
    <v>6.0209999999999994E-3</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87.275000000000006</v>
    <v>Healthcare Equipment &amp; Supplies</v>
    <v>Stock</v>
    <v>46101.98250918906</v>
    <v>46</v>
    <v>85.78</v>
    <v>110619531600</v>
    <v>MEDTRONIC PUBLIC LIMITED COMPANY</v>
    <v>MEDTRONIC PUBLIC LIMITED COMPANY</v>
    <v>86.83</v>
    <v>24.059000000000001</v>
    <v>86.87</v>
    <v>86.16</v>
    <v>86.678799999999995</v>
    <v>1283885000</v>
    <v>MDT</v>
    <v>MEDTRONIC PUBLIC LIMITED COMPANY (XNYS:MDT)</v>
    <v>11113868</v>
    <v>8591337</v>
    <v>2014</v>
  </rv>
  <rv s="2">
    <v>47</v>
  </rv>
  <rv s="0">
    <v>http://en.wikipedia.org/wiki/Public_domain</v>
    <v>Public domain</v>
  </rv>
  <rv s="0">
    <v>http://zh.wikipedia.org/wiki/味可美</v>
    <v>Wikipedia</v>
  </rv>
  <rv s="5">
    <v>49</v>
    <v>50</v>
  </rv>
  <rv s="6">
    <v>11</v>
    <v>https://www.bing.com/th?id=AMMS_8d96836a886471f7120ce0135f3ca8bd&amp;qlt=95</v>
    <v>51</v>
    <v>0</v>
    <v>https://www.bing.com/images/search?form=xlimg&amp;q=mccormick+%26+company</v>
    <v>Image of MCCORMICK &amp; COMPANY, INCORPORATED</v>
  </rv>
  <rv s="0">
    <v>https://www.bing.com/financeapi/forcetrigger?t=a1xof2&amp;q=XNYS%3aMKC.V&amp;form=skydnc</v>
    <v>Learn more on Bing</v>
  </rv>
  <rv s="7">
    <v>7</v>
    <v>MCCORMICK &amp; COMPANY, INCORPORATED (XNYS:MKC.V)</v>
    <v>9</v>
    <v>10</v>
    <v>Finance</v>
    <v>4</v>
    <v>en-US</v>
    <v>a1xof2</v>
    <v>268435456</v>
    <v>1</v>
    <v>Powered by Refinitiv</v>
    <v>82.53</v>
    <v>53.25</v>
    <v>0.66420000000000001</v>
    <v>-0.89800000000000002</v>
    <v>-1.6584000000000002E-2</v>
    <v>0.01</v>
    <v>1.8780000000000001E-4</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54.18</v>
    <v>52</v>
    <v>Food &amp; Tobacco</v>
    <v>Stock</v>
    <v>46101.987290856247</v>
    <v>53</v>
    <v>53.25</v>
    <v>14294334150</v>
    <v>MCCORMICK &amp; COMPANY, INCORPORATED</v>
    <v>MCCORMICK &amp; COMPANY, INCORPORATED</v>
    <v>53.75</v>
    <v>54.148000000000003</v>
    <v>53.25</v>
    <v>53.26</v>
    <v>268438200</v>
    <v>MKC.V</v>
    <v>MCCORMICK &amp; COMPANY, INCORPORATED (XNYS:MKC.V)</v>
    <v>14449</v>
    <v>7439</v>
    <v>1915</v>
  </rv>
  <rv s="2">
    <v>54</v>
  </rv>
  <rv s="0">
    <v>https://en.wikipedia.org/wiki/Microsoft</v>
    <v>Wikipedia</v>
  </rv>
  <rv s="5">
    <v>49</v>
    <v>56</v>
  </rv>
  <rv s="6">
    <v>11</v>
    <v>https://www.bing.com/th?id=AMMS_e6e837c7bf3a77408619758b7447855a&amp;qlt=95</v>
    <v>57</v>
    <v>0</v>
    <v>https://www.bing.com/images/search?form=xlimg&amp;q=microsoft</v>
    <v>Image of MICROSOFT CORPORATION</v>
  </rv>
  <rv s="0">
    <v>https://www.bing.com/financeapi/forcetrigger?t=a1xzim&amp;q=XNAS%3aMSFT&amp;form=skydnc</v>
    <v>Learn more on Bing</v>
  </rv>
  <rv s="8">
    <v>12</v>
    <v>MICROSOFT CORPORATION (XNAS:MSFT)</v>
    <v>9</v>
    <v>13</v>
    <v>Finance</v>
    <v>4</v>
    <v>en-US</v>
    <v>a1xzim</v>
    <v>268435456</v>
    <v>1</v>
    <v>Powered by Refinitiv</v>
    <v>555.45000000000005</v>
    <v>344.79</v>
    <v>1.0891999999999999</v>
    <v>-7.15</v>
    <v>-1.8380000000000001E-2</v>
    <v>1.7</v>
    <v>4.4520000000000002E-3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387</v>
    <v>58</v>
    <v>Software &amp; IT Services</v>
    <v>Stock</v>
    <v>46101.999993981248</v>
    <v>59</v>
    <v>380.12</v>
    <v>2835624946230</v>
    <v>MICROSOFT CORPORATION</v>
    <v>MICROSOFT CORPORATION</v>
    <v>386.79</v>
    <v>23.8932</v>
    <v>389.02</v>
    <v>381.87</v>
    <v>383.57</v>
    <v>7425629000</v>
    <v>MSFT</v>
    <v>MICROSOFT CORPORATION (XNAS:MSFT)</v>
    <v>50853154</v>
    <v>33001826</v>
    <v>1993</v>
  </rv>
  <rv s="2">
    <v>60</v>
  </rv>
  <rv s="0">
    <v>https://www.bing.com/financeapi/forcetrigger?t=a1yjxm&amp;q=XNYS%3aNKE&amp;form=skydnc</v>
    <v>Learn more on Bing</v>
  </rv>
  <rv s="1">
    <v>0</v>
    <v>NIKE, INC. (XNYS:NKE)</v>
    <v>2</v>
    <v>3</v>
    <v>Finance</v>
    <v>4</v>
    <v>en-US</v>
    <v>a1yjxm</v>
    <v>268435456</v>
    <v>1</v>
    <v>Powered by Refinitiv</v>
    <v>80.165000000000006</v>
    <v>52.174999999999997</v>
    <v>1.3153999999999999</v>
    <v>-1.07</v>
    <v>-2.0022000000000002E-2</v>
    <v>0.56000000000000005</v>
    <v>1.0692999999999999E-2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53.61</v>
    <v>Textiles &amp; Apparel</v>
    <v>Stock</v>
    <v>46101.999906620309</v>
    <v>62</v>
    <v>52.174999999999997</v>
    <v>77527657710</v>
    <v>NIKE, INC.</v>
    <v>NIKE, INC.</v>
    <v>52.94</v>
    <v>31.335599999999999</v>
    <v>53.44</v>
    <v>52.37</v>
    <v>52.93</v>
    <v>1480383000</v>
    <v>NKE</v>
    <v>NIKE, INC. (XNYS:NKE)</v>
    <v>19566100</v>
    <v>15907513</v>
    <v>1969</v>
  </rv>
  <rv s="2">
    <v>63</v>
  </rv>
  <rv s="0">
    <v>https://www.bing.com/financeapi/forcetrigger?t=a1z11h&amp;q=XNYS%3aO&amp;form=skydnc</v>
    <v>Learn more on Bing</v>
  </rv>
  <rv s="1">
    <v>0</v>
    <v>REALTY INCOME CORPORATION (XNYS:O)</v>
    <v>2</v>
    <v>3</v>
    <v>Finance</v>
    <v>4</v>
    <v>en-US</v>
    <v>a1z11h</v>
    <v>268435456</v>
    <v>1</v>
    <v>Powered by Refinitiv</v>
    <v>67.935000000000002</v>
    <v>50.71</v>
    <v>0.78200000000000003</v>
    <v>-1.69</v>
    <v>-2.6980000000000001E-2</v>
    <v>0.24</v>
    <v>3.9379999999999997E-3</v>
    <v>USD</v>
    <v>Realty Income Corporation is a real estate investment trust. The Company is engaged in the acquisition, ownership, and management of freestanding commercial properties leased under long‑term net lease agreements to a diversified base of operators, including a blend of investment grade, investment grade equivalent, and other clients. It owns a portfolio of over 15,500 properties in all 50 United States (U.S.) states, the United Kingdom, and eight other countries in Europe. It is engaged in a single business activity, which is the leasing of property to clients, generally on a net basis. That business activity spans various geographic boundaries and includes property types and clients engaged in various industries. Its property types include retail, industrial, gaming, and other. Its industry concentrations include grocery, convenience stores, home improvement, dollar stores, restaurants-quick service, health and fitness, drug stores, automotive service, among others.</v>
    <v>544</v>
    <v>New York Stock Exchange</v>
    <v>XNYS</v>
    <v>XNYS</v>
    <v>11995 El Camino Real, SAN DIEGO, CA, 92130 US</v>
    <v>62.6</v>
    <v>Residential &amp; Commercial REIT</v>
    <v>Stock</v>
    <v>46101.998865358597</v>
    <v>65</v>
    <v>60.6</v>
    <v>56832230190</v>
    <v>REALTY INCOME CORPORATION</v>
    <v>REALTY INCOME CORPORATION</v>
    <v>62.3</v>
    <v>52.3491</v>
    <v>62.64</v>
    <v>60.95</v>
    <v>61.19</v>
    <v>932440200</v>
    <v>O</v>
    <v>REALTY INCOME CORPORATION (XNYS:O)</v>
    <v>10257281</v>
    <v>6864723</v>
    <v>1997</v>
  </rv>
  <rv s="2">
    <v>66</v>
  </rv>
  <rv s="0">
    <v>https://www.bing.com/financeapi/forcetrigger?t=axyhnm&amp;q=XNAS%3aPEP&amp;form=skydnc</v>
    <v>Learn more on Bing</v>
  </rv>
  <rv s="1">
    <v>0</v>
    <v>Pepsico, Inc. (XNAS:PEP)</v>
    <v>2</v>
    <v>3</v>
    <v>Finance</v>
    <v>4</v>
    <v>en-US</v>
    <v>axyhnm</v>
    <v>268435456</v>
    <v>1</v>
    <v>Powered by Refinitiv</v>
    <v>171.48</v>
    <v>127.6</v>
    <v>0.41210000000000002</v>
    <v>-2.7</v>
    <v>-1.7677000000000002E-2</v>
    <v>1.478</v>
    <v>9.8510000000000004E-3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153.41</v>
    <v>Beverages</v>
    <v>Stock</v>
    <v>46101.998094767972</v>
    <v>68</v>
    <v>149.34</v>
    <v>205052015960</v>
    <v>Pepsico, Inc.</v>
    <v>Pepsico, Inc.</v>
    <v>152.44999999999999</v>
    <v>25.450500000000002</v>
    <v>152.74</v>
    <v>150.04</v>
    <v>151.518</v>
    <v>1366649000</v>
    <v>PEP</v>
    <v>Pepsico, Inc. (XNAS:PEP)</v>
    <v>14480711</v>
    <v>6601107</v>
    <v>1986</v>
  </rv>
  <rv s="2">
    <v>69</v>
  </rv>
  <rv s="0">
    <v>https://www.bing.com/financeapi/forcetrigger?t=a2319c&amp;q=XNYS%3aSJM&amp;form=skydnc</v>
    <v>Learn more on Bing</v>
  </rv>
  <rv s="3">
    <v>5</v>
    <v>THE J. M. SMUCKER COMPANY (XNYS:SJM)</v>
    <v>2</v>
    <v>6</v>
    <v>Finance</v>
    <v>4</v>
    <v>en-US</v>
    <v>a2319c</v>
    <v>268435456</v>
    <v>1</v>
    <v>Powered by Refinitiv</v>
    <v>120.76</v>
    <v>93.3</v>
    <v>0.23039999999999999</v>
    <v>-1.04</v>
    <v>-1.0358000000000001E-2</v>
    <v>0.93</v>
    <v>9.3589999999999993E-3</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100.89</v>
    <v>Food &amp; Tobacco</v>
    <v>Stock</v>
    <v>46101.980223147657</v>
    <v>71</v>
    <v>98.8</v>
    <v>10597641571</v>
    <v>THE J. M. SMUCKER COMPANY</v>
    <v>THE J. M. SMUCKER COMPANY</v>
    <v>100.86</v>
    <v>100.41</v>
    <v>99.37</v>
    <v>100.3</v>
    <v>106648300</v>
    <v>SJM</v>
    <v>THE J. M. SMUCKER COMPANY (XNYS:SJM)</v>
    <v>2968641</v>
    <v>2686927</v>
    <v>1921</v>
  </rv>
  <rv s="2">
    <v>72</v>
  </rv>
  <rv s="0">
    <v>https://www.bing.com/financeapi/forcetrigger?t=a23d6h&amp;q=XNYS%3aSPG&amp;form=skydnc</v>
    <v>Learn more on Bing</v>
  </rv>
  <rv s="1">
    <v>0</v>
    <v>SIMON PROPERTY GROUP, INC. (XNYS:SPG)</v>
    <v>2</v>
    <v>3</v>
    <v>Finance</v>
    <v>4</v>
    <v>en-US</v>
    <v>a23d6h</v>
    <v>268435456</v>
    <v>1</v>
    <v>Powered by Refinitiv</v>
    <v>205.11500000000001</v>
    <v>136.34</v>
    <v>1.3983000000000001</v>
    <v>-6.79</v>
    <v>-3.5491999999999996E-2</v>
    <v>3.18</v>
    <v>1.7233999999999999E-2</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3100</v>
    <v>New York Stock Exchange</v>
    <v>XNYS</v>
    <v>XNYS</v>
    <v>225 West Washington Street, INDIANAPOLIS, IN, 46204-3438 US</v>
    <v>191.94</v>
    <v>Residential &amp; Commercial REIT</v>
    <v>Stock</v>
    <v>46101.999986921095</v>
    <v>74</v>
    <v>183.21</v>
    <v>59960382916</v>
    <v>SIMON PROPERTY GROUP, INC.</v>
    <v>SIMON PROPERTY GROUP, INC.</v>
    <v>191.71</v>
    <v>13.018800000000001</v>
    <v>191.31</v>
    <v>184.52</v>
    <v>187.7</v>
    <v>324953300</v>
    <v>SPG</v>
    <v>SIMON PROPERTY GROUP, INC. (XNYS:SPG)</v>
    <v>3861093</v>
    <v>1578170</v>
    <v>2025</v>
  </rv>
  <rv s="2">
    <v>75</v>
  </rv>
  <rv s="0">
    <v>https://www.bing.com/financeapi/forcetrigger?t=a23www&amp;q=XNYS%3aT&amp;form=skydnc</v>
    <v>Learn more on Bing</v>
  </rv>
  <rv s="1">
    <v>0</v>
    <v>AT&amp;T INC. (XNYS:T)</v>
    <v>2</v>
    <v>3</v>
    <v>Finance</v>
    <v>4</v>
    <v>en-US</v>
    <v>a23www</v>
    <v>268435456</v>
    <v>1</v>
    <v>Powered by Refinitiv</v>
    <v>29.79</v>
    <v>22.95</v>
    <v>0.34499999999999997</v>
    <v>0.56999999999999995</v>
    <v>2.0548E-2</v>
    <v>0.01</v>
    <v>3.5319999999999997E-4</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28.63</v>
    <v>Telecommunications Services</v>
    <v>Stock</v>
    <v>46101.999662407034</v>
    <v>77</v>
    <v>27.835000000000001</v>
    <v>198186334870</v>
    <v>AT&amp;T INC.</v>
    <v>AT&amp;T INC.</v>
    <v>27.835000000000001</v>
    <v>9.2771000000000008</v>
    <v>27.74</v>
    <v>28.31</v>
    <v>28.32</v>
    <v>7000577000</v>
    <v>T</v>
    <v>AT&amp;T INC. (XNYS:T)</v>
    <v>128734186</v>
    <v>40444052</v>
    <v>1983</v>
  </rv>
  <rv s="2">
    <v>78</v>
  </rv>
  <rv s="0">
    <v>http://it.wikipedia.org/wiki/T._Rowe_Price</v>
    <v>Wikipedia</v>
  </rv>
  <rv s="5">
    <v>49</v>
    <v>80</v>
  </rv>
  <rv s="6">
    <v>11</v>
    <v>https://www.bing.com/th?id=AMMS_4c600be848f66590834841f27e6f786d&amp;qlt=95</v>
    <v>81</v>
    <v>0</v>
    <v>https://www.bing.com/images/search?form=xlimg&amp;q=t.+rowe+price</v>
    <v>Image of T. ROWE PRICE GROUP, INC.</v>
  </rv>
  <rv s="0">
    <v>https://www.bing.com/financeapi/forcetrigger?t=a24i3m&amp;q=XNAS%3aTROW&amp;form=skydnc</v>
    <v>Learn more on Bing</v>
  </rv>
  <rv s="8">
    <v>12</v>
    <v>T. ROWE PRICE GROUP, INC. (XNAS:TROW)</v>
    <v>9</v>
    <v>13</v>
    <v>Finance</v>
    <v>4</v>
    <v>en-US</v>
    <v>a24i3m</v>
    <v>268435456</v>
    <v>1</v>
    <v>Powered by Refinitiv</v>
    <v>118.22</v>
    <v>77.849999999999994</v>
    <v>1.5519000000000001</v>
    <v>-0.9</v>
    <v>-1.0334000000000001E-2</v>
    <v>0.63</v>
    <v>7.3089999999999995E-3</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7773</v>
    <v>Nasdaq Stock Market</v>
    <v>XNAS</v>
    <v>XNAS</v>
    <v>Harbor Point, 1307 Point Street, BALTIMORE, MD, 21231 US</v>
    <v>87.46</v>
    <v>82</v>
    <v>Investment Banking &amp; Investment Services</v>
    <v>Stock</v>
    <v>46101.996807881253</v>
    <v>83</v>
    <v>85.22</v>
    <v>18755452521</v>
    <v>T. ROWE PRICE GROUP, INC.</v>
    <v>T. ROWE PRICE GROUP, INC.</v>
    <v>86.95</v>
    <v>9.3231000000000002</v>
    <v>87.09</v>
    <v>86.19</v>
    <v>86.82</v>
    <v>217605900</v>
    <v>TROW</v>
    <v>T. ROWE PRICE GROUP, INC. (XNAS:TROW)</v>
    <v>9438661</v>
    <v>2206536</v>
    <v>2000</v>
  </rv>
  <rv s="2">
    <v>84</v>
  </rv>
  <rv s="0">
    <v>https://www.bing.com/financeapi/forcetrigger?t=a24km7&amp;q=XNYS%3aTSN&amp;form=skydnc</v>
    <v>Learn more on Bing</v>
  </rv>
  <rv s="1">
    <v>0</v>
    <v>TYSON FOODS, INCORPORATED (XNYS:TSN)</v>
    <v>2</v>
    <v>3</v>
    <v>Finance</v>
    <v>4</v>
    <v>en-US</v>
    <v>a24km7</v>
    <v>268435456</v>
    <v>1</v>
    <v>Powered by Refinitiv</v>
    <v>66.41</v>
    <v>50.56</v>
    <v>0.47089999999999999</v>
    <v>-0.94</v>
    <v>-1.5900000000000001E-2</v>
    <v>1.1599999999999999</v>
    <v>1.9938000000000001E-2</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59.48</v>
    <v>Food &amp; Tobacco</v>
    <v>Stock</v>
    <v>46101.958333344533</v>
    <v>86</v>
    <v>57.96</v>
    <v>20483956220</v>
    <v>TYSON FOODS, INCORPORATED</v>
    <v>TYSON FOODS, INCORPORATED</v>
    <v>59.08</v>
    <v>103.672</v>
    <v>59.12</v>
    <v>58.18</v>
    <v>59.34</v>
    <v>352079000</v>
    <v>TSN</v>
    <v>TYSON FOODS, INCORPORATED (XNYS:TSN)</v>
    <v>5879814</v>
    <v>3188367</v>
    <v>1986</v>
  </rv>
  <rv s="2">
    <v>87</v>
  </rv>
  <rv s="0">
    <v>https://www.bing.com/financeapi/forcetrigger?t=a24p1h&amp;q=XNAS%3aTXN&amp;form=skydnc</v>
    <v>Learn more on Bing</v>
  </rv>
  <rv s="1">
    <v>0</v>
    <v>TEXAS INSTRUMENTS INCORPORATED (XNAS:TXN)</v>
    <v>2</v>
    <v>3</v>
    <v>Finance</v>
    <v>4</v>
    <v>en-US</v>
    <v>a24p1h</v>
    <v>268435456</v>
    <v>1</v>
    <v>Powered by Refinitiv</v>
    <v>231.32</v>
    <v>139.94999999999999</v>
    <v>1.0086999999999999</v>
    <v>-1.1000000000000001</v>
    <v>-5.8420000000000008E-3</v>
    <v>2.09</v>
    <v>1.1165000000000001E-2</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190.33</v>
    <v>Semiconductors &amp; Semiconductor Equipment</v>
    <v>Stock</v>
    <v>46101.999860532029</v>
    <v>89</v>
    <v>185.84</v>
    <v>170429643846</v>
    <v>TEXAS INSTRUMENTS INCORPORATED</v>
    <v>TEXAS INSTRUMENTS INCORPORATED</v>
    <v>188.52</v>
    <v>34.158099999999997</v>
    <v>188.29</v>
    <v>187.19</v>
    <v>189.28</v>
    <v>910463400</v>
    <v>TXN</v>
    <v>TEXAS INSTRUMENTS INCORPORATED (XNAS:TXN)</v>
    <v>15025199</v>
    <v>6369425</v>
    <v>1938</v>
  </rv>
  <rv s="2">
    <v>90</v>
  </rv>
  <rv s="0">
    <v>https://www.bing.com/financeapi/forcetrigger?t=a24xlh&amp;q=XNYS%3aUNH&amp;form=skydnc</v>
    <v>Learn more on Bing</v>
  </rv>
  <rv s="1">
    <v>0</v>
    <v>UNITEDHEALTH GROUP INCORPORATED (XNYS:UNH)</v>
    <v>2</v>
    <v>3</v>
    <v>Finance</v>
    <v>4</v>
    <v>en-US</v>
    <v>a24xlh</v>
    <v>268435456</v>
    <v>1</v>
    <v>Powered by Refinitiv</v>
    <v>606.36</v>
    <v>234.6</v>
    <v>0.39090000000000003</v>
    <v>-4.8499999999999996</v>
    <v>-1.7294E-2</v>
    <v>2.5211000000000001</v>
    <v>9.1479999999999999E-3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283.10000000000002</v>
    <v>Healthcare Providers &amp; Services</v>
    <v>Stock</v>
    <v>46101.999454675781</v>
    <v>92</v>
    <v>275</v>
    <v>250146373721</v>
    <v>UNITEDHEALTH GROUP INCORPORATED</v>
    <v>UNITEDHEALTH GROUP INCORPORATED</v>
    <v>278.99</v>
    <v>20.887799999999999</v>
    <v>280.44</v>
    <v>275.58999999999997</v>
    <v>278.11110000000002</v>
    <v>907675800</v>
    <v>UNH</v>
    <v>UNITEDHEALTH GROUP INCORPORATED (XNYS:UNH)</v>
    <v>38893036</v>
    <v>7598119</v>
    <v>2015</v>
  </rv>
  <rv s="2">
    <v>93</v>
  </rv>
  <rv s="0">
    <v>https://www.bing.com/financeapi/forcetrigger?t=a24ynm&amp;q=XNYS%3aUPS&amp;form=skydnc</v>
    <v>Learn more on Bing</v>
  </rv>
  <rv s="1">
    <v>0</v>
    <v>UNITED PARCEL SERVICE, INC. (XNYS:UPS)</v>
    <v>2</v>
    <v>3</v>
    <v>Finance</v>
    <v>4</v>
    <v>en-US</v>
    <v>a24ynm</v>
    <v>268435456</v>
    <v>1</v>
    <v>Powered by Refinitiv</v>
    <v>122.41</v>
    <v>82</v>
    <v>1.1024</v>
    <v>-0.7</v>
    <v>-7.2490000000000002E-3</v>
    <v>0.69</v>
    <v>7.1979999999999995E-3</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460000</v>
    <v>New York Stock Exchange</v>
    <v>XNYS</v>
    <v>XNYS</v>
    <v>55 Glenlake Parkway Ne, ATLANTA, GA, 30328 US</v>
    <v>97.64</v>
    <v>Freight &amp; Logistics Services</v>
    <v>Stock</v>
    <v>46101.999865983591</v>
    <v>95</v>
    <v>95.17</v>
    <v>81394888962</v>
    <v>UNITED PARCEL SERVICE, INC.</v>
    <v>UNITED PARCEL SERVICE, INC.</v>
    <v>97.09</v>
    <v>14.6119</v>
    <v>96.56</v>
    <v>95.86</v>
    <v>96.55</v>
    <v>849101700</v>
    <v>UPS</v>
    <v>UNITED PARCEL SERVICE, INC. (XNYS:UPS)</v>
    <v>34639778</v>
    <v>6022114</v>
    <v>1999</v>
  </rv>
  <rv s="2">
    <v>96</v>
  </rv>
  <rv s="0">
    <v>https://www.bing.com/financeapi/forcetrigger?t=a25obh&amp;q=XNYS%3aVZ&amp;form=skydnc</v>
    <v>Learn more on Bing</v>
  </rv>
  <rv s="1">
    <v>0</v>
    <v>VERIZON COMMUNICATIONS INC. (XNYS:VZ)</v>
    <v>2</v>
    <v>3</v>
    <v>Finance</v>
    <v>4</v>
    <v>en-US</v>
    <v>a25obh</v>
    <v>268435456</v>
    <v>1</v>
    <v>Powered by Refinitiv</v>
    <v>51.664999999999999</v>
    <v>38.39</v>
    <v>0.28039999999999998</v>
    <v>0.5</v>
    <v>1.0104999999999999E-2</v>
    <v>0.16</v>
    <v>3.2009999999999999E-3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89900</v>
    <v>New York Stock Exchange</v>
    <v>XNYS</v>
    <v>XNYS</v>
    <v>1095 Avenue Of The Americas, NEW YORK, NY, 10036 US</v>
    <v>50.454999999999998</v>
    <v>Telecommunications Services</v>
    <v>Stock</v>
    <v>46101.998630532034</v>
    <v>98</v>
    <v>49.49</v>
    <v>210799846320</v>
    <v>VERIZON COMMUNICATIONS INC.</v>
    <v>VERIZON COMMUNICATIONS INC.</v>
    <v>49.74</v>
    <v>12.3103</v>
    <v>49.48</v>
    <v>49.98</v>
    <v>50.14</v>
    <v>4217684000</v>
    <v>VZ</v>
    <v>VERIZON COMMUNICATIONS INC. (XNYS:VZ)</v>
    <v>67321764</v>
    <v>27347291</v>
    <v>1983</v>
  </rv>
  <rv s="2">
    <v>99</v>
  </rv>
  <rv s="0">
    <v>https://www.bing.com/financeapi/forcetrigger?t=a1wjz2&amp;q=XNYS%3aKMB&amp;form=skydnc</v>
    <v>Learn more on Bing</v>
  </rv>
  <rv s="1">
    <v>0</v>
    <v>KIMBERLY-CLARK CORPORATION (XNAS:KMB)</v>
    <v>2</v>
    <v>3</v>
    <v>Finance</v>
    <v>4</v>
    <v>en-US</v>
    <v>a1wjz2</v>
    <v>268435456</v>
    <v>1</v>
    <v>Powered by Refinitiv</v>
    <v>147.12</v>
    <v>96.26</v>
    <v>0.27779999999999999</v>
    <v>-0.38</v>
    <v>-3.8549999999999999E-3</v>
    <v>1</v>
    <v>1.0182999999999999E-2</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36000</v>
    <v>Nasdaq Stock Market</v>
    <v>XNAS</v>
    <v>XNAS</v>
    <v>351 Phelps Dr, IRVING, TX, 75038 US</v>
    <v>99.6</v>
    <v>Personal &amp; Household Products &amp; Services</v>
    <v>Stock</v>
    <v>46101.992759710156</v>
    <v>101</v>
    <v>97.795000000000002</v>
    <v>32594779680</v>
    <v>KIMBERLY-CLARK CORPORATION</v>
    <v>KIMBERLY-CLARK CORPORATION</v>
    <v>98.93</v>
    <v>20.101099999999999</v>
    <v>98.58</v>
    <v>98.2</v>
    <v>99.2</v>
    <v>331922400</v>
    <v>KMB</v>
    <v>KIMBERLY-CLARK CORPORATION (XNAS:KMB)</v>
    <v>13109726</v>
    <v>4823540</v>
    <v>1928</v>
  </rv>
  <rv s="2">
    <v>102</v>
  </rv>
  <rv s="0">
    <v>http://en.wikipedia.org/wiki/McDonald's</v>
    <v>Wikipedia</v>
  </rv>
  <rv s="5">
    <v>49</v>
    <v>104</v>
  </rv>
  <rv s="6">
    <v>11</v>
    <v>https://www.bing.com/th?id=AMMS_7d8255243964a8970376f8dd41121106&amp;qlt=95</v>
    <v>105</v>
    <v>0</v>
    <v>https://www.bing.com/images/search?form=xlimg&amp;q=mcdonald%27s</v>
    <v>Image of MCDONALD'S CORPORATION</v>
  </rv>
  <rv s="0">
    <v>https://www.bing.com/financeapi/forcetrigger?t=a1xdec&amp;q=XNYS%3aMCD&amp;form=skydnc</v>
    <v>Learn more on Bing</v>
  </rv>
  <rv s="8">
    <v>12</v>
    <v>MCDONALD'S CORPORATION (XNYS:MCD)</v>
    <v>9</v>
    <v>13</v>
    <v>Finance</v>
    <v>4</v>
    <v>en-US</v>
    <v>a1xdec</v>
    <v>268435456</v>
    <v>1</v>
    <v>Powered by Refinitiv</v>
    <v>341.75</v>
    <v>283.47000000000003</v>
    <v>0.52910000000000001</v>
    <v>-0.73</v>
    <v>-2.3580000000000003E-3</v>
    <v>1.02</v>
    <v>3.3029999999999999E-3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311.37</v>
    <v>106</v>
    <v>Hotels &amp; Entertainment Services</v>
    <v>Stock</v>
    <v>46101.999665312498</v>
    <v>107</v>
    <v>307.62</v>
    <v>219406607610</v>
    <v>MCDONALD'S CORPORATION</v>
    <v>MCDONALD'S CORPORATION</v>
    <v>309.8</v>
    <v>25.837800000000001</v>
    <v>309.58</v>
    <v>308.85000000000002</v>
    <v>309.87</v>
    <v>710398600</v>
    <v>MCD</v>
    <v>MCDONALD'S CORPORATION (XNYS:MCD)</v>
    <v>6436566</v>
    <v>3326990</v>
    <v>1964</v>
  </rv>
  <rv s="2">
    <v>108</v>
  </rv>
  <rv s="0">
    <v>https://www.bing.com/financeapi/forcetrigger?t=a1x4f2&amp;q=XNAS%3aLRCX&amp;form=skydnc</v>
    <v>Learn more on Bing</v>
  </rv>
  <rv s="1">
    <v>0</v>
    <v>LAM RESEARCH CORPORATION (XNAS:LRCX)</v>
    <v>2</v>
    <v>3</v>
    <v>Finance</v>
    <v>4</v>
    <v>en-US</v>
    <v>a1x4f2</v>
    <v>268435456</v>
    <v>1</v>
    <v>Powered by Refinitiv</v>
    <v>256.68</v>
    <v>56.32</v>
    <v>1.7527999999999999</v>
    <v>-5.63</v>
    <v>-2.4060999999999999E-2</v>
    <v>1.04</v>
    <v>4.5539999999999999E-3</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236.84</v>
    <v>Semiconductors &amp; Semiconductor Equipment</v>
    <v>Stock</v>
    <v>46101.999898159374</v>
    <v>110</v>
    <v>222.04499999999999</v>
    <v>285169345560</v>
    <v>LAM RESEARCH CORPORATION</v>
    <v>LAM RESEARCH CORPORATION</v>
    <v>234.32</v>
    <v>47.956000000000003</v>
    <v>233.99</v>
    <v>228.36</v>
    <v>229.4</v>
    <v>1248771000</v>
    <v>LRCX</v>
    <v>LAM RESEARCH CORPORATION (XNAS:LRCX)</v>
    <v>26176384</v>
    <v>10103368</v>
    <v>1989</v>
  </rv>
  <rv s="2">
    <v>111</v>
  </rv>
  <rv s="0">
    <v>https://www.bing.com/financeapi/forcetrigger?t=a1x2ur&amp;q=XNYS%3aLOW&amp;form=skydnc</v>
    <v>Learn more on Bing</v>
  </rv>
  <rv s="1">
    <v>0</v>
    <v>LOWE'S COMPANIES, INC. (XNYS:LOW)</v>
    <v>2</v>
    <v>3</v>
    <v>Finance</v>
    <v>4</v>
    <v>en-US</v>
    <v>a1x2ur</v>
    <v>268435456</v>
    <v>1</v>
    <v>Powered by Refinitiv</v>
    <v>293.06</v>
    <v>206.38499999999999</v>
    <v>0.97560000000000002</v>
    <v>-5.08</v>
    <v>-2.2114999999999999E-2</v>
    <v>1.8698999999999999</v>
    <v>8.3239999999999998E-3</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229.85890000000001</v>
    <v>Specialty Retailers</v>
    <v>Stock</v>
    <v>46101.99975993047</v>
    <v>113</v>
    <v>224.15</v>
    <v>126017430000</v>
    <v>LOWE'S COMPANIES, INC.</v>
    <v>LOWE'S COMPANIES, INC.</v>
    <v>229.23500000000001</v>
    <v>18.961200000000002</v>
    <v>229.71</v>
    <v>224.63</v>
    <v>226.4999</v>
    <v>561000000</v>
    <v>LOW</v>
    <v>LOWE'S COMPANIES, INC. (XNYS:LOW)</v>
    <v>3643980</v>
    <v>2831459</v>
    <v>1952</v>
  </rv>
  <rv s="2">
    <v>114</v>
  </rv>
  <rv s="0">
    <v>https://www.bing.com/financeapi/forcetrigger?t=a1wzw7&amp;q=XNYS%3aLMT&amp;form=skydnc</v>
    <v>Learn more on Bing</v>
  </rv>
  <rv s="1">
    <v>0</v>
    <v>LOCKHEED MARTIN CORPORATION (XNYS:LMT)</v>
    <v>2</v>
    <v>3</v>
    <v>Finance</v>
    <v>4</v>
    <v>en-US</v>
    <v>a1wzw7</v>
    <v>268435456</v>
    <v>1</v>
    <v>Powered by Refinitiv</v>
    <v>692</v>
    <v>410.11</v>
    <v>0.2117</v>
    <v>-10.08</v>
    <v>-1.5812E-2</v>
    <v>-2.12</v>
    <v>-3.3789999999999996E-3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638.50990000000002</v>
    <v>Aerospace &amp; Defense</v>
    <v>Stock</v>
    <v>46101.999681503905</v>
    <v>116</v>
    <v>622.37</v>
    <v>144359219886</v>
    <v>LOCKHEED MARTIN CORPORATION</v>
    <v>LOCKHEED MARTIN CORPORATION</v>
    <v>635.86</v>
    <v>29.6708</v>
    <v>637.51</v>
    <v>627.42999999999995</v>
    <v>625.30999999999995</v>
    <v>230080200</v>
    <v>LMT</v>
    <v>LOCKHEED MARTIN CORPORATION (XNYS:LMT)</v>
    <v>6511253</v>
    <v>1613175</v>
    <v>1994</v>
  </rv>
  <rv s="2">
    <v>117</v>
  </rv>
  <rv s="0">
    <v>https://www.bing.com/financeapi/forcetrigger?t=a1mpqh&amp;q=XNYS%3aABBV&amp;form=skydnc</v>
    <v>Learn more on Bing</v>
  </rv>
  <rv s="1">
    <v>0</v>
    <v>ABBVIE INC. (XNYS:ABBV)</v>
    <v>2</v>
    <v>3</v>
    <v>Finance</v>
    <v>4</v>
    <v>en-US</v>
    <v>a1mpqh</v>
    <v>268435456</v>
    <v>1</v>
    <v>Powered by Refinitiv</v>
    <v>244.81</v>
    <v>164.39</v>
    <v>0.3821</v>
    <v>-1.1599999999999999</v>
    <v>-5.6249999999999998E-3</v>
    <v>1.18</v>
    <v>5.7540000000000004E-3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57000</v>
    <v>New York Stock Exchange</v>
    <v>XNYS</v>
    <v>XNYS</v>
    <v>1 N Waukegan Rd, NORTH CHICAGO, IL, 60064 US</v>
    <v>207.78</v>
    <v>Pharmaceuticals</v>
    <v>Stock</v>
    <v>46101.999836041403</v>
    <v>119</v>
    <v>203.06</v>
    <v>362598416830</v>
    <v>ABBVIE INC.</v>
    <v>ABBVIE INC.</v>
    <v>206.26499999999999</v>
    <v>87.374499999999998</v>
    <v>206.23</v>
    <v>205.07</v>
    <v>206.25</v>
    <v>1768169000</v>
    <v>ABBV</v>
    <v>ABBVIE INC. (XNYS:ABBV)</v>
    <v>27982356</v>
    <v>6523811</v>
    <v>2012</v>
  </rv>
  <rv s="2">
    <v>120</v>
  </rv>
  <rv s="0">
    <v>https://www.bing.com/financeapi/forcetrigger?t=a1mw4c&amp;q=XNAS%3aADP&amp;form=skydnc</v>
    <v>Learn more on Bing</v>
  </rv>
  <rv s="1">
    <v>0</v>
    <v>AUTOMATIC DATA PROCESSING, INC. (XNAS:ADP)</v>
    <v>2</v>
    <v>3</v>
    <v>Finance</v>
    <v>4</v>
    <v>en-US</v>
    <v>a1mw4c</v>
    <v>268435456</v>
    <v>1</v>
    <v>Powered by Refinitiv</v>
    <v>329.92950000000002</v>
    <v>203.26</v>
    <v>0.84050000000000002</v>
    <v>-1.97</v>
    <v>-9.3520000000000009E-3</v>
    <v>2.7416999999999998</v>
    <v>1.3138E-2</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Boulevard, ROSELAND, NJ, 07068 US</v>
    <v>212.79</v>
    <v>Software &amp; IT Services</v>
    <v>Stock</v>
    <v>46101.99415630781</v>
    <v>122</v>
    <v>208.56</v>
    <v>84027838967</v>
    <v>AUTOMATIC DATA PROCESSING, INC.</v>
    <v>AUTOMATIC DATA PROCESSING, INC.</v>
    <v>211.27</v>
    <v>20.047499999999999</v>
    <v>210.66</v>
    <v>208.69</v>
    <v>211.43170000000001</v>
    <v>402644300</v>
    <v>ADP</v>
    <v>AUTOMATIC DATA PROCESSING, INC. (XNAS:ADP)</v>
    <v>19084187</v>
    <v>4045412</v>
    <v>1961</v>
  </rv>
  <rv s="2">
    <v>123</v>
  </rv>
  <rv s="0">
    <v>https://www.bing.com/financeapi/forcetrigger?t=a1ndww&amp;q=XNAS%3aAMD&amp;form=skydnc</v>
    <v>Learn more on Bing</v>
  </rv>
  <rv s="1">
    <v>0</v>
    <v>ADVANCED MICRO DEVICES, INC. (XNAS:AMD)</v>
    <v>2</v>
    <v>3</v>
    <v>Finance</v>
    <v>4</v>
    <v>en-US</v>
    <v>a1ndww</v>
    <v>268435456</v>
    <v>1</v>
    <v>Powered by Refinitiv</v>
    <v>267.07990000000001</v>
    <v>76.48</v>
    <v>1.9796</v>
    <v>-3.94</v>
    <v>-1.9193999999999999E-2</v>
    <v>1.1468</v>
    <v>5.6959999999999997E-3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206.3</v>
    <v>Semiconductors &amp; Semiconductor Equipment</v>
    <v>Stock</v>
    <v>46101.999758946091</v>
    <v>125</v>
    <v>198.26</v>
    <v>328250646630</v>
    <v>ADVANCED MICRO DEVICES, INC.</v>
    <v>ADVANCED MICRO DEVICES, INC.</v>
    <v>204.88499999999999</v>
    <v>77.303799999999995</v>
    <v>205.27</v>
    <v>201.33</v>
    <v>202.4768</v>
    <v>1630411000</v>
    <v>AMD</v>
    <v>ADVANCED MICRO DEVICES, INC. (XNAS:AMD)</v>
    <v>37265103</v>
    <v>34178804</v>
    <v>1969</v>
  </rv>
  <rv s="2">
    <v>126</v>
  </rv>
  <rv s="0">
    <v>https://www.bing.com/financeapi/forcetrigger?t=a1ngur&amp;q=XNYS%3aAMT&amp;form=skydnc</v>
    <v>Learn more on Bing</v>
  </rv>
  <rv s="1">
    <v>0</v>
    <v>AMERICAN TOWER CORPORATION (XNYS:AMT)</v>
    <v>2</v>
    <v>3</v>
    <v>Finance</v>
    <v>4</v>
    <v>en-US</v>
    <v>a1ngur</v>
    <v>268435456</v>
    <v>1</v>
    <v>Powered by Refinitiv</v>
    <v>234.33</v>
    <v>166.88</v>
    <v>0.90759999999999996</v>
    <v>-5.97</v>
    <v>-3.2666000000000001E-2</v>
    <v>0.51</v>
    <v>2.885E-3</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4866</v>
    <v>New York Stock Exchange</v>
    <v>XNYS</v>
    <v>XNYS</v>
    <v>116 Huntington Ave, BOSTON, MA, 02116 US</v>
    <v>185.72</v>
    <v>Residential &amp; Commercial REIT</v>
    <v>Stock</v>
    <v>46101.992355335155</v>
    <v>128</v>
    <v>175.6</v>
    <v>82399131792</v>
    <v>AMERICAN TOWER CORPORATION</v>
    <v>AMERICAN TOWER CORPORATION</v>
    <v>184.02</v>
    <v>32.758899999999997</v>
    <v>182.76</v>
    <v>176.79</v>
    <v>177.3</v>
    <v>466084800</v>
    <v>AMT</v>
    <v>AMERICAN TOWER CORPORATION (XNYS:AMT)</v>
    <v>6368009</v>
    <v>3075264</v>
    <v>1996</v>
  </rv>
  <rv s="2">
    <v>129</v>
  </rv>
  <rv s="0">
    <v>https://www.bing.com/financeapi/forcetrigger?t=a1nkm7&amp;q=XNYS%3aAOS&amp;form=skydnc</v>
    <v>Learn more on Bing</v>
  </rv>
  <rv s="1">
    <v>0</v>
    <v>A. O. SMITH CORPORATION (XNYS:AOS)</v>
    <v>2</v>
    <v>3</v>
    <v>Finance</v>
    <v>4</v>
    <v>en-US</v>
    <v>a1nkm7</v>
    <v>268435456</v>
    <v>1</v>
    <v>Powered by Refinitiv</v>
    <v>81.864999999999995</v>
    <v>58.83</v>
    <v>1.3531</v>
    <v>-0.45</v>
    <v>-6.9720000000000008E-3</v>
    <v>0.5</v>
    <v>7.8019999999999999E-3</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64.91</v>
    <v>Machinery, Equipment &amp; Components</v>
    <v>Stock</v>
    <v>46101.99403393516</v>
    <v>131</v>
    <v>63.34</v>
    <v>8859788782</v>
    <v>A. O. SMITH CORPORATION</v>
    <v>A. O. SMITH CORPORATION</v>
    <v>64.430000000000007</v>
    <v>16.6584</v>
    <v>64.540000000000006</v>
    <v>64.09</v>
    <v>64.59</v>
    <v>138239800</v>
    <v>AOS</v>
    <v>A. O. SMITH CORPORATION (XNYS:AOS)</v>
    <v>2863534</v>
    <v>1299863</v>
    <v>1986</v>
  </rv>
  <rv s="2">
    <v>132</v>
  </rv>
  <rv s="0">
    <v>https://www.bing.com/financeapi/forcetrigger?t=a1ntlh&amp;q=XNAS%3aASML&amp;form=skydnc</v>
    <v>Learn more on Bing</v>
  </rv>
  <rv s="1">
    <v>0</v>
    <v>ASML Holding NV (XNAS:ASML)</v>
    <v>2</v>
    <v>14</v>
    <v>Finance</v>
    <v>4</v>
    <v>en-US</v>
    <v>a1ntlh</v>
    <v>268435456</v>
    <v>1</v>
    <v>Powered by Refinitiv</v>
    <v>1547.22</v>
    <v>578.51</v>
    <v>2.2174999999999998</v>
    <v>-49.14</v>
    <v>-3.5962999999999995E-2</v>
    <v>5.7</v>
    <v>4.3270000000000001E-3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43520</v>
    <v>Nasdaq Stock Market</v>
    <v>XNAS</v>
    <v>XNAS</v>
    <v>De Run 6501, VELDHOVEN, NOORD-BRABANT, 5504 DR NL</v>
    <v>1370</v>
    <v>Semiconductors &amp; Semiconductor Equipment</v>
    <v>Stock</v>
    <v>46101.999539918746</v>
    <v>134</v>
    <v>1291.0999999999999</v>
    <v>533920450212</v>
    <v>ASML Holding NV</v>
    <v>ASML Holding NV</v>
    <v>1357.2550000000001</v>
    <v>45.381700000000002</v>
    <v>1366.39</v>
    <v>1317.25</v>
    <v>1322.95</v>
    <v>388147700</v>
    <v>ASML</v>
    <v>ASML Holding NV (XNAS:ASML)</v>
    <v>2645128</v>
    <v>1473943</v>
    <v>1994</v>
  </rv>
  <rv s="2">
    <v>135</v>
  </rv>
  <rv s="0">
    <v>https://www.bing.com/financeapi/forcetrigger?t=a1nz8m&amp;q=XNAS%3aAVGO&amp;form=skydnc</v>
    <v>Learn more on Bing</v>
  </rv>
  <rv s="1">
    <v>0</v>
    <v>BROADCOM INC. (XNAS:AVGO)</v>
    <v>2</v>
    <v>3</v>
    <v>Finance</v>
    <v>4</v>
    <v>en-US</v>
    <v>a1nz8m</v>
    <v>268435456</v>
    <v>1</v>
    <v>Powered by Refinitiv</v>
    <v>414.61</v>
    <v>138.1</v>
    <v>1.2487999999999999</v>
    <v>-9.33</v>
    <v>-2.9170999999999999E-2</v>
    <v>2.5901000000000001</v>
    <v>8.3409999999999995E-3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321.51</v>
    <v>Semiconductors &amp; Semiconductor Equipment</v>
    <v>Stock</v>
    <v>46101.999965971874</v>
    <v>137</v>
    <v>309.92</v>
    <v>1470161760680</v>
    <v>BROADCOM INC.</v>
    <v>BROADCOM INC.</v>
    <v>320.12</v>
    <v>67.052400000000006</v>
    <v>319.83999999999997</v>
    <v>310.51</v>
    <v>313.1001</v>
    <v>4734668000</v>
    <v>AVGO</v>
    <v>BROADCOM INC. (XNAS:AVGO)</v>
    <v>43325937</v>
    <v>26776804</v>
    <v>2018</v>
  </rv>
  <rv s="2">
    <v>138</v>
  </rv>
  <rv s="0">
    <v>https://www.bing.com/financeapi/forcetrigger?t=a1o1jc&amp;q=XNYS%3aAWK&amp;form=skydnc</v>
    <v>Learn more on Bing</v>
  </rv>
  <rv s="1">
    <v>0</v>
    <v>AMERICAN WATER WORKS COMPANY, INC. (XNYS:AWK)</v>
    <v>2</v>
    <v>3</v>
    <v>Finance</v>
    <v>4</v>
    <v>en-US</v>
    <v>a1o1jc</v>
    <v>268435456</v>
    <v>1</v>
    <v>Powered by Refinitiv</v>
    <v>155.5</v>
    <v>121.27500000000001</v>
    <v>0.73929999999999996</v>
    <v>-1.31</v>
    <v>-9.555000000000001E-3</v>
    <v>1.29</v>
    <v>9.4999999999999998E-3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7000</v>
    <v>New York Stock Exchange</v>
    <v>XNYS</v>
    <v>XNYS</v>
    <v>1 Water Street, CAMDEN, NJ, 08102-1658 US</v>
    <v>137.74</v>
    <v>Water Utilities</v>
    <v>Stock</v>
    <v>46101.959152638279</v>
    <v>140</v>
    <v>135.13999999999999</v>
    <v>26507389373</v>
    <v>AMERICAN WATER WORKS COMPANY, INC.</v>
    <v>AMERICAN WATER WORKS COMPANY, INC.</v>
    <v>137.09</v>
    <v>24.063500000000001</v>
    <v>137.1</v>
    <v>135.79</v>
    <v>137.08000000000001</v>
    <v>195208700</v>
    <v>AWK</v>
    <v>AMERICAN WATER WORKS COMPANY, INC. (XNYS:AWK)</v>
    <v>4091888</v>
    <v>2012663</v>
    <v>1936</v>
  </rv>
  <rv s="2">
    <v>141</v>
  </rv>
  <rv s="0">
    <v>https://www.bing.com/financeapi/forcetrigger?t=a1o9gh&amp;q=XNYS%3aBBY&amp;form=skydnc</v>
    <v>Learn more on Bing</v>
  </rv>
  <rv s="1">
    <v>0</v>
    <v>Best Buy Co., Inc. (XNYS:BBY)</v>
    <v>2</v>
    <v>3</v>
    <v>Finance</v>
    <v>4</v>
    <v>en-US</v>
    <v>a1o9gh</v>
    <v>268435456</v>
    <v>1</v>
    <v>Powered by Refinitiv</v>
    <v>84.99</v>
    <v>54.99</v>
    <v>1.3935999999999999</v>
    <v>-1.39</v>
    <v>-2.1654E-2</v>
    <v>0.4</v>
    <v>6.3690000000000005E-3</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82000</v>
    <v>New York Stock Exchange</v>
    <v>XNYS</v>
    <v>XNYS</v>
    <v>7601 Penn Ave S, RICHFIELD, MN, 55423 US</v>
    <v>64.099999999999994</v>
    <v>Specialty Retailers</v>
    <v>Stock</v>
    <v>46101.999465601562</v>
    <v>143</v>
    <v>62.1</v>
    <v>13132271280</v>
    <v>Best Buy Co., Inc.</v>
    <v>Best Buy Co., Inc.</v>
    <v>64</v>
    <v>12.717599999999999</v>
    <v>64.19</v>
    <v>62.8</v>
    <v>63.2</v>
    <v>209112600</v>
    <v>BBY</v>
    <v>Best Buy Co., Inc. (XNYS:BBY)</v>
    <v>9930406</v>
    <v>5208049</v>
    <v>1966</v>
  </rv>
  <rv s="2">
    <v>144</v>
  </rv>
  <rv s="0">
    <v>https://www.bing.com/financeapi/forcetrigger?t=a1odur&amp;q=XNYS%3aBF.A&amp;form=skydnc</v>
    <v>Learn more on Bing</v>
  </rv>
  <rv s="3">
    <v>5</v>
    <v>BROWN-FORMAN CORPORATION (XNYS:BF.A)</v>
    <v>2</v>
    <v>6</v>
    <v>Finance</v>
    <v>4</v>
    <v>en-US</v>
    <v>a1odur</v>
    <v>268435456</v>
    <v>1</v>
    <v>Powered by Refinitiv</v>
    <v>35.954999999999998</v>
    <v>23.01</v>
    <v>0.47039999999999998</v>
    <v>-0.26</v>
    <v>-1.1022000000000001E-2</v>
    <v>0</v>
    <v>0</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23.75</v>
    <v>Beverages</v>
    <v>Stock</v>
    <v>46101.958333356248</v>
    <v>146</v>
    <v>23.01</v>
    <v>10701554988</v>
    <v>BROWN-FORMAN CORPORATION</v>
    <v>BROWN-FORMAN CORPORATION</v>
    <v>23.75</v>
    <v>23.59</v>
    <v>23.33</v>
    <v>23.33</v>
    <v>458703600</v>
    <v>BF.A</v>
    <v>BROWN-FORMAN CORPORATION (XNYS:BF.A)</v>
    <v>627477</v>
    <v>247857</v>
    <v>1933</v>
  </rv>
  <rv s="2">
    <v>147</v>
  </rv>
  <rv s="0">
    <v>https://www.bing.com/financeapi/forcetrigger?t=a1p7zr&amp;q=XNYS%3aCAT&amp;form=skydnc</v>
    <v>Learn more on Bing</v>
  </rv>
  <rv s="1">
    <v>0</v>
    <v>CATERPILLAR INC. (XNYS:CAT)</v>
    <v>2</v>
    <v>3</v>
    <v>Finance</v>
    <v>4</v>
    <v>en-US</v>
    <v>a1p7zr</v>
    <v>268435456</v>
    <v>1</v>
    <v>Powered by Refinitiv</v>
    <v>789.81</v>
    <v>267.3</v>
    <v>1.5402</v>
    <v>-7.77</v>
    <v>-1.1283000000000001E-2</v>
    <v>4.62</v>
    <v>6.7850000000000002E-3</v>
    <v>USD</v>
    <v>Caterpillar Inc. is a manufacturer of construction and mining equipment, off-highway diesel and natural gas engines, industrial gas turbines and diesel-electric locomotives. Its segments include Construction Industries, Resource Industries and Power &amp; Energy. It also provides financing and related services through its Financial Products segment. Construction Industries segment is responsible for supporting customers using machinery in infrastructure and building construction applications. Resource Industries segment develops and manufactures high productivity equipment for both surface and underground mining operations around the world, and provides select work tools, machinery components, wear and maintenance components and related parts. Power &amp; Energy segment supports customers in oil and gas, power generation, marine, rail and industrial applications, including Caterpillar machines. It is engaged in the provision and development of mining software solutions to the mining industry.</v>
    <v>118000</v>
    <v>New York Stock Exchange</v>
    <v>XNYS</v>
    <v>XNYS</v>
    <v>5205 N. O'connor Boulevard, Suite 100, IRVING, TX, 75039 US</v>
    <v>694.06</v>
    <v>Machinery, Equipment &amp; Components</v>
    <v>Stock</v>
    <v>46101.997483251565</v>
    <v>149</v>
    <v>670.44</v>
    <v>316804816824</v>
    <v>CATERPILLAR INC.</v>
    <v>CATERPILLAR INC.</v>
    <v>686.63</v>
    <v>36.165999999999997</v>
    <v>688.65</v>
    <v>680.88</v>
    <v>685.5</v>
    <v>465287300</v>
    <v>CAT</v>
    <v>CATERPILLAR INC. (XNYS:CAT)</v>
    <v>5131128</v>
    <v>2850763</v>
    <v>1986</v>
  </rv>
  <rv s="2">
    <v>150</v>
  </rv>
  <rv s="0">
    <v>https://www.bing.com/financeapi/forcetrigger?t=a1pcf2&amp;q=XNYS%3aCCI&amp;form=skydnc</v>
    <v>Learn more on Bing</v>
  </rv>
  <rv s="1">
    <v>0</v>
    <v>CROWN CASTLE INC. (XNYS:CCI)</v>
    <v>2</v>
    <v>3</v>
    <v>Finance</v>
    <v>4</v>
    <v>en-US</v>
    <v>a1pcf2</v>
    <v>268435456</v>
    <v>1</v>
    <v>Powered by Refinitiv</v>
    <v>115.76</v>
    <v>77.010000000000005</v>
    <v>0.94879999999999998</v>
    <v>-2.71</v>
    <v>-3.1856000000000002E-2</v>
    <v>0.68799999999999994</v>
    <v>8.3540000000000003E-3</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4000</v>
    <v>New York Stock Exchange</v>
    <v>XNYS</v>
    <v>XNYS</v>
    <v>8020 Katy Freeway, HOUSTON, TX, 77024 US</v>
    <v>86.015000000000001</v>
    <v>Residential &amp; Commercial REIT</v>
    <v>Stock</v>
    <v>46101.996133830471</v>
    <v>152</v>
    <v>81.7</v>
    <v>35914758144</v>
    <v>CROWN CASTLE INC.</v>
    <v>CROWN CASTLE INC.</v>
    <v>85.13</v>
    <v>32.630699999999997</v>
    <v>85.07</v>
    <v>82.36</v>
    <v>83.048000000000002</v>
    <v>436070400</v>
    <v>CCI</v>
    <v>CROWN CASTLE INC. (XNYS:CCI)</v>
    <v>5086834</v>
    <v>3186224</v>
    <v>2014</v>
  </rv>
  <rv s="2">
    <v>153</v>
  </rv>
  <rv s="0">
    <v>https://www.bing.com/financeapi/forcetrigger?t=a1pshw&amp;q=XNYS%3aCL&amp;form=skydnc</v>
    <v>Learn more on Bing</v>
  </rv>
  <rv s="1">
    <v>0</v>
    <v>COLGATE-PALMOLIVE COMPANY (XNYS:CL)</v>
    <v>2</v>
    <v>3</v>
    <v>Finance</v>
    <v>4</v>
    <v>en-US</v>
    <v>a1pshw</v>
    <v>268435456</v>
    <v>1</v>
    <v>Powered by Refinitiv</v>
    <v>99.33</v>
    <v>74.545000000000002</v>
    <v>0.31979999999999997</v>
    <v>-0.38</v>
    <v>-4.444E-3</v>
    <v>0.35</v>
    <v>4.1120000000000002E-3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33600</v>
    <v>New York Stock Exchange</v>
    <v>XNYS</v>
    <v>XNYS</v>
    <v>300 PARK AVE, NEW YORK, NY, 10022 US</v>
    <v>86.144999999999996</v>
    <v>Personal &amp; Household Products &amp; Services</v>
    <v>Stock</v>
    <v>46101.972977950783</v>
    <v>155</v>
    <v>84.07</v>
    <v>68227765760</v>
    <v>COLGATE-PALMOLIVE COMPANY</v>
    <v>COLGATE-PALMOLIVE COMPANY</v>
    <v>86.025000000000006</v>
    <v>32.616199999999999</v>
    <v>85.5</v>
    <v>85.12</v>
    <v>85.47</v>
    <v>801548000</v>
    <v>CL</v>
    <v>COLGATE-PALMOLIVE COMPANY (XNYS:CL)</v>
    <v>12313738</v>
    <v>6411886</v>
    <v>1923</v>
  </rv>
  <rv s="2">
    <v>156</v>
  </rv>
  <rv s="0">
    <v>https://www.bing.com/financeapi/forcetrigger?t=a1q19c&amp;q=XNYS%3aCNI&amp;form=skydnc</v>
    <v>Learn more on Bing</v>
  </rv>
  <rv s="1">
    <v>0</v>
    <v>Canadian National Railway Company (XNYS:CNI)</v>
    <v>2</v>
    <v>15</v>
    <v>Finance</v>
    <v>4</v>
    <v>en-US</v>
    <v>a1q19c</v>
    <v>268435456</v>
    <v>1</v>
    <v>Powered by Refinitiv</v>
    <v>113.08499999999999</v>
    <v>90.74</v>
    <v>0.99199999999999999</v>
    <v>-0.69</v>
    <v>-6.9630000000000004E-3</v>
    <v>-1.3609</v>
    <v>-1.3829000000000001E-2</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100.22</v>
    <v>Freight &amp; Logistics Services</v>
    <v>Stock</v>
    <v>46101.973349189066</v>
    <v>158</v>
    <v>97.98</v>
    <v>64942908000</v>
    <v>Canadian National Railway Company</v>
    <v>Canadian National Railway Company</v>
    <v>98.93</v>
    <v>17.846699999999998</v>
    <v>99.1</v>
    <v>98.41</v>
    <v>97.049099999999996</v>
    <v>611400000</v>
    <v>CNI</v>
    <v>Canadian National Railway Company (XNYS:CNI)</v>
    <v>2168865</v>
    <v>2045373</v>
    <v>1995</v>
  </rv>
  <rv s="2">
    <v>159</v>
  </rv>
  <rv s="0">
    <v>https://www.bing.com/financeapi/forcetrigger?t=a1q6k2&amp;q=XNAS%3aCOST&amp;form=skydnc</v>
    <v>Learn more on Bing</v>
  </rv>
  <rv s="1">
    <v>0</v>
    <v>COSTCO WHOLESALE CORPORATION (XNAS:COST)</v>
    <v>2</v>
    <v>3</v>
    <v>Finance</v>
    <v>4</v>
    <v>en-US</v>
    <v>a1q6k2</v>
    <v>268435456</v>
    <v>1</v>
    <v>Powered by Refinitiv</v>
    <v>1067.08</v>
    <v>844.06</v>
    <v>0.997</v>
    <v>-2.4500000000000002</v>
    <v>-2.513E-3</v>
    <v>1.8271999999999999</v>
    <v>1.879E-3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980.76</v>
    <v>Diversified Retail</v>
    <v>Stock</v>
    <v>46101.999650890626</v>
    <v>161</v>
    <v>970.54</v>
    <v>431376635325</v>
    <v>COSTCO WHOLESALE CORPORATION</v>
    <v>COSTCO WHOLESALE CORPORATION</v>
    <v>975.08</v>
    <v>52.084800000000001</v>
    <v>974.78</v>
    <v>972.33</v>
    <v>974.15719999999999</v>
    <v>443652500</v>
    <v>COST</v>
    <v>COSTCO WHOLESALE CORPORATION (XNAS:COST)</v>
    <v>2621555</v>
    <v>1918915</v>
    <v>1987</v>
  </rv>
  <rv s="2">
    <v>162</v>
  </rv>
  <rv s="0">
    <v>https://www.bing.com/financeapi/forcetrigger?t=a1q7jc&amp;q=XNYS%3aCPB&amp;form=skydnc</v>
    <v>Learn more on Bing</v>
  </rv>
  <rv s="1">
    <v>0</v>
    <v>THE CAMPBELL'S COMPANY (XNAS:CPB)</v>
    <v>2</v>
    <v>3</v>
    <v>Finance</v>
    <v>4</v>
    <v>en-US</v>
    <v>a1q7jc</v>
    <v>268435456</v>
    <v>1</v>
    <v>Powered by Refinitiv</v>
    <v>40.590000000000003</v>
    <v>20.8</v>
    <v>2.8899999999999999E-2</v>
    <v>0.04</v>
    <v>1.902E-3</v>
    <v>0.04</v>
    <v>1.8979999999999999E-3</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21.21</v>
    <v>Food &amp; Tobacco</v>
    <v>Stock</v>
    <v>46101.999807256252</v>
    <v>164</v>
    <v>20.8</v>
    <v>6281946755</v>
    <v>THE CAMPBELL'S COMPANY</v>
    <v>THE CAMPBELL'S COMPANY</v>
    <v>20.98</v>
    <v>10.909700000000001</v>
    <v>21.03</v>
    <v>21.07</v>
    <v>21.11</v>
    <v>298146500</v>
    <v>CPB</v>
    <v>THE CAMPBELL'S COMPANY (XNAS:CPB)</v>
    <v>11692495</v>
    <v>9515639</v>
    <v>1922</v>
  </rv>
  <rv s="2">
    <v>165</v>
  </rv>
  <rv s="0">
    <v>https://www.bing.com/financeapi/forcetrigger?t=a1qpw7&amp;q=XNYS%3aD&amp;form=skydnc</v>
    <v>Learn more on Bing</v>
  </rv>
  <rv s="1">
    <v>0</v>
    <v>Dominion Energy, Inc. (XNYS:D)</v>
    <v>2</v>
    <v>3</v>
    <v>Finance</v>
    <v>4</v>
    <v>en-US</v>
    <v>a1qpw7</v>
    <v>268435456</v>
    <v>1</v>
    <v>Powered by Refinitiv</v>
    <v>67.569900000000004</v>
    <v>48.07</v>
    <v>0.66930000000000001</v>
    <v>-1.64</v>
    <v>-2.6876000000000001E-2</v>
    <v>0.57999999999999996</v>
    <v>9.7680000000000006E-3</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15200</v>
    <v>New York Stock Exchange</v>
    <v>XNYS</v>
    <v>XNYS</v>
    <v>600 EAST CANAL STREET, RICHMOND, VA, 23219 US</v>
    <v>61.26</v>
    <v>Electrical Utilities &amp; IPPs</v>
    <v>Stock</v>
    <v>46101.998282812499</v>
    <v>167</v>
    <v>59.09</v>
    <v>52182288928</v>
    <v>Dominion Energy, Inc.</v>
    <v>Dominion Energy, Inc.</v>
    <v>61.1</v>
    <v>17.1996</v>
    <v>61.02</v>
    <v>59.38</v>
    <v>59.96</v>
    <v>878785600</v>
    <v>D</v>
    <v>Dominion Energy, Inc. (XNYS:D)</v>
    <v>7784767</v>
    <v>5857336</v>
    <v>1983</v>
  </rv>
  <rv s="2">
    <v>168</v>
  </rv>
  <rv s="0">
    <v>https://www.bing.com/financeapi/forcetrigger?t=a1qvjc&amp;q=XNYS%3aDE&amp;form=skydnc</v>
    <v>Learn more on Bing</v>
  </rv>
  <rv s="1">
    <v>0</v>
    <v>DEERE &amp; COMPANY (XNYS:DE)</v>
    <v>2</v>
    <v>3</v>
    <v>Finance</v>
    <v>4</v>
    <v>en-US</v>
    <v>a1qvjc</v>
    <v>268435456</v>
    <v>1</v>
    <v>Powered by Refinitiv</v>
    <v>674.18989999999997</v>
    <v>404.42</v>
    <v>0.9879</v>
    <v>-7.85</v>
    <v>-1.3831E-2</v>
    <v>6.27</v>
    <v>1.1202E-2</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573.71</v>
    <v>Machinery, Equipment &amp; Components</v>
    <v>Stock</v>
    <v>46101.999283321093</v>
    <v>170</v>
    <v>551.27499999999998</v>
    <v>151187159029</v>
    <v>DEERE &amp; COMPANY</v>
    <v>DEERE &amp; COMPANY</v>
    <v>568.57000000000005</v>
    <v>31.557700000000001</v>
    <v>567.58000000000004</v>
    <v>559.73</v>
    <v>566</v>
    <v>270107300</v>
    <v>DE</v>
    <v>DEERE &amp; COMPANY (XNYS:DE)</v>
    <v>2727249</v>
    <v>1819850</v>
    <v>1958</v>
  </rv>
  <rv s="2">
    <v>171</v>
  </rv>
  <rv s="0">
    <v>https://www.bing.com/financeapi/forcetrigger?t=a1qwoc&amp;q=XNYS%3aDEO&amp;form=skydnc</v>
    <v>Learn more on Bing</v>
  </rv>
  <rv s="1">
    <v>0</v>
    <v>DIAGEO PLC (XNYS:DEO)</v>
    <v>2</v>
    <v>16</v>
    <v>Finance</v>
    <v>4</v>
    <v>en-US</v>
    <v>a1qwoc</v>
    <v>268435456</v>
    <v>1</v>
    <v>Powered by Refinitiv</v>
    <v>116.69</v>
    <v>73.64</v>
    <v>0.37990000000000002</v>
    <v>-0.73</v>
    <v>-9.7859999999999996E-3</v>
    <v>0.16</v>
    <v>2.166E-3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74.88</v>
    <v>Beverages</v>
    <v>Stock</v>
    <v>46101.982422997658</v>
    <v>173</v>
    <v>73.64</v>
    <v>42803539700</v>
    <v>DIAGEO PLC</v>
    <v>DIAGEO PLC</v>
    <v>74.66</v>
    <v>17.063600000000001</v>
    <v>74.599999999999994</v>
    <v>73.87</v>
    <v>74.03</v>
    <v>2226452000</v>
    <v>DEO</v>
    <v>DIAGEO PLC (XNYS:DEO)</v>
    <v>2525907</v>
    <v>2269088</v>
    <v>1886</v>
  </rv>
  <rv s="2">
    <v>174</v>
  </rv>
  <rv s="0">
    <v>https://www.bing.com/financeapi/forcetrigger?t=a1r5fr&amp;q=XNYS%3aDLR&amp;form=skydnc</v>
    <v>Learn more on Bing</v>
  </rv>
  <rv s="1">
    <v>0</v>
    <v>DIGITAL REALTY TRUST, INC. (XNYS:DLR)</v>
    <v>2</v>
    <v>3</v>
    <v>Finance</v>
    <v>4</v>
    <v>en-US</v>
    <v>a1r5fr</v>
    <v>268435456</v>
    <v>1</v>
    <v>Powered by Refinitiv</v>
    <v>184.79</v>
    <v>129.94999999999999</v>
    <v>1.1047</v>
    <v>-6.55</v>
    <v>-3.6419E-2</v>
    <v>1.71</v>
    <v>9.8670000000000008E-3</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 provides its customers with access to the connected data communities with a global data center footprint of 300+ facilities in 55+ metros across 30+ countries on six continents. The Company’s PlatformDIGITAL is a global data center platform for scaling digital business which enables customers to deploy critical infrastructure with a global data center provider.</v>
    <v>4282</v>
    <v>New York Stock Exchange</v>
    <v>XNYS</v>
    <v>XNYS</v>
    <v>2323 Bryan Street, Suite 1800, DALLAS, TX, 75201 US</v>
    <v>180.27500000000001</v>
    <v>Residential &amp; Commercial REIT</v>
    <v>Stock</v>
    <v>46101.968814617969</v>
    <v>176</v>
    <v>173.08</v>
    <v>59548548820</v>
    <v>DIGITAL REALTY TRUST, INC.</v>
    <v>DIGITAL REALTY TRUST, INC.</v>
    <v>179.99</v>
    <v>48.407800000000002</v>
    <v>179.85</v>
    <v>173.3</v>
    <v>175.01</v>
    <v>343615400</v>
    <v>DLR</v>
    <v>DIGITAL REALTY TRUST, INC. (XNYS:DLR)</v>
    <v>3062728</v>
    <v>2067524</v>
    <v>2004</v>
  </rv>
  <rv s="2">
    <v>177</v>
  </rv>
  <rv s="0">
    <v>https://www.bing.com/financeapi/forcetrigger?t=bpifbh&amp;q=XNYS%3aDOW&amp;form=skydnc</v>
    <v>Learn more on Bing</v>
  </rv>
  <rv s="3">
    <v>5</v>
    <v>Dow Inc. (XNYS:DOW)</v>
    <v>2</v>
    <v>6</v>
    <v>Finance</v>
    <v>4</v>
    <v>en-US</v>
    <v>bpifbh</v>
    <v>268435456</v>
    <v>1</v>
    <v>Powered by Refinitiv</v>
    <v>38.58</v>
    <v>20.401900000000001</v>
    <v>0.59530000000000005</v>
    <v>-0.84</v>
    <v>-2.2406000000000002E-2</v>
    <v>-0.46</v>
    <v>-1.2551000000000001E-2</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34600</v>
    <v>New York Stock Exchange</v>
    <v>XNYS</v>
    <v>XNYS</v>
    <v>2211 H.H. Dow Way, MIDLAND, MI, 48674 US</v>
    <v>38.32</v>
    <v>Chemicals</v>
    <v>Stock</v>
    <v>46101.999982140624</v>
    <v>179</v>
    <v>36.479999999999997</v>
    <v>26374051010</v>
    <v>Dow Inc.</v>
    <v>Dow Inc.</v>
    <v>37.82</v>
    <v>37.49</v>
    <v>36.65</v>
    <v>36.19</v>
    <v>719619400</v>
    <v>DOW</v>
    <v>Dow Inc. (XNYS:DOW)</v>
    <v>15453512</v>
    <v>14698950</v>
    <v>2018</v>
  </rv>
  <rv s="2">
    <v>180</v>
  </rv>
  <rv s="0">
    <v>https://www.bing.com/financeapi/forcetrigger?t=a1rdzr&amp;q=XNYS%3aDUK&amp;form=skydnc</v>
    <v>Learn more on Bing</v>
  </rv>
  <rv s="1">
    <v>0</v>
    <v>DUKE ENERGY CORPORATION (XNYS:DUK)</v>
    <v>2</v>
    <v>3</v>
    <v>Finance</v>
    <v>4</v>
    <v>en-US</v>
    <v>a1rdzr</v>
    <v>268435456</v>
    <v>1</v>
    <v>Powered by Refinitiv</v>
    <v>134.49</v>
    <v>111.22</v>
    <v>0.46279999999999999</v>
    <v>-2.93</v>
    <v>-2.2584E-2</v>
    <v>0.66610000000000003</v>
    <v>5.2529999999999999E-3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130.54</v>
    <v>Electrical Utilities &amp; IPPs</v>
    <v>Stock</v>
    <v>46101.996108529689</v>
    <v>182</v>
    <v>126.77</v>
    <v>98616446829</v>
    <v>DUKE ENERGY CORPORATION</v>
    <v>DUKE ENERGY CORPORATION</v>
    <v>130.43</v>
    <v>20.060400000000001</v>
    <v>129.74</v>
    <v>126.81</v>
    <v>127.4761</v>
    <v>777670900</v>
    <v>DUK</v>
    <v>DUKE ENERGY CORPORATION (XNYS:DUK)</v>
    <v>7644784</v>
    <v>4925430</v>
    <v>2005</v>
  </rv>
  <rv s="2">
    <v>183</v>
  </rv>
  <rv s="0">
    <v>https://www.bing.com/financeapi/forcetrigger?t=a1rmkr&amp;q=XNYS%3aED&amp;form=skydnc</v>
    <v>Learn more on Bing</v>
  </rv>
  <rv s="1">
    <v>0</v>
    <v>CONSOLIDATED EDISON, INC. (XNYS:ED)</v>
    <v>2</v>
    <v>3</v>
    <v>Finance</v>
    <v>4</v>
    <v>en-US</v>
    <v>a1rmkr</v>
    <v>268435456</v>
    <v>1</v>
    <v>Powered by Refinitiv</v>
    <v>116.23</v>
    <v>94.96</v>
    <v>0.34449999999999997</v>
    <v>-2.2400000000000002</v>
    <v>-2.0055999999999997E-2</v>
    <v>2.13</v>
    <v>1.9460999999999999E-2</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15407</v>
    <v>New York Stock Exchange</v>
    <v>XNYS</v>
    <v>XNYS</v>
    <v>4 Irving Place, NEW YORK, NY, 10003 US</v>
    <v>111.9686</v>
    <v>Electrical Utilities &amp; IPPs</v>
    <v>Stock</v>
    <v>46101.97780201328</v>
    <v>185</v>
    <v>108.82</v>
    <v>39544580515</v>
    <v>CONSOLIDATED EDISON, INC.</v>
    <v>CONSOLIDATED EDISON, INC.</v>
    <v>111.82</v>
    <v>19.756699999999999</v>
    <v>111.69</v>
    <v>109.45</v>
    <v>111.58</v>
    <v>361302700</v>
    <v>ED</v>
    <v>CONSOLIDATED EDISON, INC. (XNYS:ED)</v>
    <v>4149957</v>
    <v>2553631</v>
    <v>1997</v>
  </rv>
  <rv s="2">
    <v>186</v>
  </rv>
  <rv s="0">
    <v>https://www.bing.com/financeapi/forcetrigger?t=a1s24c&amp;q=XNYS%3aEOG&amp;form=skydnc</v>
    <v>Learn more on Bing</v>
  </rv>
  <rv s="1">
    <v>0</v>
    <v>EOG RESOURCES, INC. (XNYS:EOG)</v>
    <v>2</v>
    <v>3</v>
    <v>Finance</v>
    <v>4</v>
    <v>en-US</v>
    <v>a1s24c</v>
    <v>268435456</v>
    <v>1</v>
    <v>Powered by Refinitiv</v>
    <v>140.91990000000001</v>
    <v>101.5936</v>
    <v>0.36209999999999998</v>
    <v>-0.09</v>
    <v>-6.4829999999999998E-4</v>
    <v>-0.42</v>
    <v>-3.0270000000000002E-3</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3400</v>
    <v>New York Stock Exchange</v>
    <v>XNYS</v>
    <v>XNYS</v>
    <v>1111 Bagby, Sky Lobby 2, HOUSTON, TX, 77002 US</v>
    <v>140.91990000000001</v>
    <v>Oil &amp; Gas</v>
    <v>Stock</v>
    <v>46101.992137117966</v>
    <v>188</v>
    <v>138.25</v>
    <v>74427465795</v>
    <v>EOG RESOURCES, INC.</v>
    <v>EOG RESOURCES, INC.</v>
    <v>139.35</v>
    <v>15.2265</v>
    <v>138.82</v>
    <v>138.72999999999999</v>
    <v>138.31</v>
    <v>536491500</v>
    <v>EOG</v>
    <v>EOG RESOURCES, INC. (XNYS:EOG)</v>
    <v>15690064</v>
    <v>5956089</v>
    <v>1985</v>
  </rv>
  <rv s="2">
    <v>189</v>
  </rv>
  <rv s="0">
    <v>https://www.bing.com/financeapi/forcetrigger?t=a1s4mw&amp;q=XNAS%3aEQIX&amp;form=skydnc</v>
    <v>Learn more on Bing</v>
  </rv>
  <rv s="1">
    <v>0</v>
    <v>EQUINIX, INC. (XNAS:EQIX)</v>
    <v>2</v>
    <v>3</v>
    <v>Finance</v>
    <v>4</v>
    <v>en-US</v>
    <v>a1s4mw</v>
    <v>268435456</v>
    <v>1</v>
    <v>Powered by Refinitiv</v>
    <v>992.9</v>
    <v>701.41</v>
    <v>1.0118</v>
    <v>-15.6</v>
    <v>-1.6004000000000001E-2</v>
    <v>7.84</v>
    <v>8.1740000000000007E-3</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13716</v>
    <v>Nasdaq Stock Market</v>
    <v>XNAS</v>
    <v>XNAS</v>
    <v>One Lagoon Drive, REDWOOD CITY, CA, 94065 US</v>
    <v>979.38499999999999</v>
    <v>Residential &amp; Commercial REIT</v>
    <v>Stock</v>
    <v>46101.998240878907</v>
    <v>191</v>
    <v>953.72</v>
    <v>94242198658</v>
    <v>EQUINIX, INC.</v>
    <v>EQUINIX, INC.</v>
    <v>975.73</v>
    <v>69.704400000000007</v>
    <v>974.76</v>
    <v>959.16</v>
    <v>967</v>
    <v>98254930</v>
    <v>EQIX</v>
    <v>EQUINIX, INC. (XNAS:EQIX)</v>
    <v>1817929</v>
    <v>764695</v>
    <v>1998</v>
  </rv>
  <rv s="2">
    <v>192</v>
  </rv>
  <rv s="0">
    <v>https://www.bing.com/financeapi/forcetrigger?t=a1sl52&amp;q=XNAS%3aFAST&amp;form=skydnc</v>
    <v>Learn more on Bing</v>
  </rv>
  <rv s="1">
    <v>0</v>
    <v>FASTENAL COMPANY (XNAS:FAST)</v>
    <v>2</v>
    <v>3</v>
    <v>Finance</v>
    <v>4</v>
    <v>en-US</v>
    <v>a1sl52</v>
    <v>268435456</v>
    <v>1</v>
    <v>Powered by Refinitiv</v>
    <v>50.63</v>
    <v>35.305</v>
    <v>0.86770000000000003</v>
    <v>-0.73</v>
    <v>-1.6407999999999999E-2</v>
    <v>0.43</v>
    <v>9.8259999999999997E-3</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21602</v>
    <v>Nasdaq Stock Market</v>
    <v>XNAS</v>
    <v>XNAS</v>
    <v>2001 Theurer Blvd, WINONA, MN, 55987 US</v>
    <v>44.795000000000002</v>
    <v>Machinery, Equipment &amp; Components</v>
    <v>Stock</v>
    <v>46101.999589837498</v>
    <v>194</v>
    <v>43.465000000000003</v>
    <v>50250833280</v>
    <v>FASTENAL COMPANY</v>
    <v>FASTENAL COMPANY</v>
    <v>44.37</v>
    <v>39.996299999999998</v>
    <v>44.49</v>
    <v>43.76</v>
    <v>44.19</v>
    <v>1148328000</v>
    <v>FAST</v>
    <v>FASTENAL COMPANY (XNAS:FAST)</v>
    <v>30102429</v>
    <v>7563578</v>
    <v>1968</v>
  </rv>
  <rv s="2">
    <v>195</v>
  </rv>
  <rv s="0">
    <v>https://www.bing.com/financeapi/forcetrigger?t=a1sqr7&amp;q=XNYS%3aFDX&amp;form=skydnc</v>
    <v>Learn more on Bing</v>
  </rv>
  <rv s="1">
    <v>0</v>
    <v>FEDEX CORPORATION (XNYS:FDX)</v>
    <v>2</v>
    <v>3</v>
    <v>Finance</v>
    <v>4</v>
    <v>en-US</v>
    <v>a1sqr7</v>
    <v>268435456</v>
    <v>1</v>
    <v>Powered by Refinitiv</v>
    <v>392.86</v>
    <v>194.29499999999999</v>
    <v>1.2917000000000001</v>
    <v>2.74</v>
    <v>7.6939999999999995E-3</v>
    <v>0.55900000000000005</v>
    <v>1.5579999999999999E-3</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383.18</v>
    <v>Freight &amp; Logistics Services</v>
    <v>Stock</v>
    <v>46101.999372245315</v>
    <v>197</v>
    <v>356.54</v>
    <v>85624050180</v>
    <v>FEDEX CORPORATION</v>
    <v>FEDEX CORPORATION</v>
    <v>380.82</v>
    <v>19.658300000000001</v>
    <v>356.11</v>
    <v>358.85</v>
    <v>359.40899999999999</v>
    <v>235122800</v>
    <v>FDX</v>
    <v>FEDEX CORPORATION (XNYS:FDX)</v>
    <v>6967940</v>
    <v>1825016</v>
    <v>1997</v>
  </rv>
  <rv s="2">
    <v>198</v>
  </rv>
  <rv s="0">
    <v>https://www.bing.com/financeapi/forcetrigger?t=a1t227&amp;q=XNYS%3aFLO&amp;form=skydnc</v>
    <v>Learn more on Bing</v>
  </rv>
  <rv s="1">
    <v>0</v>
    <v>FLOWERS FOODS, INC. (XNYS:FLO)</v>
    <v>2</v>
    <v>3</v>
    <v>Finance</v>
    <v>4</v>
    <v>en-US</v>
    <v>a1t227</v>
    <v>268435456</v>
    <v>1</v>
    <v>Powered by Refinitiv</v>
    <v>20.23</v>
    <v>8.17</v>
    <v>0.37240000000000001</v>
    <v>-0.19</v>
    <v>-2.2700000000000001E-2</v>
    <v>5.0700000000000002E-2</v>
    <v>6.1980000000000004E-3</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10300</v>
    <v>New York Stock Exchange</v>
    <v>XNYS</v>
    <v>XNYS</v>
    <v>1919 Flowers Cir, THOMASVILLE, GA, 31757 US</v>
    <v>8.3699999999999992</v>
    <v>Food &amp; Tobacco</v>
    <v>Stock</v>
    <v>46101.998820914065</v>
    <v>200</v>
    <v>8.17</v>
    <v>1730514174</v>
    <v>FLOWERS FOODS, INC.</v>
    <v>FLOWERS FOODS, INC.</v>
    <v>8.36</v>
    <v>21.179099999999998</v>
    <v>8.3699999999999992</v>
    <v>8.18</v>
    <v>8.2307000000000006</v>
    <v>211554300</v>
    <v>FLO</v>
    <v>FLOWERS FOODS, INC. (XNYS:FLO)</v>
    <v>9228918</v>
    <v>6341276</v>
    <v>2000</v>
  </rv>
  <rv s="2">
    <v>201</v>
  </rv>
  <rv s="0">
    <v>https://www.bing.com/financeapi/forcetrigger?t=a1tvzr&amp;q=XNYS%3aGIS&amp;form=skydnc</v>
    <v>Learn more on Bing</v>
  </rv>
  <rv s="1">
    <v>0</v>
    <v>GENERAL MILLS, INC. (XNYS:GIS)</v>
    <v>2</v>
    <v>3</v>
    <v>Finance</v>
    <v>4</v>
    <v>en-US</v>
    <v>a1tvzr</v>
    <v>268435456</v>
    <v>1</v>
    <v>Powered by Refinitiv</v>
    <v>62.61</v>
    <v>37.01</v>
    <v>-1.9800000000000002E-2</v>
    <v>-0.49</v>
    <v>-1.3067E-2</v>
    <v>0.23</v>
    <v>6.2150000000000009E-3</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37.67</v>
    <v>Food &amp; Tobacco</v>
    <v>Stock</v>
    <v>46101.999114964841</v>
    <v>203</v>
    <v>37.01</v>
    <v>19751541212</v>
    <v>GENERAL MILLS, INC.</v>
    <v>GENERAL MILLS, INC.</v>
    <v>37.53</v>
    <v>8.0452999999999992</v>
    <v>37.5</v>
    <v>37.01</v>
    <v>37.24</v>
    <v>533681200</v>
    <v>GIS</v>
    <v>GENERAL MILLS, INC. (XNYS:GIS)</v>
    <v>28159050</v>
    <v>8886108</v>
    <v>1928</v>
  </rv>
  <rv s="2">
    <v>204</v>
  </rv>
  <rv s="0">
    <v>https://www.bing.com/financeapi/forcetrigger?t=a1u3rw&amp;q=XNAS%3aGOOGL&amp;form=skydnc</v>
    <v>Learn more on Bing</v>
  </rv>
  <rv s="1">
    <v>0</v>
    <v>ALPHABET INC. (XNAS:GOOGL)</v>
    <v>2</v>
    <v>3</v>
    <v>Finance</v>
    <v>4</v>
    <v>en-US</v>
    <v>a1u3rw</v>
    <v>268435456</v>
    <v>1</v>
    <v>Powered by Refinitiv</v>
    <v>349</v>
    <v>140.53</v>
    <v>1.1034999999999999</v>
    <v>-6.13</v>
    <v>-1.9959000000000001E-2</v>
    <v>1.6</v>
    <v>5.3159999999999995E-3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306</v>
    <v>Software &amp; IT Services</v>
    <v>Stock</v>
    <v>46101.999817082811</v>
    <v>206</v>
    <v>298.27</v>
    <v>3641197000000</v>
    <v>ALPHABET INC.</v>
    <v>ALPHABET INC.</v>
    <v>305.45999999999998</v>
    <v>27.8446</v>
    <v>307.13</v>
    <v>301</v>
    <v>302.60000000000002</v>
    <v>12097000000</v>
    <v>GOOGL</v>
    <v>ALPHABET INC. (XNAS:GOOGL)</v>
    <v>44364079</v>
    <v>31124882</v>
    <v>2015</v>
  </rv>
  <rv s="2">
    <v>207</v>
  </rv>
  <rv s="0">
    <v>https://www.bing.com/financeapi/forcetrigger?t=a1uv7w&amp;q=XNYS%3aHRL&amp;form=skydnc</v>
    <v>Learn more on Bing</v>
  </rv>
  <rv s="1">
    <v>0</v>
    <v>HORMEL FOODS CORPORATION (XNYS:HRL)</v>
    <v>2</v>
    <v>3</v>
    <v>Finance</v>
    <v>4</v>
    <v>en-US</v>
    <v>a1uv7w</v>
    <v>268435456</v>
    <v>1</v>
    <v>Powered by Refinitiv</v>
    <v>32.07</v>
    <v>21.03</v>
    <v>0.35639999999999999</v>
    <v>-0.23</v>
    <v>-1.0281999999999999E-2</v>
    <v>0.19</v>
    <v>8.5819999999999994E-3</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22.495000000000001</v>
    <v>Food &amp; Tobacco</v>
    <v>Stock</v>
    <v>46101.993641365625</v>
    <v>209</v>
    <v>22.135000000000002</v>
    <v>12183292188</v>
    <v>HORMEL FOODS CORPORATION</v>
    <v>HORMEL FOODS CORPORATION</v>
    <v>22.41</v>
    <v>24.912800000000001</v>
    <v>22.37</v>
    <v>22.14</v>
    <v>22.33</v>
    <v>550284200</v>
    <v>HRL</v>
    <v>HORMEL FOODS CORPORATION (XNYS:HRL)</v>
    <v>8899561</v>
    <v>4706931</v>
    <v>1928</v>
  </rv>
  <rv s="2">
    <v>210</v>
  </rv>
  <rv s="0">
    <v>https://www.bing.com/financeapi/forcetrigger?t=a1vmf2&amp;q=XNAS%3aINTC&amp;form=skydnc</v>
    <v>Learn more on Bing</v>
  </rv>
  <rv s="1">
    <v>0</v>
    <v>INTEL CORPORATION (XNAS:INTC)</v>
    <v>2</v>
    <v>3</v>
    <v>Finance</v>
    <v>4</v>
    <v>en-US</v>
    <v>a1vmf2</v>
    <v>268435456</v>
    <v>1</v>
    <v>Powered by Refinitiv</v>
    <v>54.6</v>
    <v>17.664999999999999</v>
    <v>1.3486</v>
    <v>-2.31</v>
    <v>-5.0022000000000004E-2</v>
    <v>0.36909999999999998</v>
    <v>8.4130000000000003E-3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47.55</v>
    <v>Semiconductors &amp; Semiconductor Equipment</v>
    <v>Stock</v>
    <v>46101.999987071096</v>
    <v>212</v>
    <v>43.642000000000003</v>
    <v>219130650000</v>
    <v>INTEL CORPORATION</v>
    <v>INTEL CORPORATION</v>
    <v>46.95</v>
    <v>0</v>
    <v>46.18</v>
    <v>43.87</v>
    <v>44.239100000000001</v>
    <v>4995000000</v>
    <v>INTC</v>
    <v>INTEL CORPORATION (XNAS:INTC)</v>
    <v>162814210</v>
    <v>79152792</v>
    <v>1989</v>
  </rv>
  <rv s="2">
    <v>213</v>
  </rv>
  <rv s="0">
    <v>https://www.bing.com/financeapi/forcetrigger?t=a1vmtc&amp;q=XNAS%3aINTU&amp;form=skydnc</v>
    <v>Learn more on Bing</v>
  </rv>
  <rv s="1">
    <v>0</v>
    <v>INTUIT INC. (XNAS:INTU)</v>
    <v>2</v>
    <v>3</v>
    <v>Finance</v>
    <v>4</v>
    <v>en-US</v>
    <v>a1vmtc</v>
    <v>268435456</v>
    <v>1</v>
    <v>Powered by Refinitiv</v>
    <v>813.7</v>
    <v>349</v>
    <v>1.2073</v>
    <v>0.32</v>
    <v>7.0290000000000001E-4</v>
    <v>4.4400000000000004</v>
    <v>9.7459999999999995E-3</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462.85899999999998</v>
    <v>Financial Technology (Fintech) &amp; Infrastructure</v>
    <v>Stock</v>
    <v>46101.999855532034</v>
    <v>215</v>
    <v>440.67</v>
    <v>125985118000</v>
    <v>INTUIT INC.</v>
    <v>INTUIT INC.</v>
    <v>444.49</v>
    <v>29.6127</v>
    <v>455.24</v>
    <v>455.56</v>
    <v>460</v>
    <v>276550000</v>
    <v>INTU</v>
    <v>INTUIT INC. (XNAS:INTU)</v>
    <v>4718502</v>
    <v>4750235</v>
    <v>1993</v>
  </rv>
  <rv s="2">
    <v>216</v>
  </rv>
  <rv s="0">
    <v>https://www.bing.com/financeapi/forcetrigger?t=a1vrec&amp;q=XNYS%3aIRM&amp;form=skydnc</v>
    <v>Learn more on Bing</v>
  </rv>
  <rv s="1">
    <v>0</v>
    <v>IRON MOUNTAIN INCORPORATED (XNYS:IRM)</v>
    <v>2</v>
    <v>3</v>
    <v>Finance</v>
    <v>4</v>
    <v>en-US</v>
    <v>a1vrec</v>
    <v>268435456</v>
    <v>1</v>
    <v>Powered by Refinitiv</v>
    <v>115.24</v>
    <v>72.33</v>
    <v>1.1454</v>
    <v>-5.33</v>
    <v>-5.0791000000000003E-2</v>
    <v>0.39</v>
    <v>3.9150000000000001E-3</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29400</v>
    <v>New York Stock Exchange</v>
    <v>XNYS</v>
    <v>XNYS</v>
    <v>85 New Hampshire Avenue, Suite 150, Pease International Tradeport, PORTSMOUTH, NH, 03801 US</v>
    <v>105.58</v>
    <v>Residential &amp; Commercial REIT</v>
    <v>Stock</v>
    <v>46101.983142187499</v>
    <v>218</v>
    <v>99.51</v>
    <v>29468144272</v>
    <v>IRON MOUNTAIN INCORPORATED</v>
    <v>IRON MOUNTAIN INCORPORATED</v>
    <v>104.74</v>
    <v>205.976</v>
    <v>104.94</v>
    <v>99.61</v>
    <v>100</v>
    <v>295835200</v>
    <v>IRM</v>
    <v>IRON MOUNTAIN INCORPORATED (XNYS:IRM)</v>
    <v>3053984</v>
    <v>1892995</v>
    <v>2014</v>
  </rv>
  <rv s="2">
    <v>219</v>
  </rv>
  <rv s="0">
    <v>https://www.bing.com/financeapi/forcetrigger?t=a1vv8m&amp;q=XNYS%3aITW&amp;form=skydnc</v>
    <v>Learn more on Bing</v>
  </rv>
  <rv s="1">
    <v>0</v>
    <v>ILLINOIS TOOL WORKS INC. (XNYS:ITW)</v>
    <v>2</v>
    <v>3</v>
    <v>Finance</v>
    <v>4</v>
    <v>en-US</v>
    <v>a1vv8m</v>
    <v>268435456</v>
    <v>1</v>
    <v>Powered by Refinitiv</v>
    <v>303.15499999999997</v>
    <v>214.66</v>
    <v>1.1457999999999999</v>
    <v>-2.94</v>
    <v>-1.1281000000000001E-2</v>
    <v>2.3199999999999998</v>
    <v>9.0030000000000006E-3</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43000</v>
    <v>New York Stock Exchange</v>
    <v>XNYS</v>
    <v>XNYS</v>
    <v>155 Harlem Avenue, GLENVIEW, IL, 60025 US</v>
    <v>262.27999999999997</v>
    <v>Consumer Goods Conglomerates</v>
    <v>Stock</v>
    <v>46101.958333344533</v>
    <v>221</v>
    <v>256.13</v>
    <v>74263376000</v>
    <v>ILLINOIS TOOL WORKS INC.</v>
    <v>ILLINOIS TOOL WORKS INC.</v>
    <v>260.86</v>
    <v>24.8413</v>
    <v>260.62</v>
    <v>257.68</v>
    <v>260</v>
    <v>288200000</v>
    <v>ITW</v>
    <v>ILLINOIS TOOL WORKS INC. (XNYS:ITW)</v>
    <v>2353232</v>
    <v>1340814</v>
    <v>1961</v>
  </rv>
  <rv s="2">
    <v>222</v>
  </rv>
  <rv s="0">
    <v>https://www.bing.com/financeapi/forcetrigger?t=a1wljc&amp;q=XNYS%3aKO&amp;form=skydnc</v>
    <v>Learn more on Bing</v>
  </rv>
  <rv s="1">
    <v>0</v>
    <v>THE COCA-COLA COMPANY (XNYS:KO)</v>
    <v>2</v>
    <v>3</v>
    <v>Finance</v>
    <v>4</v>
    <v>en-US</v>
    <v>a1wljc</v>
    <v>268435456</v>
    <v>1</v>
    <v>Powered by Refinitiv</v>
    <v>82</v>
    <v>65.353800000000007</v>
    <v>0.36080000000000001</v>
    <v>-0.8</v>
    <v>-1.0588999999999999E-2</v>
    <v>0.15</v>
    <v>2.0070000000000001E-3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76.05</v>
    <v>Beverages</v>
    <v>Stock</v>
    <v>46101.999764964843</v>
    <v>224</v>
    <v>74.39</v>
    <v>321735436750</v>
    <v>THE COCA-COLA COMPANY</v>
    <v>THE COCA-COLA COMPANY</v>
    <v>75.564999999999998</v>
    <v>24.596900000000002</v>
    <v>75.55</v>
    <v>74.75</v>
    <v>74.900000000000006</v>
    <v>4304153000</v>
    <v>KO</v>
    <v>THE COCA-COLA COMPANY (XNYS:KO)</v>
    <v>33298715</v>
    <v>17112204</v>
    <v>1919</v>
  </rv>
  <rv s="2">
    <v>225</v>
  </rv>
  <rv s="0">
    <v>https://www.bing.com/financeapi/forcetrigger?t=a1wyu2&amp;q=XNYS%3aLLY&amp;form=skydnc</v>
    <v>Learn more on Bing</v>
  </rv>
  <rv s="1">
    <v>0</v>
    <v>ELI LILLY AND COMPANY (XNYS:LLY)</v>
    <v>2</v>
    <v>3</v>
    <v>Finance</v>
    <v>4</v>
    <v>en-US</v>
    <v>a1wyu2</v>
    <v>268435456</v>
    <v>1</v>
    <v>Powered by Refinitiv</v>
    <v>1133.95</v>
    <v>623.78</v>
    <v>0.49459999999999998</v>
    <v>-10.8</v>
    <v>-1.1771E-2</v>
    <v>4.38</v>
    <v>4.8309999999999994E-3</v>
    <v>USD</v>
    <v>Eli Lilly and Company is a medicine company, which discovers, develops, manufactures, and market products in a single business segment called human pharmaceutical products. The Company manufacture and distribute its products through facilities in the United States, including Puerto Rico, and in Europe and Asia. The Company’s products are sold in approximately 90 countries. Its Cardiometabolic Health products Basaglar; Humalog, Humalog Mix 75/25, Humalog U-100, Humalog U-200, Humalog Mix 50/50, insulin lispro, and others; Humulin, Humulin 70/30, and others; Jardiance; Mounjaro; Trulicity; Zepbound, and others. Its oncology products include Cyramza, Erbitux, Tyvyt, Verzenio, Retevmo, Jaypirca, and others. Its immunology products include Ebglyss, Olumiant, Omvoh, and Taltz. Its neuroscience products include Emgality and Kisunla. Its LillyDirect, a direct-to-patient digital health care platform, provides delivery of select Lilly medicines dispensed by third-party pharmacies to patients.</v>
    <v>50000</v>
    <v>New York Stock Exchange</v>
    <v>XNYS</v>
    <v>XNYS</v>
    <v>Lilly Corporate Ctr, Drop Code 1094, INDIANAPOLIS, IN, 46285 US</v>
    <v>925.375</v>
    <v>Pharmaceuticals</v>
    <v>Stock</v>
    <v>46101.999863321093</v>
    <v>227</v>
    <v>899.29</v>
    <v>855342154580</v>
    <v>ELI LILLY AND COMPANY</v>
    <v>ELI LILLY AND COMPANY</v>
    <v>910.55</v>
    <v>39.966799999999999</v>
    <v>917.5</v>
    <v>906.7</v>
    <v>911.08</v>
    <v>943357400</v>
    <v>LLY</v>
    <v>ELI LILLY AND COMPANY (XNYS:LLY)</v>
    <v>4818789</v>
    <v>2929960</v>
    <v>1901</v>
  </rv>
  <rv s="2">
    <v>228</v>
  </rv>
  <rv s="0">
    <v>https://www.bing.com/financeapi/forcetrigger?t=a1x9yc&amp;q=XNYS%3aMAN&amp;form=skydnc</v>
    <v>Learn more on Bing</v>
  </rv>
  <rv s="3">
    <v>5</v>
    <v>MANPOWERGROUP INC. (XNYS:MAN)</v>
    <v>2</v>
    <v>6</v>
    <v>Finance</v>
    <v>4</v>
    <v>en-US</v>
    <v>a1x9yc</v>
    <v>268435456</v>
    <v>1</v>
    <v>Powered by Refinitiv</v>
    <v>60.45</v>
    <v>25.15</v>
    <v>0.88419999999999999</v>
    <v>0.33</v>
    <v>1.2552000000000001E-2</v>
    <v>0</v>
    <v>0</v>
    <v>USD</v>
    <v>ManpowerGroup Inc. is a global workforce solutions company. The Company offers a comprehensive range of workforce solutions and services, which include recruitment and assessment; upskilling, reskilling, training and development; career management; outsourcing, and workforce consulting. Its portfolio of recruitment services includes permanent, temporary and contract recruitment of professionals, as well as administrative, industrial and information technology (IT) professional positions. These services are provided under its Manpower and Experis brands. Its Talent Solutions brand specializes in the delivery of customized workforce strategies and new solutions and creating added value that addresses its clients' complex global workforce needs. Its Talent Solutions combine global offerings of recruitment process outsourcing (RPO), TAPFIN - Managed Service Provider (MSP), and right management to provide data-driven capabilities that help organizations with their workforce transformation.</v>
    <v>25400</v>
    <v>New York Stock Exchange</v>
    <v>XNYS</v>
    <v>XNYS</v>
    <v>100 Manpower Place, MILWAUKEE, WI, 53212 US</v>
    <v>27.17</v>
    <v>Professional &amp; Commercial Services</v>
    <v>Stock</v>
    <v>46101.958333344533</v>
    <v>230</v>
    <v>26</v>
    <v>1235691083</v>
    <v>MANPOWERGROUP INC.</v>
    <v>MANPOWERGROUP INC.</v>
    <v>26.36</v>
    <v>26.29</v>
    <v>26.62</v>
    <v>26.62</v>
    <v>46419650</v>
    <v>MAN</v>
    <v>MANPOWERGROUP INC. (XNYS:MAN)</v>
    <v>1513207</v>
    <v>1553741</v>
    <v>1990</v>
  </rv>
  <rv s="2">
    <v>231</v>
  </rv>
  <rv s="0">
    <v>https://www.bing.com/financeapi/forcetrigger?t=a1xear&amp;q=XNYS%3aMCO&amp;form=skydnc</v>
    <v>Learn more on Bing</v>
  </rv>
  <rv s="1">
    <v>0</v>
    <v>MOODY'S CORPORATION (XNYS:MCO)</v>
    <v>2</v>
    <v>3</v>
    <v>Finance</v>
    <v>4</v>
    <v>en-US</v>
    <v>a1xear</v>
    <v>268435456</v>
    <v>1</v>
    <v>Powered by Refinitiv</v>
    <v>546.88</v>
    <v>378.71</v>
    <v>1.4529000000000001</v>
    <v>-0.68</v>
    <v>-1.56E-3</v>
    <v>1.1399999999999999</v>
    <v>2.6199999999999999E-3</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16076</v>
    <v>New York Stock Exchange</v>
    <v>XNYS</v>
    <v>XNYS</v>
    <v>7 World Trade Center, At 250 Greenwich Street, NEW YORK, NY, 10007 US</v>
    <v>439.33</v>
    <v>Professional &amp; Commercial Services</v>
    <v>Stock</v>
    <v>46101.980074525003</v>
    <v>233</v>
    <v>432.29</v>
    <v>77453056968</v>
    <v>MOODY'S CORPORATION</v>
    <v>MOODY'S CORPORATION</v>
    <v>435.58</v>
    <v>31.833300000000001</v>
    <v>435.8</v>
    <v>435.12</v>
    <v>436.26</v>
    <v>178003900</v>
    <v>MCO</v>
    <v>MOODY'S CORPORATION (XNYS:MCO)</v>
    <v>1899954</v>
    <v>1630810</v>
    <v>2000</v>
  </rv>
  <rv s="2">
    <v>234</v>
  </rv>
  <rv s="0">
    <v>https://www.bing.com/financeapi/forcetrigger?t=a1xfoc&amp;q=XNAS%3aMDLZ&amp;form=skydnc</v>
    <v>Learn more on Bing</v>
  </rv>
  <rv s="1">
    <v>0</v>
    <v>Mondelez International, Inc. (XNAS:MDLZ)</v>
    <v>2</v>
    <v>3</v>
    <v>Finance</v>
    <v>4</v>
    <v>en-US</v>
    <v>a1xfoc</v>
    <v>268435456</v>
    <v>1</v>
    <v>Powered by Refinitiv</v>
    <v>71.150000000000006</v>
    <v>51.200800000000001</v>
    <v>0.40279999999999999</v>
    <v>-0.28000000000000003</v>
    <v>-4.9569999999999996E-3</v>
    <v>0.06</v>
    <v>1.067E-3</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91000</v>
    <v>Nasdaq Stock Market</v>
    <v>XNAS</v>
    <v>XNAS</v>
    <v>905 West Fulton Market, Suite 200, CHICAGO, IL, 60607 US</v>
    <v>57.015000000000001</v>
    <v>Food &amp; Tobacco</v>
    <v>Stock</v>
    <v>46101.983799664064</v>
    <v>236</v>
    <v>56.01</v>
    <v>72052563660</v>
    <v>Mondelez International, Inc.</v>
    <v>Mondelez International, Inc.</v>
    <v>56.48</v>
    <v>29.7486</v>
    <v>56.49</v>
    <v>56.21</v>
    <v>56.27</v>
    <v>1281846000</v>
    <v>MDLZ</v>
    <v>Mondelez International, Inc. (XNAS:MDLZ)</v>
    <v>22557320</v>
    <v>10037222</v>
    <v>2000</v>
  </rv>
  <rv s="2">
    <v>237</v>
  </rv>
  <rv s="0">
    <v>https://www.bing.com/financeapi/forcetrigger?t=a1slm7&amp;q=XNAS%3aMETA&amp;form=skydnc</v>
    <v>Learn more on Bing</v>
  </rv>
  <rv s="1">
    <v>0</v>
    <v>META PLATFORMS, INC. (XNAS:META)</v>
    <v>2</v>
    <v>3</v>
    <v>Finance</v>
    <v>4</v>
    <v>en-US</v>
    <v>a1slm7</v>
    <v>268435456</v>
    <v>1</v>
    <v>Powered by Refinitiv</v>
    <v>796.25</v>
    <v>479.8</v>
    <v>1.2904</v>
    <v>-13.04</v>
    <v>-2.1493000000000002E-2</v>
    <v>4.2300000000000004</v>
    <v>7.1250000000000003E-3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603.95500000000004</v>
    <v>Software &amp; IT Services</v>
    <v>Stock</v>
    <v>46101.999953517967</v>
    <v>239</v>
    <v>587.25</v>
    <v>1501695621300</v>
    <v>META PLATFORMS, INC.</v>
    <v>META PLATFORMS, INC.</v>
    <v>603.53</v>
    <v>20.3095</v>
    <v>606.70000000000005</v>
    <v>593.66</v>
    <v>597.89</v>
    <v>2529555000</v>
    <v>META</v>
    <v>META PLATFORMS, INC. (XNAS:META)</v>
    <v>21214898</v>
    <v>12320087</v>
    <v>2004</v>
  </rv>
  <rv s="2">
    <v>240</v>
  </rv>
  <rv s="0">
    <v>https://www.bing.com/financeapi/forcetrigger?t=a1xroc&amp;q=XNYS%3aMMM&amp;form=skydnc</v>
    <v>Learn more on Bing</v>
  </rv>
  <rv s="1">
    <v>0</v>
    <v>3M COMPANY (XNYS:MMM)</v>
    <v>2</v>
    <v>3</v>
    <v>Finance</v>
    <v>4</v>
    <v>en-US</v>
    <v>a1xroc</v>
    <v>268435456</v>
    <v>1</v>
    <v>Powered by Refinitiv</v>
    <v>177.41</v>
    <v>121.97709999999999</v>
    <v>1.085</v>
    <v>-1.51</v>
    <v>-1.0581E-2</v>
    <v>0.73</v>
    <v>5.1700000000000001E-3</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143.30000000000001</v>
    <v>Consumer Goods Conglomerates</v>
    <v>Stock</v>
    <v>46101.998543217189</v>
    <v>242</v>
    <v>139.34</v>
    <v>74370040000</v>
    <v>3M COMPANY</v>
    <v>3M COMPANY</v>
    <v>141.61000000000001</v>
    <v>23.550599999999999</v>
    <v>142.71</v>
    <v>141.19999999999999</v>
    <v>141.93</v>
    <v>526700000</v>
    <v>MMM</v>
    <v>3M COMPANY (XNYS:MMM)</v>
    <v>6900740</v>
    <v>4173402</v>
    <v>1929</v>
  </rv>
  <rv s="2">
    <v>243</v>
  </rv>
  <rv s="0">
    <v>https://www.bing.com/financeapi/forcetrigger?t=a1xtpr&amp;q=XNYS%3aMO&amp;form=skydnc</v>
    <v>Learn more on Bing</v>
  </rv>
  <rv s="1">
    <v>0</v>
    <v>Altria Group, Inc. (XNYS:MO)</v>
    <v>2</v>
    <v>3</v>
    <v>Finance</v>
    <v>4</v>
    <v>en-US</v>
    <v>a1xtpr</v>
    <v>268435456</v>
    <v>1</v>
    <v>Powered by Refinitiv</v>
    <v>70.510000000000005</v>
    <v>52.82</v>
    <v>0.45250000000000001</v>
    <v>-0.6</v>
    <v>-9.221E-3</v>
    <v>0.33179999999999998</v>
    <v>5.1470000000000005E-3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5900</v>
    <v>New York Stock Exchange</v>
    <v>XNYS</v>
    <v>XNYS</v>
    <v>6601 W Broad St, RICHMOND, VA, 23230 US</v>
    <v>65.55</v>
    <v>Food &amp; Tobacco</v>
    <v>Stock</v>
    <v>46101.99980225625</v>
    <v>245</v>
    <v>64.08</v>
    <v>107787264060</v>
    <v>Altria Group, Inc.</v>
    <v>Altria Group, Inc.</v>
    <v>65.3</v>
    <v>15.660600000000001</v>
    <v>65.069999999999993</v>
    <v>64.47</v>
    <v>64.8018</v>
    <v>1671898000</v>
    <v>MO</v>
    <v>Altria Group, Inc. (XNYS:MO)</v>
    <v>38329596</v>
    <v>8410715</v>
    <v>1985</v>
  </rv>
  <rv s="2">
    <v>246</v>
  </rv>
  <rv s="0">
    <v>https://www.bing.com/financeapi/forcetrigger?t=a1xxmw&amp;q=XNYS%3aMRK&amp;form=skydnc</v>
    <v>Learn more on Bing</v>
  </rv>
  <rv s="1">
    <v>0</v>
    <v>MERCK &amp; CO., INC. (XNYS:MRK)</v>
    <v>2</v>
    <v>3</v>
    <v>Finance</v>
    <v>4</v>
    <v>en-US</v>
    <v>a1xxmw</v>
    <v>268435456</v>
    <v>1</v>
    <v>Powered by Refinitiv</v>
    <v>125.14</v>
    <v>73.31</v>
    <v>0.30180000000000001</v>
    <v>-0.02</v>
    <v>-1.751E-4</v>
    <v>-0.28000000000000003</v>
    <v>-2.4520000000000002E-3</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115.18</v>
    <v>Pharmaceuticals</v>
    <v>Stock</v>
    <v>46101.990689918748</v>
    <v>248</v>
    <v>112.72</v>
    <v>282297718560</v>
    <v>MERCK &amp; CO., INC.</v>
    <v>MERCK &amp; CO., INC.</v>
    <v>114.245</v>
    <v>15.692500000000001</v>
    <v>114.2</v>
    <v>114.18</v>
    <v>113.9</v>
    <v>2472392000</v>
    <v>MRK</v>
    <v>MERCK &amp; CO., INC. (XNYS:MRK)</v>
    <v>36355421</v>
    <v>9755387</v>
    <v>1970</v>
  </rv>
  <rv s="2">
    <v>249</v>
  </rv>
  <rv s="0">
    <v>https://www.bing.com/financeapi/forcetrigger?t=a1yngh&amp;q=XNYS%3aNOC&amp;form=skydnc</v>
    <v>Learn more on Bing</v>
  </rv>
  <rv s="1">
    <v>0</v>
    <v>NORTHROP GRUMMAN CORPORATION (XNYS:NOC)</v>
    <v>2</v>
    <v>3</v>
    <v>Finance</v>
    <v>4</v>
    <v>en-US</v>
    <v>a1yngh</v>
    <v>268435456</v>
    <v>1</v>
    <v>Powered by Refinitiv</v>
    <v>774</v>
    <v>450.13</v>
    <v>2.0500000000000001E-2</v>
    <v>-7.2</v>
    <v>-1.0082000000000001E-2</v>
    <v>0.16</v>
    <v>2.263E-4</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717.34</v>
    <v>Aerospace &amp; Defense</v>
    <v>Stock</v>
    <v>46101.999925775002</v>
    <v>251</v>
    <v>701</v>
    <v>100331475120</v>
    <v>NORTHROP GRUMMAN CORPORATION</v>
    <v>NORTHROP GRUMMAN CORPORATION</v>
    <v>714.72</v>
    <v>24.308800000000002</v>
    <v>714.15</v>
    <v>706.95</v>
    <v>707.11</v>
    <v>141921600</v>
    <v>NOC</v>
    <v>NORTHROP GRUMMAN CORPORATION (XNYS:NOC)</v>
    <v>1718224</v>
    <v>855981</v>
    <v>2010</v>
  </rv>
  <rv s="2">
    <v>252</v>
  </rv>
  <rv s="0">
    <v>https://www.bing.com/financeapi/forcetrigger?t=a2qdbh&amp;q=OTCM%3aNSRGY&amp;form=skydnc</v>
    <v>Learn more on Bing</v>
  </rv>
  <rv s="1">
    <v>0</v>
    <v>Nestle Ltd. (OTCM:NSRGY)</v>
    <v>2</v>
    <v>17</v>
    <v>Finance</v>
    <v>18</v>
    <v>en-US</v>
    <v>a2qdbh</v>
    <v>268435456</v>
    <v>1</v>
    <v>Powered by Refinitiv</v>
    <v>109.59</v>
    <v>86.98</v>
    <v>0.96340000000000003</v>
    <v>-1.31</v>
    <v>-1.3517999999999999E-2</v>
    <v>0</v>
    <v>0</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271000</v>
    <v>OTC Markets</v>
    <v>OTCM</v>
    <v>OTCM</v>
    <v>Ave Nesele 55, Ch-1800, VEVEY, VAUD, 1800 CH</v>
    <v>97.35</v>
    <v>Food &amp; Tobacco</v>
    <v>Stock</v>
    <v>46102.006944444445</v>
    <v>254</v>
    <v>95.05</v>
    <v>264273656399</v>
    <v>Nestle Ltd.</v>
    <v>Nestle Ltd.</v>
    <v>97.26</v>
    <v>21.575199999999999</v>
    <v>96.91</v>
    <v>95.6</v>
    <v>95.6</v>
    <v>2576520000</v>
    <v>NSRGY</v>
    <v>Nestle Ltd. (OTCM:NSRGY)</v>
    <v>518632</v>
    <v>3387990</v>
    <v>1905</v>
  </rv>
  <rv s="2">
    <v>255</v>
  </rv>
  <rv s="0">
    <v>https://www.bing.com/financeapi/forcetrigger?t=a1yv52&amp;q=XNAS%3aNVDA&amp;form=skydnc</v>
    <v>Learn more on Bing</v>
  </rv>
  <rv s="1">
    <v>0</v>
    <v>NVIDIA CORPORATION (XNAS:NVDA)</v>
    <v>2</v>
    <v>3</v>
    <v>Finance</v>
    <v>4</v>
    <v>en-US</v>
    <v>a1yv52</v>
    <v>268435456</v>
    <v>1</v>
    <v>Powered by Refinitiv</v>
    <v>212.18989999999999</v>
    <v>86.62</v>
    <v>2.3431000000000002</v>
    <v>-5.86</v>
    <v>-3.2818E-2</v>
    <v>2.19</v>
    <v>1.2681E-2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42000</v>
    <v>Nasdaq Stock Market</v>
    <v>XNAS</v>
    <v>XNAS</v>
    <v>2788 San Tomas Expressway, SANTA CLARA, CA, 95051 US</v>
    <v>178.26</v>
    <v>Semiconductors &amp; Semiconductor Equipment</v>
    <v>Stock</v>
    <v>46101.999998749998</v>
    <v>257</v>
    <v>171.72</v>
    <v>4196609999999</v>
    <v>NVIDIA CORPORATION</v>
    <v>NVIDIA CORPORATION</v>
    <v>178</v>
    <v>36.427799999999998</v>
    <v>178.56</v>
    <v>172.7</v>
    <v>174.89</v>
    <v>24300000000</v>
    <v>NVDA</v>
    <v>NVIDIA CORPORATION (XNAS:NVDA)</v>
    <v>241323528</v>
    <v>190086453</v>
    <v>1998</v>
  </rv>
  <rv s="2">
    <v>258</v>
  </rv>
  <rv s="0">
    <v>https://www.bing.com/financeapi/forcetrigger?t=a1zqnm&amp;q=XNYS%3aPFE&amp;form=skydnc</v>
    <v>Learn more on Bing</v>
  </rv>
  <rv s="1">
    <v>0</v>
    <v>PFIZER INC. (XNYS:PFE)</v>
    <v>2</v>
    <v>3</v>
    <v>Finance</v>
    <v>4</v>
    <v>en-US</v>
    <v>a1zqnm</v>
    <v>268435456</v>
    <v>1</v>
    <v>Powered by Refinitiv</v>
    <v>27.94</v>
    <v>20.914999999999999</v>
    <v>0.4052</v>
    <v>-0.44</v>
    <v>-1.6052999999999998E-2</v>
    <v>0.06</v>
    <v>2.225E-3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75000</v>
    <v>New York Stock Exchange</v>
    <v>XNYS</v>
    <v>XNYS</v>
    <v>66 HUDSON BOULEVARD EAST, NEW YORK, NY, 10001-2192 US</v>
    <v>27.55</v>
    <v>Pharmaceuticals</v>
    <v>Stock</v>
    <v>46101.999769363283</v>
    <v>260</v>
    <v>26.8</v>
    <v>153414961320</v>
    <v>PFIZER INC.</v>
    <v>PFIZER INC.</v>
    <v>27.41</v>
    <v>19.890799999999999</v>
    <v>27.41</v>
    <v>26.97</v>
    <v>27.03</v>
    <v>5688356000</v>
    <v>PFE</v>
    <v>PFIZER INC. (XNYS:PFE)</v>
    <v>66805681</v>
    <v>40022082</v>
    <v>1942</v>
  </rv>
  <rv s="2">
    <v>261</v>
  </rv>
  <rv s="0">
    <v>https://www.bing.com/financeapi/forcetrigger?t=a1zzmw&amp;q=XNYS%3aPM&amp;form=skydnc</v>
    <v>Learn more on Bing</v>
  </rv>
  <rv s="1">
    <v>0</v>
    <v>Philip Morris International Inc. (XNYS:PM)</v>
    <v>2</v>
    <v>3</v>
    <v>Finance</v>
    <v>4</v>
    <v>en-US</v>
    <v>a1zzmw</v>
    <v>268435456</v>
    <v>1</v>
    <v>Powered by Refinitiv</v>
    <v>191.3</v>
    <v>142.11000000000001</v>
    <v>0.44750000000000001</v>
    <v>-0.26</v>
    <v>-1.591E-3</v>
    <v>0.39</v>
    <v>2.3909999999999999E-3</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164.63</v>
    <v>Food &amp; Tobacco</v>
    <v>Stock</v>
    <v>46101.989112638279</v>
    <v>263</v>
    <v>161.83000000000001</v>
    <v>253910074800</v>
    <v>Philip Morris International Inc.</v>
    <v>Philip Morris International Inc.</v>
    <v>163.53</v>
    <v>22.457000000000001</v>
    <v>163.37</v>
    <v>163.11000000000001</v>
    <v>163.5</v>
    <v>1556680000</v>
    <v>PM</v>
    <v>Philip Morris International Inc. (XNYS:PM)</v>
    <v>9565485</v>
    <v>5030617</v>
    <v>2007</v>
  </rv>
  <rv s="2">
    <v>264</v>
  </rv>
  <rv s="0">
    <v>https://www.bing.com/financeapi/forcetrigger?t=a214h7&amp;q=XNYS%3aPPG&amp;form=skydnc</v>
    <v>Learn more on Bing</v>
  </rv>
  <rv s="1">
    <v>0</v>
    <v>PPG INDUSTRIES, INC. (XNYS:PPG)</v>
    <v>2</v>
    <v>3</v>
    <v>Finance</v>
    <v>4</v>
    <v>en-US</v>
    <v>a214h7</v>
    <v>268435456</v>
    <v>1</v>
    <v>Powered by Refinitiv</v>
    <v>133.43</v>
    <v>90.24</v>
    <v>1.1856</v>
    <v>-1.1599999999999999</v>
    <v>-1.1791000000000001E-2</v>
    <v>0</v>
    <v>0</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43500</v>
    <v>New York Stock Exchange</v>
    <v>XNYS</v>
    <v>XNYS</v>
    <v>One Ppg Pl 40 East, PITTSBURGH, PA, 15272 US</v>
    <v>99.265000000000001</v>
    <v>Chemicals</v>
    <v>Stock</v>
    <v>46101.958333344533</v>
    <v>266</v>
    <v>96.07</v>
    <v>21757699892</v>
    <v>PPG INDUSTRIES, INC.</v>
    <v>PPG INDUSTRIES, INC.</v>
    <v>98.56</v>
    <v>14.0589</v>
    <v>98.38</v>
    <v>97.22</v>
    <v>97.22</v>
    <v>223798600</v>
    <v>PPG</v>
    <v>PPG INDUSTRIES, INC. (XNYS:PPG)</v>
    <v>3638116</v>
    <v>2217999</v>
    <v>1883</v>
  </rv>
  <rv s="2">
    <v>267</v>
  </rv>
  <rv s="0">
    <v>http://en.wikipedia.org/wiki/Qualcomm</v>
    <v>Wikipedia</v>
  </rv>
  <rv s="5">
    <v>49</v>
    <v>269</v>
  </rv>
  <rv s="6">
    <v>11</v>
    <v>https://www.bing.com/th?id=AMMS_2b1c176dae370ecc0d55a1517537f595&amp;qlt=95</v>
    <v>270</v>
    <v>0</v>
    <v>https://www.bing.com/images/search?form=xlimg&amp;q=qualcomm</v>
    <v>Image of QUALCOMM INCORPORATED</v>
  </rv>
  <rv s="0">
    <v>https://www.bing.com/financeapi/forcetrigger?t=a21k2w&amp;q=XNAS%3aQCOM&amp;form=skydnc</v>
    <v>Learn more on Bing</v>
  </rv>
  <rv s="8">
    <v>12</v>
    <v>QUALCOMM INCORPORATED (XNAS:QCOM)</v>
    <v>9</v>
    <v>13</v>
    <v>Finance</v>
    <v>4</v>
    <v>en-US</v>
    <v>a21k2w</v>
    <v>268435456</v>
    <v>1</v>
    <v>Powered by Refinitiv</v>
    <v>205.95</v>
    <v>120.8019</v>
    <v>1.2758</v>
    <v>-1.38</v>
    <v>-1.0511999999999999E-2</v>
    <v>0.56999999999999995</v>
    <v>4.3880000000000004E-3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132.75</v>
    <v>271</v>
    <v>Semiconductors &amp; Semiconductor Equipment</v>
    <v>Stock</v>
    <v>46101.998972267967</v>
    <v>272</v>
    <v>129.77500000000001</v>
    <v>138603300000</v>
    <v>QUALCOMM INCORPORATED</v>
    <v>QUALCOMM INCORPORATED</v>
    <v>131.31</v>
    <v>27.121700000000001</v>
    <v>131.28</v>
    <v>129.9</v>
    <v>130.47</v>
    <v>1067000000</v>
    <v>QCOM</v>
    <v>QUALCOMM INCORPORATED (XNAS:QCOM)</v>
    <v>78568037</v>
    <v>9888825</v>
    <v>1991</v>
  </rv>
  <rv s="2">
    <v>273</v>
  </rv>
  <rv s="0">
    <v>https://www.bing.com/financeapi/forcetrigger?t=a22k9c&amp;q=XNAS%3aSBUX&amp;form=skydnc</v>
    <v>Learn more on Bing</v>
  </rv>
  <rv s="1">
    <v>0</v>
    <v>STARBUCKS CORPORATION (XNAS:SBUX)</v>
    <v>2</v>
    <v>3</v>
    <v>Finance</v>
    <v>4</v>
    <v>en-US</v>
    <v>a22k9c</v>
    <v>268435456</v>
    <v>1</v>
    <v>Powered by Refinitiv</v>
    <v>104.82</v>
    <v>75.5</v>
    <v>0.92700000000000005</v>
    <v>-3.28</v>
    <v>-3.4227E-2</v>
    <v>0.47</v>
    <v>5.078E-3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96.35</v>
    <v>Hotels &amp; Entertainment Services</v>
    <v>Stock</v>
    <v>46101.998097164062</v>
    <v>275</v>
    <v>92.22</v>
    <v>105442215000</v>
    <v>STARBUCKS CORPORATION</v>
    <v>STARBUCKS CORPORATION</v>
    <v>94.97</v>
    <v>77.099299999999999</v>
    <v>95.83</v>
    <v>92.55</v>
    <v>93.02</v>
    <v>1139300000</v>
    <v>SBUX</v>
    <v>STARBUCKS CORPORATION (XNAS:SBUX)</v>
    <v>13961928</v>
    <v>8043594</v>
    <v>1985</v>
  </rv>
  <rv s="2">
    <v>276</v>
  </rv>
  <rv s="0">
    <v>https://www.bing.com/financeapi/forcetrigger?t=a22n4c&amp;q=XNYS%3aSCHW&amp;form=skydnc</v>
    <v>Learn more on Bing</v>
  </rv>
  <rv s="1">
    <v>0</v>
    <v>THE CHARLES SCHWAB CORPORATION (XNYS:SCHW)</v>
    <v>2</v>
    <v>3</v>
    <v>Finance</v>
    <v>4</v>
    <v>en-US</v>
    <v>a22n4c</v>
    <v>268435456</v>
    <v>1</v>
    <v>Powered by Refinitiv</v>
    <v>107.5</v>
    <v>65.88</v>
    <v>0.9093</v>
    <v>0.67</v>
    <v>7.1279999999999998E-3</v>
    <v>0.61899999999999999</v>
    <v>6.5390000000000005E-3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94.87</v>
    <v>Investment Banking &amp; Investment Services</v>
    <v>Stock</v>
    <v>46101.996109513282</v>
    <v>278</v>
    <v>93.5</v>
    <v>165864198600</v>
    <v>THE CHARLES SCHWAB CORPORATION</v>
    <v>THE CHARLES SCHWAB CORPORATION</v>
    <v>94.11</v>
    <v>20.157499999999999</v>
    <v>93.99</v>
    <v>94.66</v>
    <v>95.278999999999996</v>
    <v>1752210000</v>
    <v>SCHW</v>
    <v>THE CHARLES SCHWAB CORPORATION (XNYS:SCHW)</v>
    <v>13145384</v>
    <v>10664751</v>
    <v>1986</v>
  </rv>
  <rv s="2">
    <v>279</v>
  </rv>
  <rv s="0">
    <v>https://www.bing.com/financeapi/forcetrigger?t=a22xk2&amp;q=XNYS%3aSHW&amp;form=skydnc</v>
    <v>Learn more on Bing</v>
  </rv>
  <rv s="1">
    <v>0</v>
    <v>THE SHERWIN-WILLIAMS COMPANY (XNYS:SHW)</v>
    <v>2</v>
    <v>3</v>
    <v>Finance</v>
    <v>4</v>
    <v>en-US</v>
    <v>a22xk2</v>
    <v>268435456</v>
    <v>1</v>
    <v>Powered by Refinitiv</v>
    <v>379.65</v>
    <v>301.58</v>
    <v>1.2834000000000001</v>
    <v>-6.85</v>
    <v>-2.2069999999999999E-2</v>
    <v>2.25</v>
    <v>7.4129999999999995E-3</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64249</v>
    <v>New York Stock Exchange</v>
    <v>XNYS</v>
    <v>XNYS</v>
    <v>101 Prospect Ave Nw, CLEVELAND, OH, 44115 US</v>
    <v>312.04000000000002</v>
    <v>Chemicals</v>
    <v>Stock</v>
    <v>46101.960099062497</v>
    <v>281</v>
    <v>301.58</v>
    <v>75081909272</v>
    <v>THE SHERWIN-WILLIAMS COMPANY</v>
    <v>THE SHERWIN-WILLIAMS COMPANY</v>
    <v>308.79000000000002</v>
    <v>29.590699999999998</v>
    <v>310.38</v>
    <v>303.52999999999997</v>
    <v>305.77999999999997</v>
    <v>247362400</v>
    <v>SHW</v>
    <v>THE SHERWIN-WILLIAMS COMPANY (XNYS:SHW)</v>
    <v>2708641</v>
    <v>1680551</v>
    <v>1884</v>
  </rv>
  <rv s="2">
    <v>282</v>
  </rv>
  <rv s="0">
    <v>https://www.bing.com/financeapi/forcetrigger?t=a237gh&amp;q=XNYS%3aSNA&amp;form=skydnc</v>
    <v>Learn more on Bing</v>
  </rv>
  <rv s="1">
    <v>0</v>
    <v>SNAP-ON INCORPORATED (XNYS:SNA)</v>
    <v>2</v>
    <v>3</v>
    <v>Finance</v>
    <v>4</v>
    <v>en-US</v>
    <v>a237gh</v>
    <v>268435456</v>
    <v>1</v>
    <v>Powered by Refinitiv</v>
    <v>390.13</v>
    <v>289.81</v>
    <v>0.76480000000000004</v>
    <v>-3.87</v>
    <v>-1.0727E-2</v>
    <v>0</v>
    <v>0</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361.69</v>
    <v>Machinery, Equipment &amp; Components</v>
    <v>Stock</v>
    <v>46101.98715930547</v>
    <v>284</v>
    <v>354.97</v>
    <v>18579264646</v>
    <v>SNAP-ON INCORPORATED</v>
    <v>SNAP-ON INCORPORATED</v>
    <v>359.9</v>
    <v>18.803000000000001</v>
    <v>360.77</v>
    <v>356.9</v>
    <v>356.9</v>
    <v>52057340</v>
    <v>SNA</v>
    <v>SNAP-ON INCORPORATED (XNYS:SNA)</v>
    <v>1629850</v>
    <v>358241</v>
    <v>1930</v>
  </rv>
  <rv s="2">
    <v>285</v>
  </rv>
  <rv s="0">
    <v>https://www.bing.com/financeapi/forcetrigger?t=a23a5r&amp;q=XNYS%3aSO&amp;form=skydnc</v>
    <v>Learn more on Bing</v>
  </rv>
  <rv s="1">
    <v>0</v>
    <v>THE SOUTHERN COMPANY (XNYS:SO)</v>
    <v>2</v>
    <v>3</v>
    <v>Finance</v>
    <v>4</v>
    <v>en-US</v>
    <v>a23a5r</v>
    <v>268435456</v>
    <v>1</v>
    <v>Powered by Refinitiv</v>
    <v>100.83499999999999</v>
    <v>83.09</v>
    <v>0.41010000000000002</v>
    <v>-2.84</v>
    <v>-2.9512999999999998E-2</v>
    <v>0.21</v>
    <v>2.2489999999999997E-3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96.45</v>
    <v>Electrical Utilities &amp; IPPs</v>
    <v>Stock</v>
    <v>46101.992463390627</v>
    <v>287</v>
    <v>93.155000000000001</v>
    <v>104539925490</v>
    <v>THE SOUTHERN COMPANY</v>
    <v>THE SOUTHERN COMPANY</v>
    <v>96.16</v>
    <v>23.842199999999998</v>
    <v>96.23</v>
    <v>93.39</v>
    <v>93.6</v>
    <v>1119391000</v>
    <v>SO</v>
    <v>THE SOUTHERN COMPANY (XNYS:SO)</v>
    <v>9915397</v>
    <v>7007777</v>
    <v>1945</v>
  </rv>
  <rv s="2">
    <v>288</v>
  </rv>
  <rv s="0">
    <v>https://www.bing.com/financeapi/forcetrigger?t=a23d9c&amp;q=XNYS%3aSPGI&amp;form=skydnc</v>
    <v>Learn more on Bing</v>
  </rv>
  <rv s="1">
    <v>0</v>
    <v>S&amp;P GLOBAL INC. (XNYS:SPGI)</v>
    <v>2</v>
    <v>3</v>
    <v>Finance</v>
    <v>4</v>
    <v>en-US</v>
    <v>a23d9c</v>
    <v>268435456</v>
    <v>1</v>
    <v>Powered by Refinitiv</v>
    <v>579.04999999999995</v>
    <v>381.60500000000002</v>
    <v>1.2121</v>
    <v>-1.71</v>
    <v>-4.0130000000000001E-3</v>
    <v>1.58</v>
    <v>3.7230000000000002E-3</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428.26990000000001</v>
    <v>Professional &amp; Commercial Services</v>
    <v>Stock</v>
    <v>46101.983379096877</v>
    <v>290</v>
    <v>421.34</v>
    <v>126819684000</v>
    <v>S&amp;P GLOBAL INC.</v>
    <v>S&amp;P GLOBAL INC.</v>
    <v>426.36</v>
    <v>28.951000000000001</v>
    <v>426.14</v>
    <v>424.43</v>
    <v>426.01</v>
    <v>298800000</v>
    <v>SPGI</v>
    <v>S&amp;P GLOBAL INC. (XNYS:SPGI)</v>
    <v>3444730</v>
    <v>2725933</v>
    <v>1925</v>
  </rv>
  <rv s="2">
    <v>291</v>
  </rv>
  <rv s="0">
    <v>https://www.bing.com/financeapi/forcetrigger?t=a246z2&amp;q=XNYS%3aTGT&amp;form=skydnc</v>
    <v>Learn more on Bing</v>
  </rv>
  <rv s="1">
    <v>0</v>
    <v>TARGET CORPORATION (XNYS:TGT)</v>
    <v>2</v>
    <v>3</v>
    <v>Finance</v>
    <v>4</v>
    <v>en-US</v>
    <v>a246z2</v>
    <v>268435456</v>
    <v>1</v>
    <v>Powered by Refinitiv</v>
    <v>126</v>
    <v>83.44</v>
    <v>1.0754999999999999</v>
    <v>-1.21</v>
    <v>-1.057E-2</v>
    <v>0.74</v>
    <v>6.5339999999999999E-3</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415000</v>
    <v>New York Stock Exchange</v>
    <v>XNYS</v>
    <v>XNYS</v>
    <v>1000 Nicollet Mall, MINNEAPOLIS, MN, 55403 US</v>
    <v>115.27</v>
    <v>Diversified Retail</v>
    <v>Stock</v>
    <v>46101.998908286718</v>
    <v>293</v>
    <v>112.69</v>
    <v>51290425256</v>
    <v>TARGET CORPORATION</v>
    <v>TARGET CORPORATION</v>
    <v>114</v>
    <v>13.743</v>
    <v>114.47</v>
    <v>113.26</v>
    <v>114</v>
    <v>452855600</v>
    <v>TGT</v>
    <v>TARGET CORPORATION (XNYS:TGT)</v>
    <v>19717452</v>
    <v>6227656</v>
    <v>1902</v>
  </rv>
  <rv s="2">
    <v>294</v>
  </rv>
  <rv s="0">
    <v>https://www.bing.com/financeapi/forcetrigger?t=a24jvh&amp;q=XNAS%3aTSCO&amp;form=skydnc</v>
    <v>Learn more on Bing</v>
  </rv>
  <rv s="1">
    <v>0</v>
    <v>TRACTOR SUPPLY COMPANY (XNAS:TSCO)</v>
    <v>2</v>
    <v>3</v>
    <v>Finance</v>
    <v>4</v>
    <v>en-US</v>
    <v>a24jvh</v>
    <v>268435456</v>
    <v>1</v>
    <v>Powered by Refinitiv</v>
    <v>63.989899999999999</v>
    <v>45.45</v>
    <v>0.74270000000000003</v>
    <v>-0.41</v>
    <v>-8.8780000000000005E-3</v>
    <v>0.63</v>
    <v>1.3764E-2</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46.37</v>
    <v>Specialty Retailers</v>
    <v>Stock</v>
    <v>46101.999792175782</v>
    <v>296</v>
    <v>45.45</v>
    <v>24091099001</v>
    <v>TRACTOR SUPPLY COMPANY</v>
    <v>TRACTOR SUPPLY COMPANY</v>
    <v>46.1</v>
    <v>22.418099999999999</v>
    <v>46.18</v>
    <v>45.77</v>
    <v>46.4</v>
    <v>526351300</v>
    <v>TSCO</v>
    <v>TRACTOR SUPPLY COMPANY (XNAS:TSCO)</v>
    <v>5886314</v>
    <v>5804614</v>
    <v>1982</v>
  </rv>
  <rv s="2">
    <v>297</v>
  </rv>
  <rv s="0">
    <v>https://www.bing.com/financeapi/forcetrigger?t=a24kjc&amp;q=XNYS%3aTSM&amp;form=skydnc</v>
    <v>Learn more on Bing</v>
  </rv>
  <rv s="1">
    <v>0</v>
    <v>Taiwan Semiconductor Manufacturing Co., Ltd. (XNYS:TSM)</v>
    <v>2</v>
    <v>19</v>
    <v>Finance</v>
    <v>4</v>
    <v>en-US</v>
    <v>a24kjc</v>
    <v>268435456</v>
    <v>1</v>
    <v>Powered by Refinitiv</v>
    <v>390.20499999999998</v>
    <v>134.25</v>
    <v>1.4316</v>
    <v>-9.5500000000000007</v>
    <v>-2.8189000000000002E-2</v>
    <v>1.66</v>
    <v>5.0419999999999996E-3</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337.6</v>
    <v>Semiconductors &amp; Semiconductor Equipment</v>
    <v>Stock</v>
    <v>46101.999945149997</v>
    <v>299</v>
    <v>325.89999999999998</v>
    <v>1764604596150</v>
    <v>Taiwan Semiconductor Manufacturing Co., Ltd.</v>
    <v>Taiwan Semiconductor Manufacturing Co., Ltd.</v>
    <v>336.68</v>
    <v>31.142900000000001</v>
    <v>338.79</v>
    <v>329.24</v>
    <v>330.9</v>
    <v>25932530000</v>
    <v>TSM</v>
    <v>Taiwan Semiconductor Manufacturing Co., Ltd. (XNYS:TSM)</v>
    <v>17424155</v>
    <v>12766519</v>
    <v>1987</v>
  </rv>
  <rv s="2">
    <v>300</v>
  </rv>
  <rv s="0">
    <v>https://www.bing.com/financeapi/forcetrigger?t=a24xww&amp;q=XNYS%3aUNP&amp;form=skydnc</v>
    <v>Learn more on Bing</v>
  </rv>
  <rv s="1">
    <v>0</v>
    <v>UNION PACIFIC CORPORATION (XNYS:UNP)</v>
    <v>2</v>
    <v>3</v>
    <v>Finance</v>
    <v>4</v>
    <v>en-US</v>
    <v>a24xww</v>
    <v>268435456</v>
    <v>1</v>
    <v>Powered by Refinitiv</v>
    <v>268.14</v>
    <v>204.66</v>
    <v>0.98440000000000005</v>
    <v>0.74</v>
    <v>3.16E-3</v>
    <v>2.0299999999999998</v>
    <v>8.6409999999999994E-3</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236.125</v>
    <v>Freight &amp; Logistics Services</v>
    <v>Stock</v>
    <v>46101.987336573438</v>
    <v>302</v>
    <v>233.04</v>
    <v>139399531180</v>
    <v>UNION PACIFIC CORPORATION</v>
    <v>UNION PACIFIC CORPORATION</v>
    <v>234.4</v>
    <v>19.603899999999999</v>
    <v>234.18</v>
    <v>234.92</v>
    <v>236.95</v>
    <v>593391500</v>
    <v>UNP</v>
    <v>UNION PACIFIC CORPORATION (XNYS:UNP)</v>
    <v>5047932</v>
    <v>3168411</v>
    <v>1969</v>
  </rv>
  <rv s="2">
    <v>303</v>
  </rv>
  <rv s="0">
    <v>https://www.bing.com/financeapi/forcetrigger?t=a256cw&amp;q=XNYS%3aV&amp;form=skydnc</v>
    <v>Learn more on Bing</v>
  </rv>
  <rv s="1">
    <v>0</v>
    <v>VISA INC. (XNYS:V)</v>
    <v>2</v>
    <v>3</v>
    <v>Finance</v>
    <v>4</v>
    <v>en-US</v>
    <v>a256cw</v>
    <v>268435456</v>
    <v>1</v>
    <v>Powered by Refinitiv</v>
    <v>375.51</v>
    <v>297.03219999999999</v>
    <v>0.80489999999999995</v>
    <v>1.91</v>
    <v>6.3730000000000002E-3</v>
    <v>1.48</v>
    <v>4.9069999999999999E-3</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302.92</v>
    <v>Professional &amp; Commercial Services</v>
    <v>Stock</v>
    <v>46101.999927546094</v>
    <v>305</v>
    <v>299.01010000000002</v>
    <v>574890434580</v>
    <v>VISA INC.</v>
    <v>VISA INC.</v>
    <v>299.85000000000002</v>
    <v>28.1234</v>
    <v>299.70999999999998</v>
    <v>301.62</v>
    <v>303.10000000000002</v>
    <v>1906009000</v>
    <v>V</v>
    <v>VISA INC. (XNYS:V)</v>
    <v>14398132</v>
    <v>7689668</v>
    <v>2007</v>
  </rv>
  <rv s="2">
    <v>306</v>
  </rv>
  <rv s="0">
    <v>https://www.bing.com/financeapi/forcetrigger?t=aythxm&amp;q=XNYS%3aVICI&amp;form=skydnc</v>
    <v>Learn more on Bing</v>
  </rv>
  <rv s="1">
    <v>0</v>
    <v>VICI PROPERTIES INC. (XNYS:VICI)</v>
    <v>2</v>
    <v>3</v>
    <v>Finance</v>
    <v>4</v>
    <v>en-US</v>
    <v>aythxm</v>
    <v>268435456</v>
    <v>1</v>
    <v>Powered by Refinitiv</v>
    <v>34.01</v>
    <v>26.754999999999999</v>
    <v>0.71719999999999995</v>
    <v>-1.1499999999999999</v>
    <v>-4.1100999999999999E-2</v>
    <v>0.31</v>
    <v>1.1554E-2</v>
    <v>USD</v>
    <v>VICI Properties Inc. is a real estate investment trust (REIT). The Company is engaged in the business of owning and acquiring gaming, hospitality, wellness, entertainment and leisure destinations, subject to long-term triple net leases. The Company own 93 experiential assets across a geographically diverse portfolio consisting of 54 gaming properties and 39 other experiential properties across the United States and Canada, including Caesars Palace Las Vegas, MGM Grand and the Venetian Resort Las Vegas (the Venetian Resort). The portfolio comprises over 127 million square feet and features approximately 60,300 hotel rooms and over 500 restaurants, bars, nightclubs and sportsbooks. Its properties are occupied by gaming, leisure and hospitality operators under long-term, triple-net lease agreements. The Company also owns four championship golf courses and approximately 33 acres of undeveloped and underdeveloped land adjacent to the Las Vegas Strip.</v>
    <v>28</v>
    <v>New York Stock Exchange</v>
    <v>XNYS</v>
    <v>XNYS</v>
    <v>535 Madison Avenue, 28Th Floor, NEW YORK, NY, 10022 US</v>
    <v>27.98</v>
    <v>Residential &amp; Commercial REIT</v>
    <v>Stock</v>
    <v>46101.998182140625</v>
    <v>308</v>
    <v>26.754999999999999</v>
    <v>28680974870</v>
    <v>VICI PROPERTIES INC.</v>
    <v>VICI PROPERTIES INC.</v>
    <v>27.96</v>
    <v>10.271800000000001</v>
    <v>27.98</v>
    <v>26.83</v>
    <v>27.14</v>
    <v>1068989000</v>
    <v>VICI</v>
    <v>VICI PROPERTIES INC. (XNYS:VICI)</v>
    <v>15368073</v>
    <v>9800988</v>
    <v>2017</v>
  </rv>
  <rv s="2">
    <v>309</v>
  </rv>
  <rv s="0">
    <v>https://www.bing.com/financeapi/forcetrigger?t=a25ya2&amp;q=XNYS%3aWMT&amp;form=skydnc</v>
    <v>Learn more on Bing</v>
  </rv>
  <rv s="1">
    <v>0</v>
    <v>WALMART INC. (XNAS:WMT)</v>
    <v>2</v>
    <v>3</v>
    <v>Finance</v>
    <v>4</v>
    <v>en-US</v>
    <v>a25ya2</v>
    <v>268435456</v>
    <v>1</v>
    <v>Powered by Refinitiv</v>
    <v>134.69</v>
    <v>79.81</v>
    <v>0.67490000000000006</v>
    <v>-1.823</v>
    <v>-1.5085999999999999E-2</v>
    <v>0.31</v>
    <v>2.6050000000000001E-3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121.3</v>
    <v>Food &amp; Drug Retailing</v>
    <v>Stock</v>
    <v>46101.999915728906</v>
    <v>311</v>
    <v>118.02</v>
    <v>948875286040</v>
    <v>WALMART INC.</v>
    <v>WALMART INC.</v>
    <v>120.63</v>
    <v>44.27</v>
    <v>120.843</v>
    <v>119.02</v>
    <v>119.33</v>
    <v>7972402000</v>
    <v>WMT</v>
    <v>WALMART INC. (XNAS:WMT)</v>
    <v>57545642</v>
    <v>23705159</v>
    <v>1969</v>
  </rv>
  <rv s="2">
    <v>312</v>
  </rv>
  <rv s="0">
    <v>https://www.bing.com/financeapi/forcetrigger?t=a269ec&amp;q=XNYS%3aXOM&amp;form=skydnc</v>
    <v>Learn more on Bing</v>
  </rv>
  <rv s="1">
    <v>0</v>
    <v>EXXON MOBIL CORPORATION (XNYS:XOM)</v>
    <v>2</v>
    <v>3</v>
    <v>Finance</v>
    <v>4</v>
    <v>en-US</v>
    <v>a269ec</v>
    <v>268435456</v>
    <v>1</v>
    <v>Powered by Refinitiv</v>
    <v>162.44</v>
    <v>97.8</v>
    <v>0.33339999999999997</v>
    <v>1.51</v>
    <v>9.5469999999999999E-3</v>
    <v>0.21820000000000001</v>
    <v>1.3669999999999999E-3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162.44</v>
    <v>Oil &amp; Gas</v>
    <v>Stock</v>
    <v>46101.999878460156</v>
    <v>314</v>
    <v>159.1</v>
    <v>665307207880</v>
    <v>EXXON MOBIL CORPORATION</v>
    <v>EXXON MOBIL CORPORATION</v>
    <v>159.35</v>
    <v>23.9009</v>
    <v>158.16</v>
    <v>159.66999999999999</v>
    <v>159.88820000000001</v>
    <v>4166764000</v>
    <v>XOM</v>
    <v>EXXON MOBIL CORPORATION (XNYS:XOM)</v>
    <v>53942142</v>
    <v>21799027</v>
    <v>1882</v>
  </rv>
  <rv s="2">
    <v>315</v>
  </rv>
  <rv s="0">
    <v>https://www.bing.com/financeapi/forcetrigger?t=a26hyc&amp;q=XNYS%3aZTS&amp;form=skydnc</v>
    <v>Learn more on Bing</v>
  </rv>
  <rv s="1">
    <v>0</v>
    <v>ZOETIS INC. (XNYS:ZTS)</v>
    <v>2</v>
    <v>3</v>
    <v>Finance</v>
    <v>4</v>
    <v>en-US</v>
    <v>a26hyc</v>
    <v>268435456</v>
    <v>1</v>
    <v>Powered by Refinitiv</v>
    <v>172.23</v>
    <v>114.36</v>
    <v>0.98250000000000004</v>
    <v>-0.32</v>
    <v>-2.7589999999999997E-3</v>
    <v>1.54</v>
    <v>1.3313999999999999E-2</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14500</v>
    <v>New York Stock Exchange</v>
    <v>XNYS</v>
    <v>XNYS</v>
    <v>10 Sylvan Way, PARSIPPANY, NJ, 07054 US</v>
    <v>117.19</v>
    <v>Pharmaceuticals</v>
    <v>Stock</v>
    <v>46101.98856356406</v>
    <v>317</v>
    <v>114.36</v>
    <v>48827511059</v>
    <v>ZOETIS INC.</v>
    <v>ZOETIS INC.</v>
    <v>115.95</v>
    <v>19.207899999999999</v>
    <v>115.99</v>
    <v>115.67</v>
    <v>117.21</v>
    <v>422127700</v>
    <v>ZTS</v>
    <v>ZOETIS INC. (XNYS:ZTS)</v>
    <v>11424914</v>
    <v>4385631</v>
    <v>2012</v>
  </rv>
  <rv s="2">
    <v>318</v>
  </rv>
</rvData>
</file>

<file path=xl/richData/rdrichvaluestructure.xml><?xml version="1.0" encoding="utf-8"?>
<rvStructures xmlns="http://schemas.microsoft.com/office/spreadsheetml/2017/richdata" count="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error">
    <k n="errorType" t="i"/>
    <k n="field" t="s"/>
    <k n="subType" t="i"/>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20">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2</v>
      <v>1</v>
      <v>3</v>
      <v>1</v>
      <v>1</v>
      <v>1</v>
      <v>4</v>
      <v>4</v>
      <v>5</v>
      <v>6</v>
      <v>1</v>
      <v>1</v>
      <v>1</v>
      <v>4</v>
      <v>7</v>
      <v>8</v>
      <v>9</v>
      <v>4</v>
      <v>1</v>
      <v>1</v>
      <v>5</v>
    </spb>
    <spb s="0">
      <v>2</v>
      <v>Name</v>
      <v>LearnMoreOnLink</v>
    </spb>
    <spb s="6">
      <v>0</v>
      <v>0</v>
    </spb>
    <spb s="7">
      <v>8</v>
      <v>1</v>
      <v>1</v>
      <v>1</v>
      <v>1</v>
    </spb>
    <spb s="8">
      <v>1</v>
      <v>2</v>
      <v>1</v>
      <v>3</v>
      <v>1</v>
      <v>10</v>
      <v>1</v>
      <v>1</v>
      <v>4</v>
      <v>4</v>
      <v>5</v>
      <v>6</v>
      <v>1</v>
      <v>1</v>
      <v>1</v>
      <v>4</v>
      <v>7</v>
      <v>8</v>
      <v>9</v>
      <v>4</v>
      <v>1</v>
      <v>1</v>
      <v>5</v>
    </spb>
    <spb s="9">
      <v>Powered by Refinitiv</v>
    </spb>
    <spb s="0">
      <v>3</v>
      <v>Name</v>
      <v>LearnMoreOnLink</v>
    </spb>
    <spb s="10">
      <v>1</v>
      <v>2</v>
      <v>2</v>
      <v>1</v>
      <v>3</v>
      <v>1</v>
      <v>10</v>
      <v>1</v>
      <v>1</v>
      <v>4</v>
      <v>4</v>
      <v>5</v>
      <v>6</v>
      <v>1</v>
      <v>1</v>
      <v>1</v>
      <v>4</v>
      <v>7</v>
      <v>8</v>
      <v>9</v>
      <v>4</v>
      <v>1</v>
      <v>1</v>
      <v>5</v>
    </spb>
    <spb s="3">
      <v>1</v>
      <v>2</v>
      <v>2</v>
      <v>1</v>
      <v>3</v>
      <v>1</v>
      <v>1</v>
      <v>1</v>
      <v>4</v>
      <v>4</v>
      <v>5</v>
      <v>11</v>
      <v>1</v>
      <v>1</v>
      <v>1</v>
      <v>4</v>
      <v>7</v>
      <v>8</v>
      <v>9</v>
      <v>4</v>
      <v>1</v>
      <v>1</v>
      <v>5</v>
    </spb>
    <spb s="3">
      <v>1</v>
      <v>2</v>
      <v>2</v>
      <v>1</v>
      <v>3</v>
      <v>1</v>
      <v>1</v>
      <v>1</v>
      <v>4</v>
      <v>4</v>
      <v>5</v>
      <v>12</v>
      <v>1</v>
      <v>1</v>
      <v>1</v>
      <v>4</v>
      <v>7</v>
      <v>8</v>
      <v>9</v>
      <v>4</v>
      <v>1</v>
      <v>1</v>
      <v>5</v>
    </spb>
    <spb s="3">
      <v>1</v>
      <v>2</v>
      <v>2</v>
      <v>1</v>
      <v>3</v>
      <v>1</v>
      <v>1</v>
      <v>1</v>
      <v>4</v>
      <v>4</v>
      <v>5</v>
      <v>13</v>
      <v>1</v>
      <v>1</v>
      <v>1</v>
      <v>4</v>
      <v>7</v>
      <v>8</v>
      <v>9</v>
      <v>4</v>
      <v>1</v>
      <v>1</v>
      <v>5</v>
    </spb>
    <spb s="3">
      <v>1</v>
      <v>2</v>
      <v>2</v>
      <v>1</v>
      <v>3</v>
      <v>1</v>
      <v>1</v>
      <v>1</v>
      <v>4</v>
      <v>4</v>
      <v>5</v>
      <v>14</v>
      <v>1</v>
      <v>1</v>
      <v>1</v>
      <v>4</v>
      <v>7</v>
      <v>8</v>
      <v>9</v>
      <v>4</v>
      <v>1</v>
      <v>1</v>
      <v>5</v>
    </spb>
    <spb s="11">
      <v>at close</v>
      <v>from previous close</v>
      <v>from previous close</v>
      <v>GMT</v>
      <v>Delayed 15 minutes</v>
      <v>from close</v>
      <v>from close</v>
    </spb>
    <spb s="3">
      <v>1</v>
      <v>2</v>
      <v>2</v>
      <v>1</v>
      <v>3</v>
      <v>1</v>
      <v>1</v>
      <v>1</v>
      <v>4</v>
      <v>4</v>
      <v>5</v>
      <v>15</v>
      <v>1</v>
      <v>1</v>
      <v>1</v>
      <v>4</v>
      <v>7</v>
      <v>8</v>
      <v>9</v>
      <v>4</v>
      <v>1</v>
      <v>1</v>
      <v>5</v>
    </spb>
  </spbData>
</supportingPropertyBags>
</file>

<file path=xl/richData/rdsupportingpropertybagstructure.xml><?xml version="1.0" encoding="utf-8"?>
<spbStructures xmlns="http://schemas.microsoft.com/office/spreadsheetml/2017/richdata2" count="1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_([$€-x-euro2] * #,##0_);_([$€-x-euro2] * (#,##0);_([$€-x-euro2] * "-"_);_(@_)</rpv>
    </rSty>
    <rSty dxfid="1">
      <rpv i="0">_([$$-en-CA]* #,##0_);_([$$-en-CA]* (#,##0);_([$$-en-CA]* "-"_);_(@_)</rpv>
    </rSty>
    <rSty dxfid="1">
      <rpv i="0">_([$£-en-GB]* #,##0_);_([$£-en-GB]* (#,##0);_([$£-en-GB]* "-"_);_(@_)</rpv>
    </rSty>
    <rSty dxfid="1">
      <rpv i="0" xml:space="preserve">_ [$CHF-fr-CH] * #,##0_ ;_ [$CHF-fr-CH] * -#,##0_ ;_ [$CHF-fr-CH] * "-"_ ;_ @_ </rpv>
    </rSty>
    <rSty dxfid="1">
      <rpv i="0">_([$$-zh-TW]* #,##0_);_([$$-zh-TW]* (#,##0);_([$$-zh-TW]*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L102" totalsRowShown="0" headerRowDxfId="9">
  <autoFilter ref="A1:L102" xr:uid="{E0CA35FE-2F53-A347-8AD6-B5C0C701EF5E}"/>
  <sortState xmlns:xlrd2="http://schemas.microsoft.com/office/spreadsheetml/2017/richdata2" ref="A2:L102">
    <sortCondition ref="C1:C102"/>
  </sortState>
  <tableColumns count="12">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
    <tableColumn id="7" xr3:uid="{8D171512-1066-D24C-A948-05AAA5A8B50A}" name="S&amp;P"/>
    <tableColumn id="14" xr3:uid="{7B7FBAD0-FB36-9A42-96AD-5BB889DFF68B}" name="Grp"/>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L102"/>
  <sheetViews>
    <sheetView tabSelected="1" workbookViewId="0">
      <pane ySplit="1" topLeftCell="A2" activePane="bottomLeft" state="frozen"/>
      <selection pane="bottomLeft" activeCell="D32" sqref="D32"/>
    </sheetView>
  </sheetViews>
  <sheetFormatPr baseColWidth="10" defaultRowHeight="16" x14ac:dyDescent="0.2"/>
  <cols>
    <col min="1" max="1" width="51.83203125" bestFit="1" customWidth="1"/>
    <col min="2" max="2" width="8.6640625" bestFit="1" customWidth="1"/>
    <col min="3" max="3" width="7.33203125" bestFit="1" customWidth="1"/>
    <col min="4" max="4" width="7" bestFit="1" customWidth="1"/>
    <col min="5" max="5" width="6.6640625" bestFit="1" customWidth="1"/>
    <col min="9" max="9" width="9" bestFit="1" customWidth="1"/>
    <col min="10" max="10" width="10.5" bestFit="1" customWidth="1"/>
    <col min="11" max="11" width="7.83203125" style="4" bestFit="1" customWidth="1"/>
    <col min="12" max="12" width="18.6640625" bestFit="1" customWidth="1"/>
  </cols>
  <sheetData>
    <row r="1" spans="1:12" x14ac:dyDescent="0.2">
      <c r="A1" s="1" t="s">
        <v>1</v>
      </c>
      <c r="B1" s="1" t="s">
        <v>0</v>
      </c>
      <c r="C1" s="1" t="s">
        <v>11</v>
      </c>
      <c r="D1" s="1" t="s">
        <v>2</v>
      </c>
      <c r="E1" s="1" t="s">
        <v>10</v>
      </c>
      <c r="F1" s="1" t="s">
        <v>3</v>
      </c>
      <c r="G1" s="1" t="s">
        <v>6</v>
      </c>
      <c r="H1" s="1" t="s">
        <v>5</v>
      </c>
      <c r="I1" s="3" t="s">
        <v>4</v>
      </c>
      <c r="J1" s="1" t="s">
        <v>7</v>
      </c>
      <c r="K1" s="1" t="s">
        <v>8</v>
      </c>
      <c r="L1" s="5" t="s">
        <v>9</v>
      </c>
    </row>
    <row r="2" spans="1:12" x14ac:dyDescent="0.2">
      <c r="A2" t="e" vm="1">
        <v>#VALUE!</v>
      </c>
      <c r="B2" t="str" cm="1">
        <f t="array" aca="1" ref="B2" ca="1">_FV(table1[[#This Row],[DataField]],"Ticker symbol",TRUE)</f>
        <v>AAPL</v>
      </c>
      <c r="C2">
        <v>0</v>
      </c>
      <c r="D2">
        <v>500</v>
      </c>
      <c r="E2">
        <v>1</v>
      </c>
      <c r="F2" s="2" cm="1">
        <f t="array" aca="1" ref="F2" ca="1">_FV(table1[[#This Row],[DataField]],"Price")</f>
        <v>247.99</v>
      </c>
      <c r="G2" s="2" cm="1">
        <f t="array" aca="1" ref="G2" ca="1">_FV(table1[[#This Row],[DataField]],"52 week low",TRUE)</f>
        <v>169.21010000000001</v>
      </c>
      <c r="H2" s="2" cm="1">
        <f t="array" aca="1" ref="H2" ca="1">_FV(table1[[#This Row],[DataField]],"52 week high",TRUE)</f>
        <v>288.62</v>
      </c>
      <c r="I2" s="4" cm="1">
        <f t="array" aca="1" ref="I2" ca="1">_FV(table1[[#This Row],[DataField]],"P/E",TRUE)</f>
        <v>31.506399999999999</v>
      </c>
      <c r="J2" s="2" t="str">
        <f ca="1">IF(table1[[#This Row],[Price]] &lt; (table1[[#This Row],[52Low]] * 0.25) + table1[[#This Row],[52Low]],  "TRUE", "FALSE")</f>
        <v>FALSE</v>
      </c>
      <c r="K2" s="2" t="str">
        <f ca="1">IF(table1[[#This Row],[Price]] &lt; (table1[[#This Row],[52Low]] * 0.1) + table1[[#This Row],[52Low]],  "TRUE", "FALSE")</f>
        <v>FALSE</v>
      </c>
      <c r="L2" s="6" cm="1">
        <f t="array" aca="1" ref="L2" ca="1">_FV(table1[[#This Row],[DataField]],"Market cap",TRUE)</f>
        <v>3646122573000</v>
      </c>
    </row>
    <row r="3" spans="1:12" x14ac:dyDescent="0.2">
      <c r="A3" t="e" vm="2">
        <v>#VALUE!</v>
      </c>
      <c r="B3" t="str" cm="1">
        <f t="array" aca="1" ref="B3" ca="1">_FV(table1[[#This Row],[DataField]],"Ticker symbol",TRUE)</f>
        <v>ADM</v>
      </c>
      <c r="C3">
        <v>0</v>
      </c>
      <c r="D3">
        <v>500</v>
      </c>
      <c r="E3">
        <v>11</v>
      </c>
      <c r="F3" s="2" cm="1">
        <f t="array" aca="1" ref="F3" ca="1">_FV(table1[[#This Row],[DataField]],"Price")</f>
        <v>66.17</v>
      </c>
      <c r="G3" s="2" cm="1">
        <f t="array" aca="1" ref="G3" ca="1">_FV(table1[[#This Row],[DataField]],"52 week low",TRUE)</f>
        <v>40.98</v>
      </c>
      <c r="H3" s="2" cm="1">
        <f t="array" aca="1" ref="H3" ca="1">_FV(table1[[#This Row],[DataField]],"52 week high",TRUE)</f>
        <v>73.72</v>
      </c>
      <c r="I3" s="4" cm="1">
        <f t="array" aca="1" ref="I3" ca="1">_FV(table1[[#This Row],[DataField]],"P/E",TRUE)</f>
        <v>29.692599999999999</v>
      </c>
      <c r="J3" s="2" t="str">
        <f ca="1">IF(table1[[#This Row],[Price]] &lt; (table1[[#This Row],[52Low]] * 0.25) + table1[[#This Row],[52Low]],  "TRUE", "FALSE")</f>
        <v>FALSE</v>
      </c>
      <c r="K3" s="2" t="str">
        <f ca="1">IF(table1[[#This Row],[Price]] &lt; (table1[[#This Row],[52Low]] * 0.1) + table1[[#This Row],[52Low]],  "TRUE", "FALSE")</f>
        <v>FALSE</v>
      </c>
      <c r="L3" s="6" cm="1">
        <f t="array" aca="1" ref="L3" ca="1">_FV(table1[[#This Row],[DataField]],"Market cap",TRUE)</f>
        <v>31841123106</v>
      </c>
    </row>
    <row r="4" spans="1:12" x14ac:dyDescent="0.2">
      <c r="A4" t="e" vm="3">
        <v>#VALUE!</v>
      </c>
      <c r="B4" t="str" cm="1">
        <f t="array" aca="1" ref="B4" ca="1">_FV(table1[[#This Row],[DataField]],"Ticker symbol",TRUE)</f>
        <v>AMZN</v>
      </c>
      <c r="C4">
        <v>0</v>
      </c>
      <c r="D4">
        <v>500</v>
      </c>
      <c r="E4">
        <v>1</v>
      </c>
      <c r="F4" s="2" cm="1">
        <f t="array" aca="1" ref="F4" ca="1">_FV(table1[[#This Row],[DataField]],"Price")</f>
        <v>205.37</v>
      </c>
      <c r="G4" s="2" cm="1">
        <f t="array" aca="1" ref="G4" ca="1">_FV(table1[[#This Row],[DataField]],"52 week low",TRUE)</f>
        <v>161.38</v>
      </c>
      <c r="H4" s="2" cm="1">
        <f t="array" aca="1" ref="H4" ca="1">_FV(table1[[#This Row],[DataField]],"52 week high",TRUE)</f>
        <v>258.60000000000002</v>
      </c>
      <c r="I4" s="4" cm="1">
        <f t="array" aca="1" ref="I4" ca="1">_FV(table1[[#This Row],[DataField]],"P/E",TRUE)</f>
        <v>28.6342</v>
      </c>
      <c r="J4" s="2" t="str">
        <f ca="1">IF(table1[[#This Row],[Price]] &lt; (table1[[#This Row],[52Low]] * 0.25) + table1[[#This Row],[52Low]],  "TRUE", "FALSE")</f>
        <v>FALSE</v>
      </c>
      <c r="K4" s="2" t="str">
        <f ca="1">IF(table1[[#This Row],[Price]] &lt; (table1[[#This Row],[52Low]] * 0.1) + table1[[#This Row],[52Low]],  "TRUE", "FALSE")</f>
        <v>FALSE</v>
      </c>
      <c r="L4" s="6" cm="1">
        <f t="array" aca="1" ref="L4" ca="1">_FV(table1[[#This Row],[DataField]],"Market cap",TRUE)</f>
        <v>2204630520400</v>
      </c>
    </row>
    <row r="5" spans="1:12" x14ac:dyDescent="0.2">
      <c r="A5" t="e" vm="4">
        <v>#VALUE!</v>
      </c>
      <c r="B5" t="str" cm="1">
        <f t="array" aca="1" ref="B5" ca="1">_FV(table1[[#This Row],[DataField]],"Ticker symbol",TRUE)</f>
        <v>BLK</v>
      </c>
      <c r="C5">
        <v>0</v>
      </c>
      <c r="D5">
        <v>500</v>
      </c>
      <c r="E5">
        <v>12</v>
      </c>
      <c r="F5" s="2" cm="1">
        <f t="array" aca="1" ref="F5" ca="1">_FV(table1[[#This Row],[DataField]],"Price")</f>
        <v>957.91</v>
      </c>
      <c r="G5" s="2" cm="1">
        <f t="array" aca="1" ref="G5" ca="1">_FV(table1[[#This Row],[DataField]],"52 week low",TRUE)</f>
        <v>773.74009999999998</v>
      </c>
      <c r="H5" s="2" cm="1">
        <f t="array" aca="1" ref="H5" ca="1">_FV(table1[[#This Row],[DataField]],"52 week high",TRUE)</f>
        <v>1219.9399000000001</v>
      </c>
      <c r="I5" s="4" cm="1">
        <f t="array" aca="1" ref="I5" ca="1">_FV(table1[[#This Row],[DataField]],"P/E",TRUE)</f>
        <v>27.64</v>
      </c>
      <c r="J5" s="2" t="str">
        <f ca="1">IF(table1[[#This Row],[Price]] &lt; (table1[[#This Row],[52Low]] * 0.25) + table1[[#This Row],[52Low]],  "TRUE", "FALSE")</f>
        <v>TRUE</v>
      </c>
      <c r="K5" s="2" t="str">
        <f ca="1">IF(table1[[#This Row],[Price]] &lt; (table1[[#This Row],[52Low]] * 0.1) + table1[[#This Row],[52Low]],  "TRUE", "FALSE")</f>
        <v>FALSE</v>
      </c>
      <c r="L5" s="6" cm="1">
        <f t="array" aca="1" ref="L5" ca="1">_FV(table1[[#This Row],[DataField]],"Market cap",TRUE)</f>
        <v>148994758265</v>
      </c>
    </row>
    <row r="6" spans="1:12" x14ac:dyDescent="0.2">
      <c r="A6" t="e" vm="5">
        <v>#VALUE!</v>
      </c>
      <c r="B6" t="str" cm="1">
        <f t="array" aca="1" ref="B6" ca="1">_FV(table1[[#This Row],[DataField]],"Ticker symbol",TRUE)</f>
        <v>BMY</v>
      </c>
      <c r="C6">
        <v>0</v>
      </c>
      <c r="D6">
        <v>500</v>
      </c>
      <c r="E6">
        <v>13</v>
      </c>
      <c r="F6" s="2" cm="1">
        <f t="array" aca="1" ref="F6" ca="1">_FV(table1[[#This Row],[DataField]],"Price")</f>
        <v>57.48</v>
      </c>
      <c r="G6" s="2" cm="1">
        <f t="array" aca="1" ref="G6" ca="1">_FV(table1[[#This Row],[DataField]],"52 week low",TRUE)</f>
        <v>42.52</v>
      </c>
      <c r="H6" s="2" cm="1">
        <f t="array" aca="1" ref="H6" ca="1">_FV(table1[[#This Row],[DataField]],"52 week high",TRUE)</f>
        <v>62.886400000000002</v>
      </c>
      <c r="I6" s="4" cm="1">
        <f t="array" aca="1" ref="I6" ca="1">_FV(table1[[#This Row],[DataField]],"P/E",TRUE)</f>
        <v>16.828399999999998</v>
      </c>
      <c r="J6" s="2" t="str">
        <f ca="1">IF(table1[[#This Row],[Price]] &lt; (table1[[#This Row],[52Low]] * 0.25) + table1[[#This Row],[52Low]],  "TRUE", "FALSE")</f>
        <v>FALSE</v>
      </c>
      <c r="K6" s="2" t="str">
        <f ca="1">IF(table1[[#This Row],[Price]] &lt; (table1[[#This Row],[52Low]] * 0.1) + table1[[#This Row],[52Low]],  "TRUE", "FALSE")</f>
        <v>FALSE</v>
      </c>
      <c r="L6" s="6" cm="1">
        <f t="array" aca="1" ref="L6" ca="1">_FV(table1[[#This Row],[DataField]],"Market cap",TRUE)</f>
        <v>117056525520</v>
      </c>
    </row>
    <row r="7" spans="1:12" x14ac:dyDescent="0.2">
      <c r="A7" t="e" vm="6">
        <v>#VALUE!</v>
      </c>
      <c r="B7" t="str" cm="1">
        <f t="array" aca="1" ref="B7" ca="1">_FV(table1[[#This Row],[DataField]],"Ticker symbol",TRUE)</f>
        <v>CLX</v>
      </c>
      <c r="C7">
        <v>0</v>
      </c>
      <c r="D7">
        <v>500</v>
      </c>
      <c r="E7">
        <v>10</v>
      </c>
      <c r="F7" s="2" cm="1">
        <f t="array" aca="1" ref="F7" ca="1">_FV(table1[[#This Row],[DataField]],"Price")</f>
        <v>106.15</v>
      </c>
      <c r="G7" s="2" cm="1">
        <f t="array" aca="1" ref="G7" ca="1">_FV(table1[[#This Row],[DataField]],"52 week low",TRUE)</f>
        <v>96.6601</v>
      </c>
      <c r="H7" s="2" cm="1">
        <f t="array" aca="1" ref="H7" ca="1">_FV(table1[[#This Row],[DataField]],"52 week high",TRUE)</f>
        <v>150.84</v>
      </c>
      <c r="I7" s="4" cm="1">
        <f t="array" aca="1" ref="I7" ca="1">_FV(table1[[#This Row],[DataField]],"P/E",TRUE)</f>
        <v>17.4209</v>
      </c>
      <c r="J7" s="2" t="str">
        <f ca="1">IF(table1[[#This Row],[Price]] &lt; (table1[[#This Row],[52Low]] * 0.25) + table1[[#This Row],[52Low]],  "TRUE", "FALSE")</f>
        <v>TRUE</v>
      </c>
      <c r="K7" s="2" t="str">
        <f ca="1">IF(table1[[#This Row],[Price]] &lt; (table1[[#This Row],[52Low]] * 0.1) + table1[[#This Row],[52Low]],  "TRUE", "FALSE")</f>
        <v>TRUE</v>
      </c>
      <c r="L7" s="6" cm="1">
        <f t="array" aca="1" ref="L7" ca="1">_FV(table1[[#This Row],[DataField]],"Market cap",TRUE)</f>
        <v>12834798185</v>
      </c>
    </row>
    <row r="8" spans="1:12" x14ac:dyDescent="0.2">
      <c r="A8" t="e" vm="7">
        <v>#VALUE!</v>
      </c>
      <c r="B8" t="str" cm="1">
        <f t="array" aca="1" ref="B8" ca="1">_FV(table1[[#This Row],[DataField]],"Ticker symbol",TRUE)</f>
        <v>CMCSA</v>
      </c>
      <c r="C8">
        <v>0</v>
      </c>
      <c r="D8">
        <v>500</v>
      </c>
      <c r="E8">
        <v>20</v>
      </c>
      <c r="F8" s="2" cm="1">
        <f t="array" aca="1" ref="F8" ca="1">_FV(table1[[#This Row],[DataField]],"Price")</f>
        <v>29.02</v>
      </c>
      <c r="G8" s="2" cm="1">
        <f t="array" aca="1" ref="G8" ca="1">_FV(table1[[#This Row],[DataField]],"52 week low",TRUE)</f>
        <v>24.1234</v>
      </c>
      <c r="H8" s="2" cm="1">
        <f t="array" aca="1" ref="H8" ca="1">_FV(table1[[#This Row],[DataField]],"52 week high",TRUE)</f>
        <v>35.337299999999999</v>
      </c>
      <c r="I8" s="4" cm="1">
        <f t="array" aca="1" ref="I8" ca="1">_FV(table1[[#This Row],[DataField]],"P/E",TRUE)</f>
        <v>5.3983999999999996</v>
      </c>
      <c r="J8" s="2" t="str">
        <f ca="1">IF(table1[[#This Row],[Price]] &lt; (table1[[#This Row],[52Low]] * 0.25) + table1[[#This Row],[52Low]],  "TRUE", "FALSE")</f>
        <v>TRUE</v>
      </c>
      <c r="K8" s="2" t="str">
        <f ca="1">IF(table1[[#This Row],[Price]] &lt; (table1[[#This Row],[52Low]] * 0.1) + table1[[#This Row],[52Low]],  "TRUE", "FALSE")</f>
        <v>FALSE</v>
      </c>
      <c r="L8" s="6" cm="1">
        <f t="array" aca="1" ref="L8" ca="1">_FV(table1[[#This Row],[DataField]],"Market cap",TRUE)</f>
        <v>104409490920</v>
      </c>
    </row>
    <row r="9" spans="1:12" x14ac:dyDescent="0.2">
      <c r="A9" t="e" vm="8">
        <v>#VALUE!</v>
      </c>
      <c r="B9" t="str" cm="1">
        <f t="array" aca="1" ref="B9" ca="1">_FV(table1[[#This Row],[DataField]],"Ticker symbol",TRUE)</f>
        <v>CVS</v>
      </c>
      <c r="C9">
        <v>0</v>
      </c>
      <c r="D9">
        <v>500</v>
      </c>
      <c r="E9">
        <v>13</v>
      </c>
      <c r="F9" s="2" cm="1">
        <f t="array" aca="1" ref="F9" ca="1">_FV(table1[[#This Row],[DataField]],"Price")</f>
        <v>71.48</v>
      </c>
      <c r="G9" s="2" cm="1">
        <f t="array" aca="1" ref="G9" ca="1">_FV(table1[[#This Row],[DataField]],"52 week low",TRUE)</f>
        <v>58.35</v>
      </c>
      <c r="H9" s="2" cm="1">
        <f t="array" aca="1" ref="H9" ca="1">_FV(table1[[#This Row],[DataField]],"52 week high",TRUE)</f>
        <v>85.15</v>
      </c>
      <c r="I9" s="4" cm="1">
        <f t="array" aca="1" ref="I9" ca="1">_FV(table1[[#This Row],[DataField]],"P/E",TRUE)</f>
        <v>52.270600000000002</v>
      </c>
      <c r="J9" s="2" t="str">
        <f ca="1">IF(table1[[#This Row],[Price]] &lt; (table1[[#This Row],[52Low]] * 0.25) + table1[[#This Row],[52Low]],  "TRUE", "FALSE")</f>
        <v>TRUE</v>
      </c>
      <c r="K9" s="2" t="str">
        <f ca="1">IF(table1[[#This Row],[Price]] &lt; (table1[[#This Row],[52Low]] * 0.1) + table1[[#This Row],[52Low]],  "TRUE", "FALSE")</f>
        <v>FALSE</v>
      </c>
      <c r="L9" s="6" cm="1">
        <f t="array" aca="1" ref="L9" ca="1">_FV(table1[[#This Row],[DataField]],"Market cap",TRUE)</f>
        <v>90937642280</v>
      </c>
    </row>
    <row r="10" spans="1:12" x14ac:dyDescent="0.2">
      <c r="A10" t="e" vm="9">
        <v>#VALUE!</v>
      </c>
      <c r="B10" t="str" cm="1">
        <f t="array" aca="1" ref="B10" ca="1">_FV(table1[[#This Row],[DataField]],"Ticker symbol",TRUE)</f>
        <v>CVX</v>
      </c>
      <c r="C10">
        <v>0</v>
      </c>
      <c r="D10">
        <v>500</v>
      </c>
      <c r="E10">
        <v>3</v>
      </c>
      <c r="F10" s="2" cm="1">
        <f t="array" aca="1" ref="F10" ca="1">_FV(table1[[#This Row],[DataField]],"Price")</f>
        <v>201.73</v>
      </c>
      <c r="G10" s="2" cm="1">
        <f t="array" aca="1" ref="G10" ca="1">_FV(table1[[#This Row],[DataField]],"52 week low",TRUE)</f>
        <v>132.04</v>
      </c>
      <c r="H10" s="2" cm="1">
        <f t="array" aca="1" ref="H10" ca="1">_FV(table1[[#This Row],[DataField]],"52 week high",TRUE)</f>
        <v>205.08</v>
      </c>
      <c r="I10" s="4" cm="1">
        <f t="array" aca="1" ref="I10" ca="1">_FV(table1[[#This Row],[DataField]],"P/E",TRUE)</f>
        <v>30.354099999999999</v>
      </c>
      <c r="J10" s="2" t="str">
        <f ca="1">IF(table1[[#This Row],[Price]] &lt; (table1[[#This Row],[52Low]] * 0.25) + table1[[#This Row],[52Low]],  "TRUE", "FALSE")</f>
        <v>FALSE</v>
      </c>
      <c r="K10" s="2" t="str">
        <f ca="1">IF(table1[[#This Row],[Price]] &lt; (table1[[#This Row],[52Low]] * 0.1) + table1[[#This Row],[52Low]],  "TRUE", "FALSE")</f>
        <v>FALSE</v>
      </c>
      <c r="L10" s="6" cm="1">
        <f t="array" aca="1" ref="L10" ca="1">_FV(table1[[#This Row],[DataField]],"Market cap",TRUE)</f>
        <v>402529016050</v>
      </c>
    </row>
    <row r="11" spans="1:12" x14ac:dyDescent="0.2">
      <c r="A11" t="e" vm="10">
        <v>#VALUE!</v>
      </c>
      <c r="B11" t="str" cm="1">
        <f t="array" aca="1" ref="B11" ca="1">_FV(table1[[#This Row],[DataField]],"Ticker symbol",TRUE)</f>
        <v>EMN</v>
      </c>
      <c r="C11">
        <v>0</v>
      </c>
      <c r="D11">
        <v>500</v>
      </c>
      <c r="F11" s="2" cm="1">
        <f t="array" aca="1" ref="F11" ca="1">_FV(table1[[#This Row],[DataField]],"Price")</f>
        <v>65.33</v>
      </c>
      <c r="G11" s="2" cm="1">
        <f t="array" aca="1" ref="G11" ca="1">_FV(table1[[#This Row],[DataField]],"52 week low",TRUE)</f>
        <v>56.11</v>
      </c>
      <c r="H11" s="2" cm="1">
        <f t="array" aca="1" ref="H11" ca="1">_FV(table1[[#This Row],[DataField]],"52 week high",TRUE)</f>
        <v>91.27</v>
      </c>
      <c r="I11" s="4" cm="1">
        <f t="array" aca="1" ref="I11" ca="1">_FV(table1[[#This Row],[DataField]],"P/E",TRUE)</f>
        <v>17.1754</v>
      </c>
      <c r="J11" s="2" t="str">
        <f ca="1">IF(table1[[#This Row],[Price]] &lt; (table1[[#This Row],[52Low]] * 0.25) + table1[[#This Row],[52Low]],  "TRUE", "FALSE")</f>
        <v>TRUE</v>
      </c>
      <c r="K11" s="2" t="str">
        <f ca="1">IF(table1[[#This Row],[Price]] &lt; (table1[[#This Row],[52Low]] * 0.1) + table1[[#This Row],[52Low]],  "TRUE", "FALSE")</f>
        <v>FALSE</v>
      </c>
      <c r="L11" s="6" cm="1">
        <f t="array" aca="1" ref="L11" ca="1">_FV(table1[[#This Row],[DataField]],"Market cap",TRUE)</f>
        <v>7453976609</v>
      </c>
    </row>
    <row r="12" spans="1:12" x14ac:dyDescent="0.2">
      <c r="A12" t="e" vm="11">
        <v>#VALUE!</v>
      </c>
      <c r="B12" t="str" cm="1">
        <f t="array" aca="1" ref="B12" ca="1">_FV(table1[[#This Row],[DataField]],"Ticker symbol",TRUE)</f>
        <v>GD</v>
      </c>
      <c r="C12">
        <v>0</v>
      </c>
      <c r="D12">
        <v>500</v>
      </c>
      <c r="E12">
        <v>5</v>
      </c>
      <c r="F12" s="2" cm="1">
        <f t="array" aca="1" ref="F12" ca="1">_FV(table1[[#This Row],[DataField]],"Price")</f>
        <v>345.78</v>
      </c>
      <c r="G12" s="2" cm="1">
        <f t="array" aca="1" ref="G12" ca="1">_FV(table1[[#This Row],[DataField]],"52 week low",TRUE)</f>
        <v>239.2</v>
      </c>
      <c r="H12" s="2" cm="1">
        <f t="array" aca="1" ref="H12" ca="1">_FV(table1[[#This Row],[DataField]],"52 week high",TRUE)</f>
        <v>369.7</v>
      </c>
      <c r="I12" s="4" cm="1">
        <f t="array" aca="1" ref="I12" ca="1">_FV(table1[[#This Row],[DataField]],"P/E",TRUE)</f>
        <v>22.3751</v>
      </c>
      <c r="J12" s="2" t="str">
        <f ca="1">IF(table1[[#This Row],[Price]] &lt; (table1[[#This Row],[52Low]] * 0.25) + table1[[#This Row],[52Low]],  "TRUE", "FALSE")</f>
        <v>FALSE</v>
      </c>
      <c r="K12" s="2" t="str">
        <f ca="1">IF(table1[[#This Row],[Price]] &lt; (table1[[#This Row],[52Low]] * 0.1) + table1[[#This Row],[52Low]],  "TRUE", "FALSE")</f>
        <v>FALSE</v>
      </c>
      <c r="L12" s="6" cm="1">
        <f t="array" aca="1" ref="L12" ca="1">_FV(table1[[#This Row],[DataField]],"Market cap",TRUE)</f>
        <v>93495385044</v>
      </c>
    </row>
    <row r="13" spans="1:12" ht="17" customHeight="1" x14ac:dyDescent="0.2">
      <c r="A13" t="e" vm="12">
        <v>#VALUE!</v>
      </c>
      <c r="B13" t="str" cm="1">
        <f t="array" aca="1" ref="B13" ca="1">_FV(table1[[#This Row],[DataField]],"Ticker symbol",TRUE)</f>
        <v>HD</v>
      </c>
      <c r="C13">
        <v>0</v>
      </c>
      <c r="D13">
        <v>500</v>
      </c>
      <c r="F13" s="2" cm="1">
        <f t="array" aca="1" ref="F13" ca="1">_FV(table1[[#This Row],[DataField]],"Price")</f>
        <v>320.75</v>
      </c>
      <c r="G13" s="2" cm="1">
        <f t="array" aca="1" ref="G13" ca="1">_FV(table1[[#This Row],[DataField]],"52 week low",TRUE)</f>
        <v>320.2645</v>
      </c>
      <c r="H13" s="2" cm="1">
        <f t="array" aca="1" ref="H13" ca="1">_FV(table1[[#This Row],[DataField]],"52 week high",TRUE)</f>
        <v>426.75</v>
      </c>
      <c r="I13" s="4" cm="1">
        <f t="array" aca="1" ref="I13" ca="1">_FV(table1[[#This Row],[DataField]],"P/E",TRUE)</f>
        <v>23.0562</v>
      </c>
      <c r="J13" s="2" t="str">
        <f ca="1">IF(table1[[#This Row],[Price]] &lt; (table1[[#This Row],[52Low]] * 0.25) + table1[[#This Row],[52Low]],  "TRUE", "FALSE")</f>
        <v>TRUE</v>
      </c>
      <c r="K13" s="2" t="str">
        <f ca="1">IF(table1[[#This Row],[Price]] &lt; (table1[[#This Row],[52Low]] * 0.1) + table1[[#This Row],[52Low]],  "TRUE", "FALSE")</f>
        <v>TRUE</v>
      </c>
      <c r="L13" s="6" cm="1">
        <f t="array" aca="1" ref="L13" ca="1">_FV(table1[[#This Row],[DataField]],"Market cap",TRUE)</f>
        <v>319470688625</v>
      </c>
    </row>
    <row r="14" spans="1:12" x14ac:dyDescent="0.2">
      <c r="A14" t="e" vm="13">
        <v>#VALUE!</v>
      </c>
      <c r="B14" t="str" cm="1">
        <f t="array" aca="1" ref="B14" ca="1">_FV(table1[[#This Row],[DataField]],"Ticker symbol",TRUE)</f>
        <v>HSY</v>
      </c>
      <c r="C14">
        <v>0</v>
      </c>
      <c r="D14">
        <v>500</v>
      </c>
      <c r="F14" s="2" cm="1">
        <f t="array" aca="1" ref="F14" ca="1">_FV(table1[[#This Row],[DataField]],"Price")</f>
        <v>210.14</v>
      </c>
      <c r="G14" s="2" cm="1">
        <f t="array" aca="1" ref="G14" ca="1">_FV(table1[[#This Row],[DataField]],"52 week low",TRUE)</f>
        <v>150.04</v>
      </c>
      <c r="H14" s="2" cm="1">
        <f t="array" aca="1" ref="H14" ca="1">_FV(table1[[#This Row],[DataField]],"52 week high",TRUE)</f>
        <v>239.48</v>
      </c>
      <c r="I14" s="4" cm="1">
        <f t="array" aca="1" ref="I14" ca="1">_FV(table1[[#This Row],[DataField]],"P/E",TRUE)</f>
        <v>48.400399999999998</v>
      </c>
      <c r="J14" s="2" t="str">
        <f ca="1">IF(table1[[#This Row],[Price]] &lt; (table1[[#This Row],[52Low]] * 0.25) + table1[[#This Row],[52Low]],  "TRUE", "FALSE")</f>
        <v>FALSE</v>
      </c>
      <c r="K14" s="2" t="str">
        <f ca="1">IF(table1[[#This Row],[Price]] &lt; (table1[[#This Row],[52Low]] * 0.1) + table1[[#This Row],[52Low]],  "TRUE", "FALSE")</f>
        <v>FALSE</v>
      </c>
      <c r="L14" s="6" cm="1">
        <f t="array" aca="1" ref="L14" ca="1">_FV(table1[[#This Row],[DataField]],"Market cap",TRUE)</f>
        <v>42593465726</v>
      </c>
    </row>
    <row r="15" spans="1:12" x14ac:dyDescent="0.2">
      <c r="A15" t="e" vm="14">
        <v>#VALUE!</v>
      </c>
      <c r="B15" t="str" cm="1">
        <f t="array" aca="1" ref="B15" ca="1">_FV(table1[[#This Row],[DataField]],"Ticker symbol",TRUE)</f>
        <v>JNJ</v>
      </c>
      <c r="C15">
        <v>0</v>
      </c>
      <c r="D15">
        <v>500</v>
      </c>
      <c r="F15" s="2" cm="1">
        <f t="array" aca="1" ref="F15" ca="1">_FV(table1[[#This Row],[DataField]],"Price")</f>
        <v>235.37</v>
      </c>
      <c r="G15" s="2" cm="1">
        <f t="array" aca="1" ref="G15" ca="1">_FV(table1[[#This Row],[DataField]],"52 week low",TRUE)</f>
        <v>141.5</v>
      </c>
      <c r="H15" s="2" cm="1">
        <f t="array" aca="1" ref="H15" ca="1">_FV(table1[[#This Row],[DataField]],"52 week high",TRUE)</f>
        <v>251.71</v>
      </c>
      <c r="I15" s="4" cm="1">
        <f t="array" aca="1" ref="I15" ca="1">_FV(table1[[#This Row],[DataField]],"P/E",TRUE)</f>
        <v>21.517499999999998</v>
      </c>
      <c r="J15" s="2" t="str">
        <f ca="1">IF(table1[[#This Row],[Price]] &lt; (table1[[#This Row],[52Low]] * 0.25) + table1[[#This Row],[52Low]],  "TRUE", "FALSE")</f>
        <v>FALSE</v>
      </c>
      <c r="K15" s="2" t="str">
        <f ca="1">IF(table1[[#This Row],[Price]] &lt; (table1[[#This Row],[52Low]] * 0.1) + table1[[#This Row],[52Low]],  "TRUE", "FALSE")</f>
        <v>FALSE</v>
      </c>
      <c r="L15" s="6" cm="1">
        <f t="array" aca="1" ref="L15" ca="1">_FV(table1[[#This Row],[DataField]],"Market cap",TRUE)</f>
        <v>566915241810</v>
      </c>
    </row>
    <row r="16" spans="1:12" x14ac:dyDescent="0.2">
      <c r="A16" t="e" vm="15">
        <v>#VALUE!</v>
      </c>
      <c r="B16" t="str" cm="1">
        <f t="array" aca="1" ref="B16" ca="1">_FV(table1[[#This Row],[DataField]],"Ticker symbol",TRUE)</f>
        <v>LYB</v>
      </c>
      <c r="C16">
        <v>0</v>
      </c>
      <c r="D16">
        <v>500</v>
      </c>
      <c r="F16" s="2" cm="1">
        <f t="array" aca="1" ref="F16" ca="1">_FV(table1[[#This Row],[DataField]],"Price")</f>
        <v>73.319999999999993</v>
      </c>
      <c r="G16" s="2" cm="1">
        <f t="array" aca="1" ref="G16" ca="1">_FV(table1[[#This Row],[DataField]],"52 week low",TRUE)</f>
        <v>41.58</v>
      </c>
      <c r="H16" s="2" cm="1">
        <f t="array" aca="1" ref="H16" ca="1">_FV(table1[[#This Row],[DataField]],"52 week high",TRUE)</f>
        <v>77.36</v>
      </c>
      <c r="I16" s="4" t="e" cm="1" vm="16">
        <f t="array" ref="I16">_FV(table1[[#This Row],[DataField]],"P/E",TRUE)</f>
        <v>#VALUE!</v>
      </c>
      <c r="J16" s="2" t="str">
        <f ca="1">IF(table1[[#This Row],[Price]] &lt; (table1[[#This Row],[52Low]] * 0.25) + table1[[#This Row],[52Low]],  "TRUE", "FALSE")</f>
        <v>FALSE</v>
      </c>
      <c r="K16" s="2" t="str">
        <f ca="1">IF(table1[[#This Row],[Price]] &lt; (table1[[#This Row],[52Low]] * 0.1) + table1[[#This Row],[52Low]],  "TRUE", "FALSE")</f>
        <v>FALSE</v>
      </c>
      <c r="L16" s="6" cm="1">
        <f t="array" aca="1" ref="L16" ca="1">_FV(table1[[#This Row],[DataField]],"Market cap",TRUE)</f>
        <v>23621504399</v>
      </c>
    </row>
    <row r="17" spans="1:12" x14ac:dyDescent="0.2">
      <c r="A17" t="e" vm="17">
        <v>#VALUE!</v>
      </c>
      <c r="B17" t="str" cm="1">
        <f t="array" aca="1" ref="B17" ca="1">_FV(table1[[#This Row],[DataField]],"Ticker symbol",TRUE)</f>
        <v>MDT</v>
      </c>
      <c r="C17">
        <v>0</v>
      </c>
      <c r="D17">
        <v>500</v>
      </c>
      <c r="F17" s="2" cm="1">
        <f t="array" aca="1" ref="F17" ca="1">_FV(table1[[#This Row],[DataField]],"Price")</f>
        <v>86.16</v>
      </c>
      <c r="G17" s="2" cm="1">
        <f t="array" aca="1" ref="G17" ca="1">_FV(table1[[#This Row],[DataField]],"52 week low",TRUE)</f>
        <v>79.55</v>
      </c>
      <c r="H17" s="2" cm="1">
        <f t="array" aca="1" ref="H17" ca="1">_FV(table1[[#This Row],[DataField]],"52 week high",TRUE)</f>
        <v>106.33</v>
      </c>
      <c r="I17" s="4" cm="1">
        <f t="array" aca="1" ref="I17" ca="1">_FV(table1[[#This Row],[DataField]],"P/E",TRUE)</f>
        <v>24.059000000000001</v>
      </c>
      <c r="J17" s="2" t="str">
        <f ca="1">IF(table1[[#This Row],[Price]] &lt; (table1[[#This Row],[52Low]] * 0.25) + table1[[#This Row],[52Low]],  "TRUE", "FALSE")</f>
        <v>TRUE</v>
      </c>
      <c r="K17" s="2" t="str">
        <f ca="1">IF(table1[[#This Row],[Price]] &lt; (table1[[#This Row],[52Low]] * 0.1) + table1[[#This Row],[52Low]],  "TRUE", "FALSE")</f>
        <v>TRUE</v>
      </c>
      <c r="L17" s="6" cm="1">
        <f t="array" aca="1" ref="L17" ca="1">_FV(table1[[#This Row],[DataField]],"Market cap",TRUE)</f>
        <v>110619531600</v>
      </c>
    </row>
    <row r="18" spans="1:12" x14ac:dyDescent="0.2">
      <c r="A18" t="e" vm="18">
        <v>#VALUE!</v>
      </c>
      <c r="B18" t="str" cm="1">
        <f t="array" aca="1" ref="B18" ca="1">_FV(table1[[#This Row],[DataField]],"Ticker symbol",TRUE)</f>
        <v>MKC.V</v>
      </c>
      <c r="C18">
        <v>0</v>
      </c>
      <c r="D18">
        <v>500</v>
      </c>
      <c r="E18">
        <v>10</v>
      </c>
      <c r="F18" s="2" cm="1">
        <f t="array" aca="1" ref="F18" ca="1">_FV(table1[[#This Row],[DataField]],"Price")</f>
        <v>53.25</v>
      </c>
      <c r="G18" s="2" cm="1">
        <f t="array" aca="1" ref="G18" ca="1">_FV(table1[[#This Row],[DataField]],"52 week low",TRUE)</f>
        <v>53.25</v>
      </c>
      <c r="H18" s="2" cm="1">
        <f t="array" aca="1" ref="H18" ca="1">_FV(table1[[#This Row],[DataField]],"52 week high",TRUE)</f>
        <v>82.53</v>
      </c>
      <c r="I18" s="4" t="e" cm="1" vm="16">
        <f t="array" ref="I18">_FV(table1[[#This Row],[DataField]],"P/E",TRUE)</f>
        <v>#VALUE!</v>
      </c>
      <c r="J18" s="2" t="str">
        <f ca="1">IF(table1[[#This Row],[Price]] &lt; (table1[[#This Row],[52Low]] * 0.25) + table1[[#This Row],[52Low]],  "TRUE", "FALSE")</f>
        <v>TRUE</v>
      </c>
      <c r="K18" s="2" t="str">
        <f ca="1">IF(table1[[#This Row],[Price]] &lt; (table1[[#This Row],[52Low]] * 0.1) + table1[[#This Row],[52Low]],  "TRUE", "FALSE")</f>
        <v>TRUE</v>
      </c>
      <c r="L18" s="6" cm="1">
        <f t="array" aca="1" ref="L18" ca="1">_FV(table1[[#This Row],[DataField]],"Market cap",TRUE)</f>
        <v>14294334150</v>
      </c>
    </row>
    <row r="19" spans="1:12" x14ac:dyDescent="0.2">
      <c r="A19" t="e" vm="19">
        <v>#VALUE!</v>
      </c>
      <c r="B19" t="str" cm="1">
        <f t="array" aca="1" ref="B19" ca="1">_FV(table1[[#This Row],[DataField]],"Ticker symbol",TRUE)</f>
        <v>MSFT</v>
      </c>
      <c r="C19">
        <v>0</v>
      </c>
      <c r="D19">
        <v>500</v>
      </c>
      <c r="F19" s="2" cm="1">
        <f t="array" aca="1" ref="F19" ca="1">_FV(table1[[#This Row],[DataField]],"Price")</f>
        <v>381.87</v>
      </c>
      <c r="G19" s="2" cm="1">
        <f t="array" aca="1" ref="G19" ca="1">_FV(table1[[#This Row],[DataField]],"52 week low",TRUE)</f>
        <v>344.79</v>
      </c>
      <c r="H19" s="2" cm="1">
        <f t="array" aca="1" ref="H19" ca="1">_FV(table1[[#This Row],[DataField]],"52 week high",TRUE)</f>
        <v>555.45000000000005</v>
      </c>
      <c r="I19" s="4" cm="1">
        <f t="array" aca="1" ref="I19" ca="1">_FV(table1[[#This Row],[DataField]],"P/E",TRUE)</f>
        <v>23.8932</v>
      </c>
      <c r="J19" s="2" t="str">
        <f ca="1">IF(table1[[#This Row],[Price]] &lt; (table1[[#This Row],[52Low]] * 0.25) + table1[[#This Row],[52Low]],  "TRUE", "FALSE")</f>
        <v>TRUE</v>
      </c>
      <c r="K19" s="2" t="str">
        <f ca="1">IF(table1[[#This Row],[Price]] &lt; (table1[[#This Row],[52Low]] * 0.1) + table1[[#This Row],[52Low]],  "TRUE", "FALSE")</f>
        <v>FALSE</v>
      </c>
      <c r="L19" s="6" cm="1">
        <f t="array" aca="1" ref="L19" ca="1">_FV(table1[[#This Row],[DataField]],"Market cap",TRUE)</f>
        <v>2835624946230</v>
      </c>
    </row>
    <row r="20" spans="1:12" x14ac:dyDescent="0.2">
      <c r="A20" t="e" vm="20">
        <v>#VALUE!</v>
      </c>
      <c r="B20" t="str" cm="1">
        <f t="array" aca="1" ref="B20" ca="1">_FV(table1[[#This Row],[DataField]],"Ticker symbol",TRUE)</f>
        <v>NKE</v>
      </c>
      <c r="C20">
        <v>0</v>
      </c>
      <c r="D20">
        <v>500</v>
      </c>
      <c r="F20" s="2" cm="1">
        <f t="array" aca="1" ref="F20" ca="1">_FV(table1[[#This Row],[DataField]],"Price")</f>
        <v>52.37</v>
      </c>
      <c r="G20" cm="1">
        <f t="array" aca="1" ref="G20" ca="1">_FV(table1[[#This Row],[DataField]],"52 week low",TRUE)</f>
        <v>52.174999999999997</v>
      </c>
      <c r="H20" cm="1">
        <f t="array" aca="1" ref="H20" ca="1">_FV(table1[[#This Row],[DataField]],"52 week high",TRUE)</f>
        <v>80.165000000000006</v>
      </c>
      <c r="I20" s="4" cm="1">
        <f t="array" aca="1" ref="I20" ca="1">_FV(table1[[#This Row],[DataField]],"P/E",TRUE)</f>
        <v>31.335599999999999</v>
      </c>
      <c r="J20" s="2" t="str">
        <f ca="1">IF(table1[[#This Row],[Price]] &lt; (table1[[#This Row],[52Low]] * 0.25) + table1[[#This Row],[52Low]],  "TRUE", "FALSE")</f>
        <v>TRUE</v>
      </c>
      <c r="K20" s="2" t="str">
        <f ca="1">IF(table1[[#This Row],[Price]] &lt; (table1[[#This Row],[52Low]] * 0.1) + table1[[#This Row],[52Low]],  "TRUE", "FALSE")</f>
        <v>TRUE</v>
      </c>
      <c r="L20" s="6" cm="1">
        <f t="array" aca="1" ref="L20" ca="1">_FV(table1[[#This Row],[DataField]],"Market cap",TRUE)</f>
        <v>77527657710</v>
      </c>
    </row>
    <row r="21" spans="1:12" x14ac:dyDescent="0.2">
      <c r="A21" t="e" vm="21">
        <v>#VALUE!</v>
      </c>
      <c r="B21" t="str" cm="1">
        <f t="array" aca="1" ref="B21" ca="1">_FV(table1[[#This Row],[DataField]],"Ticker symbol",TRUE)</f>
        <v>O</v>
      </c>
      <c r="C21">
        <v>0</v>
      </c>
      <c r="D21">
        <v>0</v>
      </c>
      <c r="F21" s="2" cm="1">
        <f t="array" aca="1" ref="F21" ca="1">_FV(table1[[#This Row],[DataField]],"Price")</f>
        <v>60.95</v>
      </c>
      <c r="G21" s="2" cm="1">
        <f t="array" aca="1" ref="G21" ca="1">_FV(table1[[#This Row],[DataField]],"52 week low",TRUE)</f>
        <v>50.71</v>
      </c>
      <c r="H21" s="2" cm="1">
        <f t="array" aca="1" ref="H21" ca="1">_FV(table1[[#This Row],[DataField]],"52 week high",TRUE)</f>
        <v>67.935000000000002</v>
      </c>
      <c r="I21" s="4" cm="1">
        <f t="array" aca="1" ref="I21" ca="1">_FV(table1[[#This Row],[DataField]],"P/E",TRUE)</f>
        <v>52.3491</v>
      </c>
      <c r="J21" s="2" t="str">
        <f ca="1">IF(table1[[#This Row],[Price]] &lt; (table1[[#This Row],[52Low]] * 0.25) + table1[[#This Row],[52Low]],  "TRUE", "FALSE")</f>
        <v>TRUE</v>
      </c>
      <c r="K21" s="2" t="str">
        <f ca="1">IF(table1[[#This Row],[Price]] &lt; (table1[[#This Row],[52Low]] * 0.1) + table1[[#This Row],[52Low]],  "TRUE", "FALSE")</f>
        <v>FALSE</v>
      </c>
      <c r="L21" s="6" cm="1">
        <f t="array" aca="1" ref="L21" ca="1">_FV(table1[[#This Row],[DataField]],"Market cap",TRUE)</f>
        <v>56832230190</v>
      </c>
    </row>
    <row r="22" spans="1:12" x14ac:dyDescent="0.2">
      <c r="A22" t="e" vm="22">
        <v>#VALUE!</v>
      </c>
      <c r="B22" t="str" cm="1">
        <f t="array" aca="1" ref="B22" ca="1">_FV(table1[[#This Row],[DataField]],"Ticker symbol",TRUE)</f>
        <v>PEP</v>
      </c>
      <c r="C22">
        <v>0</v>
      </c>
      <c r="D22">
        <v>500</v>
      </c>
      <c r="E22">
        <v>10</v>
      </c>
      <c r="F22" s="2" cm="1">
        <f t="array" aca="1" ref="F22" ca="1">_FV(table1[[#This Row],[DataField]],"Price")</f>
        <v>150.04</v>
      </c>
      <c r="G22" s="2" cm="1">
        <f t="array" aca="1" ref="G22" ca="1">_FV(table1[[#This Row],[DataField]],"52 week low",TRUE)</f>
        <v>127.6</v>
      </c>
      <c r="H22" s="2" cm="1">
        <f t="array" aca="1" ref="H22" ca="1">_FV(table1[[#This Row],[DataField]],"52 week high",TRUE)</f>
        <v>171.48</v>
      </c>
      <c r="I22" s="4" cm="1">
        <f t="array" aca="1" ref="I22" ca="1">_FV(table1[[#This Row],[DataField]],"P/E",TRUE)</f>
        <v>25.450500000000002</v>
      </c>
      <c r="J22" s="2" t="str">
        <f ca="1">IF(table1[[#This Row],[Price]] &lt; (table1[[#This Row],[52Low]] * 0.25) + table1[[#This Row],[52Low]],  "TRUE", "FALSE")</f>
        <v>TRUE</v>
      </c>
      <c r="K22" s="2" t="str">
        <f ca="1">IF(table1[[#This Row],[Price]] &lt; (table1[[#This Row],[52Low]] * 0.1) + table1[[#This Row],[52Low]],  "TRUE", "FALSE")</f>
        <v>FALSE</v>
      </c>
      <c r="L22" s="6" cm="1">
        <f t="array" aca="1" ref="L22" ca="1">_FV(table1[[#This Row],[DataField]],"Market cap",TRUE)</f>
        <v>205052015960</v>
      </c>
    </row>
    <row r="23" spans="1:12" x14ac:dyDescent="0.2">
      <c r="A23" t="e" vm="23">
        <v>#VALUE!</v>
      </c>
      <c r="B23" t="str" cm="1">
        <f t="array" aca="1" ref="B23" ca="1">_FV(table1[[#This Row],[DataField]],"Ticker symbol",TRUE)</f>
        <v>SJM</v>
      </c>
      <c r="C23">
        <v>0</v>
      </c>
      <c r="D23" t="b">
        <v>0</v>
      </c>
      <c r="F23" s="2" cm="1">
        <f t="array" aca="1" ref="F23" ca="1">_FV(table1[[#This Row],[DataField]],"Price")</f>
        <v>99.37</v>
      </c>
      <c r="G23" s="2" cm="1">
        <f t="array" aca="1" ref="G23" ca="1">_FV(table1[[#This Row],[DataField]],"52 week low",TRUE)</f>
        <v>93.3</v>
      </c>
      <c r="H23" s="2" cm="1">
        <f t="array" aca="1" ref="H23" ca="1">_FV(table1[[#This Row],[DataField]],"52 week high",TRUE)</f>
        <v>120.76</v>
      </c>
      <c r="I23" s="4" t="e" cm="1" vm="16">
        <f t="array" ref="I23">_FV(table1[[#This Row],[DataField]],"P/E",TRUE)</f>
        <v>#VALUE!</v>
      </c>
      <c r="J23" s="2" t="str">
        <f ca="1">IF(table1[[#This Row],[Price]] &lt; (table1[[#This Row],[52Low]] * 0.25) + table1[[#This Row],[52Low]],  "TRUE", "FALSE")</f>
        <v>TRUE</v>
      </c>
      <c r="K23" s="2" t="str">
        <f ca="1">IF(table1[[#This Row],[Price]] &lt; (table1[[#This Row],[52Low]] * 0.1) + table1[[#This Row],[52Low]],  "TRUE", "FALSE")</f>
        <v>TRUE</v>
      </c>
      <c r="L23" s="6" cm="1">
        <f t="array" aca="1" ref="L23" ca="1">_FV(table1[[#This Row],[DataField]],"Market cap",TRUE)</f>
        <v>10597641571</v>
      </c>
    </row>
    <row r="24" spans="1:12" x14ac:dyDescent="0.2">
      <c r="A24" t="e" vm="24">
        <v>#VALUE!</v>
      </c>
      <c r="B24" t="str" cm="1">
        <f t="array" aca="1" ref="B24" ca="1">_FV(table1[[#This Row],[DataField]],"Ticker symbol",TRUE)</f>
        <v>SPG</v>
      </c>
      <c r="C24">
        <v>0</v>
      </c>
      <c r="D24" t="b">
        <v>1</v>
      </c>
      <c r="F24" s="2" cm="1">
        <f t="array" aca="1" ref="F24" ca="1">_FV(table1[[#This Row],[DataField]],"Price")</f>
        <v>184.52</v>
      </c>
      <c r="G24" s="2" cm="1">
        <f t="array" aca="1" ref="G24" ca="1">_FV(table1[[#This Row],[DataField]],"52 week low",TRUE)</f>
        <v>136.34</v>
      </c>
      <c r="H24" s="2" cm="1">
        <f t="array" aca="1" ref="H24" ca="1">_FV(table1[[#This Row],[DataField]],"52 week high",TRUE)</f>
        <v>205.11500000000001</v>
      </c>
      <c r="I24" s="4" cm="1">
        <f t="array" aca="1" ref="I24" ca="1">_FV(table1[[#This Row],[DataField]],"P/E",TRUE)</f>
        <v>13.018800000000001</v>
      </c>
      <c r="J24" s="2" t="str">
        <f ca="1">IF(table1[[#This Row],[Price]] &lt; (table1[[#This Row],[52Low]] * 0.25) + table1[[#This Row],[52Low]],  "TRUE", "FALSE")</f>
        <v>FALSE</v>
      </c>
      <c r="K24" s="2" t="str">
        <f ca="1">IF(table1[[#This Row],[Price]] &lt; (table1[[#This Row],[52Low]] * 0.1) + table1[[#This Row],[52Low]],  "TRUE", "FALSE")</f>
        <v>FALSE</v>
      </c>
      <c r="L24" s="6" cm="1">
        <f t="array" aca="1" ref="L24" ca="1">_FV(table1[[#This Row],[DataField]],"Market cap",TRUE)</f>
        <v>59960382916</v>
      </c>
    </row>
    <row r="25" spans="1:12" x14ac:dyDescent="0.2">
      <c r="A25" t="e" vm="25">
        <v>#VALUE!</v>
      </c>
      <c r="B25" t="str" cm="1">
        <f t="array" aca="1" ref="B25" ca="1">_FV(table1[[#This Row],[DataField]],"Ticker symbol",TRUE)</f>
        <v>T</v>
      </c>
      <c r="C25">
        <v>0</v>
      </c>
      <c r="D25" t="b">
        <v>1</v>
      </c>
      <c r="F25" s="2" cm="1">
        <f t="array" aca="1" ref="F25" ca="1">_FV(table1[[#This Row],[DataField]],"Price")</f>
        <v>28.31</v>
      </c>
      <c r="G25" s="2" cm="1">
        <f t="array" aca="1" ref="G25" ca="1">_FV(table1[[#This Row],[DataField]],"52 week low",TRUE)</f>
        <v>22.95</v>
      </c>
      <c r="H25" s="2" cm="1">
        <f t="array" aca="1" ref="H25" ca="1">_FV(table1[[#This Row],[DataField]],"52 week high",TRUE)</f>
        <v>29.79</v>
      </c>
      <c r="I25" s="4" cm="1">
        <f t="array" aca="1" ref="I25" ca="1">_FV(table1[[#This Row],[DataField]],"P/E",TRUE)</f>
        <v>9.2771000000000008</v>
      </c>
      <c r="J25" s="2" t="str">
        <f ca="1">IF(table1[[#This Row],[Price]] &lt; (table1[[#This Row],[52Low]] * 0.25) + table1[[#This Row],[52Low]],  "TRUE", "FALSE")</f>
        <v>TRUE</v>
      </c>
      <c r="K25" s="2" t="str">
        <f ca="1">IF(table1[[#This Row],[Price]] &lt; (table1[[#This Row],[52Low]] * 0.1) + table1[[#This Row],[52Low]],  "TRUE", "FALSE")</f>
        <v>FALSE</v>
      </c>
      <c r="L25" s="6" cm="1">
        <f t="array" aca="1" ref="L25" ca="1">_FV(table1[[#This Row],[DataField]],"Market cap",TRUE)</f>
        <v>198186334870</v>
      </c>
    </row>
    <row r="26" spans="1:12" x14ac:dyDescent="0.2">
      <c r="A26" t="e" vm="26">
        <v>#VALUE!</v>
      </c>
      <c r="B26" t="str" cm="1">
        <f t="array" aca="1" ref="B26" ca="1">_FV(table1[[#This Row],[DataField]],"Ticker symbol",TRUE)</f>
        <v>TROW</v>
      </c>
      <c r="C26">
        <v>0</v>
      </c>
      <c r="D26" t="b">
        <v>1</v>
      </c>
      <c r="F26" s="2" cm="1">
        <f t="array" aca="1" ref="F26" ca="1">_FV(table1[[#This Row],[DataField]],"Price")</f>
        <v>86.19</v>
      </c>
      <c r="G26" s="2" cm="1">
        <f t="array" aca="1" ref="G26" ca="1">_FV(table1[[#This Row],[DataField]],"52 week low",TRUE)</f>
        <v>77.849999999999994</v>
      </c>
      <c r="H26" s="2" cm="1">
        <f t="array" aca="1" ref="H26" ca="1">_FV(table1[[#This Row],[DataField]],"52 week high",TRUE)</f>
        <v>118.22</v>
      </c>
      <c r="I26" s="4" cm="1">
        <f t="array" aca="1" ref="I26" ca="1">_FV(table1[[#This Row],[DataField]],"P/E",TRUE)</f>
        <v>9.3231000000000002</v>
      </c>
      <c r="J26" s="2" t="str">
        <f ca="1">IF(table1[[#This Row],[Price]] &lt; (table1[[#This Row],[52Low]] * 0.25) + table1[[#This Row],[52Low]],  "TRUE", "FALSE")</f>
        <v>TRUE</v>
      </c>
      <c r="K26" s="2" t="str">
        <f ca="1">IF(table1[[#This Row],[Price]] &lt; (table1[[#This Row],[52Low]] * 0.1) + table1[[#This Row],[52Low]],  "TRUE", "FALSE")</f>
        <v>FALSE</v>
      </c>
      <c r="L26" s="6" cm="1">
        <f t="array" aca="1" ref="L26" ca="1">_FV(table1[[#This Row],[DataField]],"Market cap",TRUE)</f>
        <v>18755452521</v>
      </c>
    </row>
    <row r="27" spans="1:12" x14ac:dyDescent="0.2">
      <c r="A27" t="e" vm="27">
        <v>#VALUE!</v>
      </c>
      <c r="B27" t="str" cm="1">
        <f t="array" aca="1" ref="B27" ca="1">_FV(table1[[#This Row],[DataField]],"Ticker symbol",TRUE)</f>
        <v>TSN</v>
      </c>
      <c r="C27">
        <v>0</v>
      </c>
      <c r="D27" t="b">
        <v>1</v>
      </c>
      <c r="F27" s="2" cm="1">
        <f t="array" aca="1" ref="F27" ca="1">_FV(table1[[#This Row],[DataField]],"Price")</f>
        <v>58.18</v>
      </c>
      <c r="G27" s="2" cm="1">
        <f t="array" aca="1" ref="G27" ca="1">_FV(table1[[#This Row],[DataField]],"52 week low",TRUE)</f>
        <v>50.56</v>
      </c>
      <c r="H27" s="2" cm="1">
        <f t="array" aca="1" ref="H27" ca="1">_FV(table1[[#This Row],[DataField]],"52 week high",TRUE)</f>
        <v>66.41</v>
      </c>
      <c r="I27" s="4" cm="1">
        <f t="array" aca="1" ref="I27" ca="1">_FV(table1[[#This Row],[DataField]],"P/E",TRUE)</f>
        <v>103.672</v>
      </c>
      <c r="J27" s="2" t="str">
        <f ca="1">IF(table1[[#This Row],[Price]] &lt; (table1[[#This Row],[52Low]] * 0.25) + table1[[#This Row],[52Low]],  "TRUE", "FALSE")</f>
        <v>TRUE</v>
      </c>
      <c r="K27" s="2" t="str">
        <f ca="1">IF(table1[[#This Row],[Price]] &lt; (table1[[#This Row],[52Low]] * 0.1) + table1[[#This Row],[52Low]],  "TRUE", "FALSE")</f>
        <v>FALSE</v>
      </c>
      <c r="L27" s="6" cm="1">
        <f t="array" aca="1" ref="L27" ca="1">_FV(table1[[#This Row],[DataField]],"Market cap",TRUE)</f>
        <v>20483956220</v>
      </c>
    </row>
    <row r="28" spans="1:12" x14ac:dyDescent="0.2">
      <c r="A28" t="e" vm="28">
        <v>#VALUE!</v>
      </c>
      <c r="B28" t="str" cm="1">
        <f t="array" aca="1" ref="B28" ca="1">_FV(table1[[#This Row],[DataField]],"Ticker symbol",TRUE)</f>
        <v>TXN</v>
      </c>
      <c r="C28">
        <v>0</v>
      </c>
      <c r="D28" t="b">
        <v>1</v>
      </c>
      <c r="E28">
        <v>2</v>
      </c>
      <c r="F28" s="2" cm="1">
        <f t="array" aca="1" ref="F28" ca="1">_FV(table1[[#This Row],[DataField]],"Price")</f>
        <v>187.19</v>
      </c>
      <c r="G28" s="2" cm="1">
        <f t="array" aca="1" ref="G28" ca="1">_FV(table1[[#This Row],[DataField]],"52 week low",TRUE)</f>
        <v>139.94999999999999</v>
      </c>
      <c r="H28" s="2" cm="1">
        <f t="array" aca="1" ref="H28" ca="1">_FV(table1[[#This Row],[DataField]],"52 week high",TRUE)</f>
        <v>231.32</v>
      </c>
      <c r="I28" s="4" cm="1">
        <f t="array" aca="1" ref="I28" ca="1">_FV(table1[[#This Row],[DataField]],"P/E",TRUE)</f>
        <v>34.158099999999997</v>
      </c>
      <c r="J28" s="2" t="str">
        <f ca="1">IF(table1[[#This Row],[Price]] &lt; (table1[[#This Row],[52Low]] * 0.25) + table1[[#This Row],[52Low]],  "TRUE", "FALSE")</f>
        <v>FALSE</v>
      </c>
      <c r="K28" s="2" t="str">
        <f ca="1">IF(table1[[#This Row],[Price]] &lt; (table1[[#This Row],[52Low]] * 0.1) + table1[[#This Row],[52Low]],  "TRUE", "FALSE")</f>
        <v>FALSE</v>
      </c>
      <c r="L28" s="6" cm="1">
        <f t="array" aca="1" ref="L28" ca="1">_FV(table1[[#This Row],[DataField]],"Market cap",TRUE)</f>
        <v>170429643846</v>
      </c>
    </row>
    <row r="29" spans="1:12" x14ac:dyDescent="0.2">
      <c r="A29" t="e" vm="29">
        <v>#VALUE!</v>
      </c>
      <c r="B29" t="str" cm="1">
        <f t="array" aca="1" ref="B29" ca="1">_FV(table1[[#This Row],[DataField]],"Ticker symbol",TRUE)</f>
        <v>UNH</v>
      </c>
      <c r="C29">
        <v>0</v>
      </c>
      <c r="D29">
        <v>500</v>
      </c>
      <c r="F29" s="2" cm="1">
        <f t="array" aca="1" ref="F29" ca="1">_FV(table1[[#This Row],[DataField]],"Price")</f>
        <v>275.58999999999997</v>
      </c>
      <c r="G29" s="2" cm="1">
        <f t="array" aca="1" ref="G29" ca="1">_FV(table1[[#This Row],[DataField]],"52 week low",TRUE)</f>
        <v>234.6</v>
      </c>
      <c r="H29" s="2" cm="1">
        <f t="array" aca="1" ref="H29" ca="1">_FV(table1[[#This Row],[DataField]],"52 week high",TRUE)</f>
        <v>606.36</v>
      </c>
      <c r="I29" s="4" cm="1">
        <f t="array" aca="1" ref="I29" ca="1">_FV(table1[[#This Row],[DataField]],"P/E",TRUE)</f>
        <v>20.887799999999999</v>
      </c>
      <c r="J29" s="2" t="str">
        <f ca="1">IF(table1[[#This Row],[Price]] &lt; (table1[[#This Row],[52Low]] * 0.25) + table1[[#This Row],[52Low]],  "TRUE", "FALSE")</f>
        <v>TRUE</v>
      </c>
      <c r="K29" s="2" t="str">
        <f ca="1">IF(table1[[#This Row],[Price]] &lt; (table1[[#This Row],[52Low]] * 0.1) + table1[[#This Row],[52Low]],  "TRUE", "FALSE")</f>
        <v>FALSE</v>
      </c>
      <c r="L29" s="6" cm="1">
        <f t="array" aca="1" ref="L29" ca="1">_FV(table1[[#This Row],[DataField]],"Market cap",TRUE)</f>
        <v>250146373721</v>
      </c>
    </row>
    <row r="30" spans="1:12" x14ac:dyDescent="0.2">
      <c r="A30" t="e" vm="30">
        <v>#VALUE!</v>
      </c>
      <c r="B30" t="str" cm="1">
        <f t="array" aca="1" ref="B30" ca="1">_FV(table1[[#This Row],[DataField]],"Ticker symbol",TRUE)</f>
        <v>UPS</v>
      </c>
      <c r="C30">
        <v>0</v>
      </c>
      <c r="D30">
        <v>500</v>
      </c>
      <c r="F30" s="2" cm="1">
        <f t="array" aca="1" ref="F30" ca="1">_FV(table1[[#This Row],[DataField]],"Price")</f>
        <v>95.86</v>
      </c>
      <c r="G30" s="2" cm="1">
        <f t="array" aca="1" ref="G30" ca="1">_FV(table1[[#This Row],[DataField]],"52 week low",TRUE)</f>
        <v>82</v>
      </c>
      <c r="H30" s="2" cm="1">
        <f t="array" aca="1" ref="H30" ca="1">_FV(table1[[#This Row],[DataField]],"52 week high",TRUE)</f>
        <v>122.41</v>
      </c>
      <c r="I30" s="4" cm="1">
        <f t="array" aca="1" ref="I30" ca="1">_FV(table1[[#This Row],[DataField]],"P/E",TRUE)</f>
        <v>14.6119</v>
      </c>
      <c r="J30" s="2" t="str">
        <f ca="1">IF(table1[[#This Row],[Price]] &lt; (table1[[#This Row],[52Low]] * 0.25) + table1[[#This Row],[52Low]],  "TRUE", "FALSE")</f>
        <v>TRUE</v>
      </c>
      <c r="K30" s="2" t="str">
        <f ca="1">IF(table1[[#This Row],[Price]] &lt; (table1[[#This Row],[52Low]] * 0.1) + table1[[#This Row],[52Low]],  "TRUE", "FALSE")</f>
        <v>FALSE</v>
      </c>
      <c r="L30" s="6" cm="1">
        <f t="array" aca="1" ref="L30" ca="1">_FV(table1[[#This Row],[DataField]],"Market cap",TRUE)</f>
        <v>81394888962</v>
      </c>
    </row>
    <row r="31" spans="1:12" x14ac:dyDescent="0.2">
      <c r="A31" t="e" vm="31">
        <v>#VALUE!</v>
      </c>
      <c r="B31" t="str" cm="1">
        <f t="array" aca="1" ref="B31" ca="1">_FV(table1[[#This Row],[DataField]],"Ticker symbol",TRUE)</f>
        <v>VZ</v>
      </c>
      <c r="C31">
        <v>0</v>
      </c>
      <c r="D31">
        <v>500</v>
      </c>
      <c r="F31" s="2" cm="1">
        <f t="array" aca="1" ref="F31" ca="1">_FV(table1[[#This Row],[DataField]],"Price")</f>
        <v>49.98</v>
      </c>
      <c r="G31" s="2" cm="1">
        <f t="array" aca="1" ref="G31" ca="1">_FV(table1[[#This Row],[DataField]],"52 week low",TRUE)</f>
        <v>38.39</v>
      </c>
      <c r="H31" s="2" cm="1">
        <f t="array" aca="1" ref="H31" ca="1">_FV(table1[[#This Row],[DataField]],"52 week high",TRUE)</f>
        <v>51.664999999999999</v>
      </c>
      <c r="I31" s="4" cm="1">
        <f t="array" aca="1" ref="I31" ca="1">_FV(table1[[#This Row],[DataField]],"P/E",TRUE)</f>
        <v>12.3103</v>
      </c>
      <c r="J31" s="2" t="str">
        <f ca="1">IF(table1[[#This Row],[Price]] &lt; (table1[[#This Row],[52Low]] * 0.25) + table1[[#This Row],[52Low]],  "TRUE", "FALSE")</f>
        <v>FALSE</v>
      </c>
      <c r="K31" s="2" t="str">
        <f ca="1">IF(table1[[#This Row],[Price]] &lt; (table1[[#This Row],[52Low]] * 0.1) + table1[[#This Row],[52Low]],  "TRUE", "FALSE")</f>
        <v>FALSE</v>
      </c>
      <c r="L31" s="6" cm="1">
        <f t="array" aca="1" ref="L31" ca="1">_FV(table1[[#This Row],[DataField]],"Market cap",TRUE)</f>
        <v>210799846320</v>
      </c>
    </row>
    <row r="32" spans="1:12" x14ac:dyDescent="0.2">
      <c r="A32" t="e" vm="32">
        <v>#VALUE!</v>
      </c>
      <c r="B32" t="str" cm="1">
        <f t="array" aca="1" ref="B32" ca="1">_FV(table1[[#This Row],[DataField]],"Ticker symbol",TRUE)</f>
        <v>KMB</v>
      </c>
      <c r="C32">
        <v>1</v>
      </c>
      <c r="D32">
        <v>500</v>
      </c>
      <c r="F32" s="2" cm="1">
        <f t="array" aca="1" ref="F32" ca="1">_FV(table1[[#This Row],[DataField]],"Price")</f>
        <v>98.2</v>
      </c>
      <c r="G32" s="2" cm="1">
        <f t="array" aca="1" ref="G32" ca="1">_FV(table1[[#This Row],[DataField]],"52 week low",TRUE)</f>
        <v>96.26</v>
      </c>
      <c r="H32" s="2" cm="1">
        <f t="array" aca="1" ref="H32" ca="1">_FV(table1[[#This Row],[DataField]],"52 week high",TRUE)</f>
        <v>147.12</v>
      </c>
      <c r="I32" s="4" cm="1">
        <f t="array" aca="1" ref="I32" ca="1">_FV(table1[[#This Row],[DataField]],"P/E",TRUE)</f>
        <v>20.101099999999999</v>
      </c>
      <c r="J32" s="2" t="str">
        <f ca="1">IF(table1[[#This Row],[Price]] &lt; (table1[[#This Row],[52Low]] * 0.25) + table1[[#This Row],[52Low]],  "TRUE", "FALSE")</f>
        <v>TRUE</v>
      </c>
      <c r="K32" s="2" t="str">
        <f ca="1">IF(table1[[#This Row],[Price]] &lt; (table1[[#This Row],[52Low]] * 0.1) + table1[[#This Row],[52Low]],  "TRUE", "FALSE")</f>
        <v>TRUE</v>
      </c>
      <c r="L32" s="6" cm="1">
        <f t="array" aca="1" ref="L32" ca="1">_FV(table1[[#This Row],[DataField]],"Market cap",TRUE)</f>
        <v>32594779680</v>
      </c>
    </row>
    <row r="33" spans="1:12" x14ac:dyDescent="0.2">
      <c r="A33" t="e" vm="33">
        <v>#VALUE!</v>
      </c>
      <c r="B33" t="str" cm="1">
        <f t="array" aca="1" ref="B33" ca="1">_FV(table1[[#This Row],[DataField]],"Ticker symbol",TRUE)</f>
        <v>MCD</v>
      </c>
      <c r="C33">
        <v>1</v>
      </c>
      <c r="D33" t="b">
        <v>1</v>
      </c>
      <c r="F33" s="2" cm="1">
        <f t="array" aca="1" ref="F33" ca="1">_FV(table1[[#This Row],[DataField]],"Price")</f>
        <v>308.85000000000002</v>
      </c>
      <c r="G33" s="2" cm="1">
        <f t="array" aca="1" ref="G33" ca="1">_FV(table1[[#This Row],[DataField]],"52 week low",TRUE)</f>
        <v>283.47000000000003</v>
      </c>
      <c r="H33" s="2" cm="1">
        <f t="array" aca="1" ref="H33" ca="1">_FV(table1[[#This Row],[DataField]],"52 week high",TRUE)</f>
        <v>341.75</v>
      </c>
      <c r="I33" s="4" cm="1">
        <f t="array" aca="1" ref="I33" ca="1">_FV(table1[[#This Row],[DataField]],"P/E",TRUE)</f>
        <v>25.837800000000001</v>
      </c>
      <c r="J33" s="2" t="str">
        <f ca="1">IF(table1[[#This Row],[Price]] &lt; (table1[[#This Row],[52Low]] * 0.25) + table1[[#This Row],[52Low]],  "TRUE", "FALSE")</f>
        <v>TRUE</v>
      </c>
      <c r="K33" s="2" t="str">
        <f ca="1">IF(table1[[#This Row],[Price]] &lt; (table1[[#This Row],[52Low]] * 0.1) + table1[[#This Row],[52Low]],  "TRUE", "FALSE")</f>
        <v>TRUE</v>
      </c>
      <c r="L33" s="6" cm="1">
        <f t="array" aca="1" ref="L33" ca="1">_FV(table1[[#This Row],[DataField]],"Market cap",TRUE)</f>
        <v>219406607610</v>
      </c>
    </row>
    <row r="34" spans="1:12" x14ac:dyDescent="0.2">
      <c r="A34" t="e" vm="34">
        <v>#VALUE!</v>
      </c>
      <c r="B34" t="str" cm="1">
        <f t="array" aca="1" ref="B34" ca="1">_FV(table1[[#This Row],[DataField]],"Ticker symbol",TRUE)</f>
        <v>LRCX</v>
      </c>
      <c r="C34">
        <v>1</v>
      </c>
      <c r="D34" t="b">
        <v>1</v>
      </c>
      <c r="E34">
        <v>2</v>
      </c>
      <c r="F34" s="2" cm="1">
        <f t="array" aca="1" ref="F34" ca="1">_FV(table1[[#This Row],[DataField]],"Price")</f>
        <v>228.36</v>
      </c>
      <c r="G34" s="2" cm="1">
        <f t="array" aca="1" ref="G34" ca="1">_FV(table1[[#This Row],[DataField]],"52 week low",TRUE)</f>
        <v>56.32</v>
      </c>
      <c r="H34" s="2" cm="1">
        <f t="array" aca="1" ref="H34" ca="1">_FV(table1[[#This Row],[DataField]],"52 week high",TRUE)</f>
        <v>256.68</v>
      </c>
      <c r="I34" s="4" cm="1">
        <f t="array" aca="1" ref="I34" ca="1">_FV(table1[[#This Row],[DataField]],"P/E",TRUE)</f>
        <v>47.956000000000003</v>
      </c>
      <c r="J34" s="2" t="str">
        <f ca="1">IF(table1[[#This Row],[Price]] &lt; (table1[[#This Row],[52Low]] * 0.25) + table1[[#This Row],[52Low]],  "TRUE", "FALSE")</f>
        <v>FALSE</v>
      </c>
      <c r="K34" s="2" t="str">
        <f ca="1">IF(table1[[#This Row],[Price]] &lt; (table1[[#This Row],[52Low]] * 0.1) + table1[[#This Row],[52Low]],  "TRUE", "FALSE")</f>
        <v>FALSE</v>
      </c>
      <c r="L34" s="6" cm="1">
        <f t="array" aca="1" ref="L34" ca="1">_FV(table1[[#This Row],[DataField]],"Market cap",TRUE)</f>
        <v>285169345560</v>
      </c>
    </row>
    <row r="35" spans="1:12" x14ac:dyDescent="0.2">
      <c r="A35" t="e" vm="35">
        <v>#VALUE!</v>
      </c>
      <c r="B35" t="str" cm="1">
        <f t="array" aca="1" ref="B35" ca="1">_FV(table1[[#This Row],[DataField]],"Ticker symbol",TRUE)</f>
        <v>LOW</v>
      </c>
      <c r="C35">
        <v>0</v>
      </c>
      <c r="D35" t="b">
        <v>1</v>
      </c>
      <c r="F35" s="2" cm="1">
        <f t="array" aca="1" ref="F35" ca="1">_FV(table1[[#This Row],[DataField]],"Price")</f>
        <v>224.63</v>
      </c>
      <c r="G35" s="2" cm="1">
        <f t="array" aca="1" ref="G35" ca="1">_FV(table1[[#This Row],[DataField]],"52 week low",TRUE)</f>
        <v>206.38499999999999</v>
      </c>
      <c r="H35" s="2" cm="1">
        <f t="array" aca="1" ref="H35" ca="1">_FV(table1[[#This Row],[DataField]],"52 week high",TRUE)</f>
        <v>293.06</v>
      </c>
      <c r="I35" s="4" cm="1">
        <f t="array" aca="1" ref="I35" ca="1">_FV(table1[[#This Row],[DataField]],"P/E",TRUE)</f>
        <v>18.961200000000002</v>
      </c>
      <c r="J35" s="2" t="str">
        <f ca="1">IF(table1[[#This Row],[Price]] &lt; (table1[[#This Row],[52Low]] * 0.25) + table1[[#This Row],[52Low]],  "TRUE", "FALSE")</f>
        <v>TRUE</v>
      </c>
      <c r="K35" s="2" t="str">
        <f ca="1">IF(table1[[#This Row],[Price]] &lt; (table1[[#This Row],[52Low]] * 0.1) + table1[[#This Row],[52Low]],  "TRUE", "FALSE")</f>
        <v>TRUE</v>
      </c>
      <c r="L35" s="6" cm="1">
        <f t="array" aca="1" ref="L35" ca="1">_FV(table1[[#This Row],[DataField]],"Market cap",TRUE)</f>
        <v>126017430000</v>
      </c>
    </row>
    <row r="36" spans="1:12" x14ac:dyDescent="0.2">
      <c r="A36" t="e" vm="36">
        <v>#VALUE!</v>
      </c>
      <c r="B36" t="str" cm="1">
        <f t="array" aca="1" ref="B36" ca="1">_FV(table1[[#This Row],[DataField]],"Ticker symbol",TRUE)</f>
        <v>LMT</v>
      </c>
      <c r="C36">
        <v>0</v>
      </c>
      <c r="D36" t="b">
        <v>1</v>
      </c>
      <c r="F36" s="2" cm="1">
        <f t="array" aca="1" ref="F36" ca="1">_FV(table1[[#This Row],[DataField]],"Price")</f>
        <v>627.42999999999995</v>
      </c>
      <c r="G36" s="2" cm="1">
        <f t="array" aca="1" ref="G36" ca="1">_FV(table1[[#This Row],[DataField]],"52 week low",TRUE)</f>
        <v>410.11</v>
      </c>
      <c r="H36" s="2" cm="1">
        <f t="array" aca="1" ref="H36" ca="1">_FV(table1[[#This Row],[DataField]],"52 week high",TRUE)</f>
        <v>692</v>
      </c>
      <c r="I36" s="4" cm="1">
        <f t="array" aca="1" ref="I36" ca="1">_FV(table1[[#This Row],[DataField]],"P/E",TRUE)</f>
        <v>29.6708</v>
      </c>
      <c r="J36" s="2" t="str">
        <f ca="1">IF(table1[[#This Row],[Price]] &lt; (table1[[#This Row],[52Low]] * 0.25) + table1[[#This Row],[52Low]],  "TRUE", "FALSE")</f>
        <v>FALSE</v>
      </c>
      <c r="K36" s="2" t="str">
        <f ca="1">IF(table1[[#This Row],[Price]] &lt; (table1[[#This Row],[52Low]] * 0.1) + table1[[#This Row],[52Low]],  "TRUE", "FALSE")</f>
        <v>FALSE</v>
      </c>
      <c r="L36" s="6" cm="1">
        <f t="array" aca="1" ref="L36" ca="1">_FV(table1[[#This Row],[DataField]],"Market cap",TRUE)</f>
        <v>144359219886</v>
      </c>
    </row>
    <row r="37" spans="1:12" x14ac:dyDescent="0.2">
      <c r="A37" t="e" vm="37">
        <v>#VALUE!</v>
      </c>
      <c r="B37" t="str" cm="1">
        <f t="array" aca="1" ref="B37" ca="1">_FV(table1[[#This Row],[DataField]],"Ticker symbol",TRUE)</f>
        <v>ABBV</v>
      </c>
      <c r="F37" s="2" cm="1">
        <f t="array" aca="1" ref="F37" ca="1">_FV(table1[[#This Row],[DataField]],"Price")</f>
        <v>205.07</v>
      </c>
      <c r="G37" s="2" cm="1">
        <f t="array" aca="1" ref="G37" ca="1">_FV(table1[[#This Row],[DataField]],"52 week low",TRUE)</f>
        <v>164.39</v>
      </c>
      <c r="H37" s="2" cm="1">
        <f t="array" aca="1" ref="H37" ca="1">_FV(table1[[#This Row],[DataField]],"52 week high",TRUE)</f>
        <v>244.81</v>
      </c>
      <c r="I37" s="4" cm="1">
        <f t="array" aca="1" ref="I37" ca="1">_FV(table1[[#This Row],[DataField]],"P/E",TRUE)</f>
        <v>87.374499999999998</v>
      </c>
      <c r="J37" s="2" t="str">
        <f ca="1">IF(table1[[#This Row],[Price]] &lt; (table1[[#This Row],[52Low]] * 0.25) + table1[[#This Row],[52Low]],  "TRUE", "FALSE")</f>
        <v>TRUE</v>
      </c>
      <c r="K37" s="2" t="str">
        <f ca="1">IF(table1[[#This Row],[Price]] &lt; (table1[[#This Row],[52Low]] * 0.1) + table1[[#This Row],[52Low]],  "TRUE", "FALSE")</f>
        <v>FALSE</v>
      </c>
      <c r="L37" s="6" cm="1">
        <f t="array" aca="1" ref="L37" ca="1">_FV(table1[[#This Row],[DataField]],"Market cap",TRUE)</f>
        <v>362598416830</v>
      </c>
    </row>
    <row r="38" spans="1:12" x14ac:dyDescent="0.2">
      <c r="A38" t="e" vm="38">
        <v>#VALUE!</v>
      </c>
      <c r="B38" t="str" cm="1">
        <f t="array" aca="1" ref="B38" ca="1">_FV(table1[[#This Row],[DataField]],"Ticker symbol",TRUE)</f>
        <v>ADP</v>
      </c>
      <c r="F38" s="2" cm="1">
        <f t="array" aca="1" ref="F38" ca="1">_FV(table1[[#This Row],[DataField]],"Price")</f>
        <v>208.69</v>
      </c>
      <c r="G38" s="2" cm="1">
        <f t="array" aca="1" ref="G38" ca="1">_FV(table1[[#This Row],[DataField]],"52 week low",TRUE)</f>
        <v>203.26</v>
      </c>
      <c r="H38" s="2" cm="1">
        <f t="array" aca="1" ref="H38" ca="1">_FV(table1[[#This Row],[DataField]],"52 week high",TRUE)</f>
        <v>329.92950000000002</v>
      </c>
      <c r="I38" s="4" cm="1">
        <f t="array" aca="1" ref="I38" ca="1">_FV(table1[[#This Row],[DataField]],"P/E",TRUE)</f>
        <v>20.047499999999999</v>
      </c>
      <c r="J38" s="2" t="str">
        <f ca="1">IF(table1[[#This Row],[Price]] &lt; (table1[[#This Row],[52Low]] * 0.25) + table1[[#This Row],[52Low]],  "TRUE", "FALSE")</f>
        <v>TRUE</v>
      </c>
      <c r="K38" s="2" t="str">
        <f ca="1">IF(table1[[#This Row],[Price]] &lt; (table1[[#This Row],[52Low]] * 0.1) + table1[[#This Row],[52Low]],  "TRUE", "FALSE")</f>
        <v>TRUE</v>
      </c>
      <c r="L38" s="6" cm="1">
        <f t="array" aca="1" ref="L38" ca="1">_FV(table1[[#This Row],[DataField]],"Market cap",TRUE)</f>
        <v>84027838967</v>
      </c>
    </row>
    <row r="39" spans="1:12" x14ac:dyDescent="0.2">
      <c r="A39" t="e" vm="39">
        <v>#VALUE!</v>
      </c>
      <c r="B39" t="str" cm="1">
        <f t="array" aca="1" ref="B39" ca="1">_FV(table1[[#This Row],[DataField]],"Ticker symbol",TRUE)</f>
        <v>AMD</v>
      </c>
      <c r="E39">
        <v>2</v>
      </c>
      <c r="F39" s="2" cm="1">
        <f t="array" aca="1" ref="F39" ca="1">_FV(table1[[#This Row],[DataField]],"Price")</f>
        <v>201.33</v>
      </c>
      <c r="G39" s="2" cm="1">
        <f t="array" aca="1" ref="G39" ca="1">_FV(table1[[#This Row],[DataField]],"52 week low",TRUE)</f>
        <v>76.48</v>
      </c>
      <c r="H39" s="2" cm="1">
        <f t="array" aca="1" ref="H39" ca="1">_FV(table1[[#This Row],[DataField]],"52 week high",TRUE)</f>
        <v>267.07990000000001</v>
      </c>
      <c r="I39" s="4" cm="1">
        <f t="array" aca="1" ref="I39" ca="1">_FV(table1[[#This Row],[DataField]],"P/E",TRUE)</f>
        <v>77.303799999999995</v>
      </c>
      <c r="J39" s="2" t="str">
        <f ca="1">IF(table1[[#This Row],[Price]] &lt; (table1[[#This Row],[52Low]] * 0.25) + table1[[#This Row],[52Low]],  "TRUE", "FALSE")</f>
        <v>FALSE</v>
      </c>
      <c r="K39" s="2" t="str">
        <f ca="1">IF(table1[[#This Row],[Price]] &lt; (table1[[#This Row],[52Low]] * 0.1) + table1[[#This Row],[52Low]],  "TRUE", "FALSE")</f>
        <v>FALSE</v>
      </c>
      <c r="L39" s="6" cm="1">
        <f t="array" aca="1" ref="L39" ca="1">_FV(table1[[#This Row],[DataField]],"Market cap",TRUE)</f>
        <v>328250646630</v>
      </c>
    </row>
    <row r="40" spans="1:12" x14ac:dyDescent="0.2">
      <c r="A40" t="e" vm="40">
        <v>#VALUE!</v>
      </c>
      <c r="B40" t="str" cm="1">
        <f t="array" aca="1" ref="B40" ca="1">_FV(table1[[#This Row],[DataField]],"Ticker symbol",TRUE)</f>
        <v>AMT</v>
      </c>
      <c r="F40" s="2" cm="1">
        <f t="array" aca="1" ref="F40" ca="1">_FV(table1[[#This Row],[DataField]],"Price")</f>
        <v>176.79</v>
      </c>
      <c r="G40" s="2" cm="1">
        <f t="array" aca="1" ref="G40" ca="1">_FV(table1[[#This Row],[DataField]],"52 week low",TRUE)</f>
        <v>166.88</v>
      </c>
      <c r="H40" s="2" cm="1">
        <f t="array" aca="1" ref="H40" ca="1">_FV(table1[[#This Row],[DataField]],"52 week high",TRUE)</f>
        <v>234.33</v>
      </c>
      <c r="I40" s="4" cm="1">
        <f t="array" aca="1" ref="I40" ca="1">_FV(table1[[#This Row],[DataField]],"P/E",TRUE)</f>
        <v>32.758899999999997</v>
      </c>
      <c r="J40" s="2" t="str">
        <f ca="1">IF(table1[[#This Row],[Price]] &lt; (table1[[#This Row],[52Low]] * 0.25) + table1[[#This Row],[52Low]],  "TRUE", "FALSE")</f>
        <v>TRUE</v>
      </c>
      <c r="K40" s="2" t="str">
        <f ca="1">IF(table1[[#This Row],[Price]] &lt; (table1[[#This Row],[52Low]] * 0.1) + table1[[#This Row],[52Low]],  "TRUE", "FALSE")</f>
        <v>TRUE</v>
      </c>
      <c r="L40" s="6" cm="1">
        <f t="array" aca="1" ref="L40" ca="1">_FV(table1[[#This Row],[DataField]],"Market cap",TRUE)</f>
        <v>82399131792</v>
      </c>
    </row>
    <row r="41" spans="1:12" x14ac:dyDescent="0.2">
      <c r="A41" t="e" vm="41">
        <v>#VALUE!</v>
      </c>
      <c r="B41" t="str" cm="1">
        <f t="array" aca="1" ref="B41" ca="1">_FV(table1[[#This Row],[DataField]],"Ticker symbol",TRUE)</f>
        <v>AOS</v>
      </c>
      <c r="F41" s="2" cm="1">
        <f t="array" aca="1" ref="F41" ca="1">_FV(table1[[#This Row],[DataField]],"Price")</f>
        <v>64.09</v>
      </c>
      <c r="G41" s="2" cm="1">
        <f t="array" aca="1" ref="G41" ca="1">_FV(table1[[#This Row],[DataField]],"52 week low",TRUE)</f>
        <v>58.83</v>
      </c>
      <c r="H41" s="2" cm="1">
        <f t="array" aca="1" ref="H41" ca="1">_FV(table1[[#This Row],[DataField]],"52 week high",TRUE)</f>
        <v>81.864999999999995</v>
      </c>
      <c r="I41" s="4" cm="1">
        <f t="array" aca="1" ref="I41" ca="1">_FV(table1[[#This Row],[DataField]],"P/E",TRUE)</f>
        <v>16.6584</v>
      </c>
      <c r="J41" s="2" t="str">
        <f ca="1">IF(table1[[#This Row],[Price]] &lt; (table1[[#This Row],[52Low]] * 0.25) + table1[[#This Row],[52Low]],  "TRUE", "FALSE")</f>
        <v>TRUE</v>
      </c>
      <c r="K41" s="2" t="str">
        <f ca="1">IF(table1[[#This Row],[Price]] &lt; (table1[[#This Row],[52Low]] * 0.1) + table1[[#This Row],[52Low]],  "TRUE", "FALSE")</f>
        <v>TRUE</v>
      </c>
      <c r="L41" s="6" cm="1">
        <f t="array" aca="1" ref="L41" ca="1">_FV(table1[[#This Row],[DataField]],"Market cap",TRUE)</f>
        <v>8859788782</v>
      </c>
    </row>
    <row r="42" spans="1:12" x14ac:dyDescent="0.2">
      <c r="A42" t="e" vm="42">
        <v>#VALUE!</v>
      </c>
      <c r="B42" t="str" cm="1">
        <f t="array" aca="1" ref="B42" ca="1">_FV(table1[[#This Row],[DataField]],"Ticker symbol",TRUE)</f>
        <v>ASML</v>
      </c>
      <c r="E42">
        <v>2</v>
      </c>
      <c r="F42" s="2" cm="1">
        <f t="array" aca="1" ref="F42" ca="1">_FV(table1[[#This Row],[DataField]],"Price")</f>
        <v>1317.25</v>
      </c>
      <c r="G42" s="2" cm="1">
        <f t="array" aca="1" ref="G42" ca="1">_FV(table1[[#This Row],[DataField]],"52 week low",TRUE)</f>
        <v>578.51</v>
      </c>
      <c r="H42" s="2" cm="1">
        <f t="array" aca="1" ref="H42" ca="1">_FV(table1[[#This Row],[DataField]],"52 week high",TRUE)</f>
        <v>1547.22</v>
      </c>
      <c r="I42" s="4" cm="1">
        <f t="array" aca="1" ref="I42" ca="1">_FV(table1[[#This Row],[DataField]],"P/E",TRUE)</f>
        <v>45.381700000000002</v>
      </c>
      <c r="J42" s="2" t="str">
        <f ca="1">IF(table1[[#This Row],[Price]] &lt; (table1[[#This Row],[52Low]] * 0.25) + table1[[#This Row],[52Low]],  "TRUE", "FALSE")</f>
        <v>FALSE</v>
      </c>
      <c r="K42" s="2" t="str">
        <f ca="1">IF(table1[[#This Row],[Price]] &lt; (table1[[#This Row],[52Low]] * 0.1) + table1[[#This Row],[52Low]],  "TRUE", "FALSE")</f>
        <v>FALSE</v>
      </c>
      <c r="L42" s="6" cm="1">
        <f t="array" aca="1" ref="L42" ca="1">_FV(table1[[#This Row],[DataField]],"Market cap",TRUE)</f>
        <v>533920450212</v>
      </c>
    </row>
    <row r="43" spans="1:12" x14ac:dyDescent="0.2">
      <c r="A43" t="e" vm="43">
        <v>#VALUE!</v>
      </c>
      <c r="B43" t="str" cm="1">
        <f t="array" aca="1" ref="B43" ca="1">_FV(table1[[#This Row],[DataField]],"Ticker symbol",TRUE)</f>
        <v>AVGO</v>
      </c>
      <c r="F43" s="2" cm="1">
        <f t="array" aca="1" ref="F43" ca="1">_FV(table1[[#This Row],[DataField]],"Price")</f>
        <v>310.51</v>
      </c>
      <c r="G43" s="2" cm="1">
        <f t="array" aca="1" ref="G43" ca="1">_FV(table1[[#This Row],[DataField]],"52 week low",TRUE)</f>
        <v>138.1</v>
      </c>
      <c r="H43" s="2" cm="1">
        <f t="array" aca="1" ref="H43" ca="1">_FV(table1[[#This Row],[DataField]],"52 week high",TRUE)</f>
        <v>414.61</v>
      </c>
      <c r="I43" s="4" cm="1">
        <f t="array" aca="1" ref="I43" ca="1">_FV(table1[[#This Row],[DataField]],"P/E",TRUE)</f>
        <v>67.052400000000006</v>
      </c>
      <c r="J43" s="2" t="str">
        <f ca="1">IF(table1[[#This Row],[Price]] &lt; (table1[[#This Row],[52Low]] * 0.25) + table1[[#This Row],[52Low]],  "TRUE", "FALSE")</f>
        <v>FALSE</v>
      </c>
      <c r="K43" s="2" t="str">
        <f ca="1">IF(table1[[#This Row],[Price]] &lt; (table1[[#This Row],[52Low]] * 0.1) + table1[[#This Row],[52Low]],  "TRUE", "FALSE")</f>
        <v>FALSE</v>
      </c>
      <c r="L43" s="6" cm="1">
        <f t="array" aca="1" ref="L43" ca="1">_FV(table1[[#This Row],[DataField]],"Market cap",TRUE)</f>
        <v>1470161760680</v>
      </c>
    </row>
    <row r="44" spans="1:12" x14ac:dyDescent="0.2">
      <c r="A44" t="e" vm="44">
        <v>#VALUE!</v>
      </c>
      <c r="B44" t="str" cm="1">
        <f t="array" aca="1" ref="B44" ca="1">_FV(table1[[#This Row],[DataField]],"Ticker symbol",TRUE)</f>
        <v>AWK</v>
      </c>
      <c r="F44" s="2" cm="1">
        <f t="array" aca="1" ref="F44" ca="1">_FV(table1[[#This Row],[DataField]],"Price")</f>
        <v>135.79</v>
      </c>
      <c r="G44" s="2" cm="1">
        <f t="array" aca="1" ref="G44" ca="1">_FV(table1[[#This Row],[DataField]],"52 week low",TRUE)</f>
        <v>121.27500000000001</v>
      </c>
      <c r="H44" s="2" cm="1">
        <f t="array" aca="1" ref="H44" ca="1">_FV(table1[[#This Row],[DataField]],"52 week high",TRUE)</f>
        <v>155.5</v>
      </c>
      <c r="I44" s="4" cm="1">
        <f t="array" aca="1" ref="I44" ca="1">_FV(table1[[#This Row],[DataField]],"P/E",TRUE)</f>
        <v>24.063500000000001</v>
      </c>
      <c r="J44" s="2" t="str">
        <f ca="1">IF(table1[[#This Row],[Price]] &lt; (table1[[#This Row],[52Low]] * 0.25) + table1[[#This Row],[52Low]],  "TRUE", "FALSE")</f>
        <v>TRUE</v>
      </c>
      <c r="K44" s="2" t="str">
        <f ca="1">IF(table1[[#This Row],[Price]] &lt; (table1[[#This Row],[52Low]] * 0.1) + table1[[#This Row],[52Low]],  "TRUE", "FALSE")</f>
        <v>FALSE</v>
      </c>
      <c r="L44" s="6" cm="1">
        <f t="array" aca="1" ref="L44" ca="1">_FV(table1[[#This Row],[DataField]],"Market cap",TRUE)</f>
        <v>26507389373</v>
      </c>
    </row>
    <row r="45" spans="1:12" x14ac:dyDescent="0.2">
      <c r="A45" t="e" vm="45">
        <v>#VALUE!</v>
      </c>
      <c r="B45" t="str" cm="1">
        <f t="array" aca="1" ref="B45" ca="1">_FV(table1[[#This Row],[DataField]],"Ticker symbol",TRUE)</f>
        <v>BBY</v>
      </c>
      <c r="F45" s="2" cm="1">
        <f t="array" aca="1" ref="F45" ca="1">_FV(table1[[#This Row],[DataField]],"Price")</f>
        <v>62.8</v>
      </c>
      <c r="G45" s="2" cm="1">
        <f t="array" aca="1" ref="G45" ca="1">_FV(table1[[#This Row],[DataField]],"52 week low",TRUE)</f>
        <v>54.99</v>
      </c>
      <c r="H45" s="2" cm="1">
        <f t="array" aca="1" ref="H45" ca="1">_FV(table1[[#This Row],[DataField]],"52 week high",TRUE)</f>
        <v>84.99</v>
      </c>
      <c r="I45" s="4" cm="1">
        <f t="array" aca="1" ref="I45" ca="1">_FV(table1[[#This Row],[DataField]],"P/E",TRUE)</f>
        <v>12.717599999999999</v>
      </c>
      <c r="J45" s="2" t="str">
        <f ca="1">IF(table1[[#This Row],[Price]] &lt; (table1[[#This Row],[52Low]] * 0.25) + table1[[#This Row],[52Low]],  "TRUE", "FALSE")</f>
        <v>TRUE</v>
      </c>
      <c r="K45" s="2" t="str">
        <f ca="1">IF(table1[[#This Row],[Price]] &lt; (table1[[#This Row],[52Low]] * 0.1) + table1[[#This Row],[52Low]],  "TRUE", "FALSE")</f>
        <v>FALSE</v>
      </c>
      <c r="L45" s="6" cm="1">
        <f t="array" aca="1" ref="L45" ca="1">_FV(table1[[#This Row],[DataField]],"Market cap",TRUE)</f>
        <v>13132271280</v>
      </c>
    </row>
    <row r="46" spans="1:12" x14ac:dyDescent="0.2">
      <c r="A46" t="e" vm="46">
        <v>#VALUE!</v>
      </c>
      <c r="B46" t="str" cm="1">
        <f t="array" aca="1" ref="B46" ca="1">_FV(table1[[#This Row],[DataField]],"Ticker symbol",TRUE)</f>
        <v>BF.A</v>
      </c>
      <c r="F46" s="2" cm="1">
        <f t="array" aca="1" ref="F46" ca="1">_FV(table1[[#This Row],[DataField]],"Price")</f>
        <v>23.33</v>
      </c>
      <c r="G46" s="2" cm="1">
        <f t="array" aca="1" ref="G46" ca="1">_FV(table1[[#This Row],[DataField]],"52 week low",TRUE)</f>
        <v>23.01</v>
      </c>
      <c r="H46" s="2" cm="1">
        <f t="array" aca="1" ref="H46" ca="1">_FV(table1[[#This Row],[DataField]],"52 week high",TRUE)</f>
        <v>35.954999999999998</v>
      </c>
      <c r="I46" s="4" t="e" cm="1" vm="16">
        <f t="array" ref="I46">_FV(table1[[#This Row],[DataField]],"P/E",TRUE)</f>
        <v>#VALUE!</v>
      </c>
      <c r="J46" s="2" t="str">
        <f ca="1">IF(table1[[#This Row],[Price]] &lt; (table1[[#This Row],[52Low]] * 0.25) + table1[[#This Row],[52Low]],  "TRUE", "FALSE")</f>
        <v>TRUE</v>
      </c>
      <c r="K46" s="2" t="str">
        <f ca="1">IF(table1[[#This Row],[Price]] &lt; (table1[[#This Row],[52Low]] * 0.1) + table1[[#This Row],[52Low]],  "TRUE", "FALSE")</f>
        <v>TRUE</v>
      </c>
      <c r="L46" s="6" cm="1">
        <f t="array" aca="1" ref="L46" ca="1">_FV(table1[[#This Row],[DataField]],"Market cap",TRUE)</f>
        <v>10701554988</v>
      </c>
    </row>
    <row r="47" spans="1:12" x14ac:dyDescent="0.2">
      <c r="A47" t="e" vm="47">
        <v>#VALUE!</v>
      </c>
      <c r="B47" t="str" cm="1">
        <f t="array" aca="1" ref="B47" ca="1">_FV(table1[[#This Row],[DataField]],"Ticker symbol",TRUE)</f>
        <v>CAT</v>
      </c>
      <c r="F47" s="2" cm="1">
        <f t="array" aca="1" ref="F47" ca="1">_FV(table1[[#This Row],[DataField]],"Price")</f>
        <v>680.88</v>
      </c>
      <c r="G47" s="2" cm="1">
        <f t="array" aca="1" ref="G47" ca="1">_FV(table1[[#This Row],[DataField]],"52 week low",TRUE)</f>
        <v>267.3</v>
      </c>
      <c r="H47" s="2" cm="1">
        <f t="array" aca="1" ref="H47" ca="1">_FV(table1[[#This Row],[DataField]],"52 week high",TRUE)</f>
        <v>789.81</v>
      </c>
      <c r="I47" s="4" cm="1">
        <f t="array" aca="1" ref="I47" ca="1">_FV(table1[[#This Row],[DataField]],"P/E",TRUE)</f>
        <v>36.165999999999997</v>
      </c>
      <c r="J47" s="2" t="str">
        <f ca="1">IF(table1[[#This Row],[Price]] &lt; (table1[[#This Row],[52Low]] * 0.25) + table1[[#This Row],[52Low]],  "TRUE", "FALSE")</f>
        <v>FALSE</v>
      </c>
      <c r="K47" s="2" t="str">
        <f ca="1">IF(table1[[#This Row],[Price]] &lt; (table1[[#This Row],[52Low]] * 0.1) + table1[[#This Row],[52Low]],  "TRUE", "FALSE")</f>
        <v>FALSE</v>
      </c>
      <c r="L47" s="6" cm="1">
        <f t="array" aca="1" ref="L47" ca="1">_FV(table1[[#This Row],[DataField]],"Market cap",TRUE)</f>
        <v>316804816824</v>
      </c>
    </row>
    <row r="48" spans="1:12" x14ac:dyDescent="0.2">
      <c r="A48" t="e" vm="48">
        <v>#VALUE!</v>
      </c>
      <c r="B48" t="str" cm="1">
        <f t="array" aca="1" ref="B48" ca="1">_FV(table1[[#This Row],[DataField]],"Ticker symbol",TRUE)</f>
        <v>CCI</v>
      </c>
      <c r="F48" s="2" cm="1">
        <f t="array" aca="1" ref="F48" ca="1">_FV(table1[[#This Row],[DataField]],"Price")</f>
        <v>82.36</v>
      </c>
      <c r="G48" s="2" cm="1">
        <f t="array" aca="1" ref="G48" ca="1">_FV(table1[[#This Row],[DataField]],"52 week low",TRUE)</f>
        <v>77.010000000000005</v>
      </c>
      <c r="H48" s="2" cm="1">
        <f t="array" aca="1" ref="H48" ca="1">_FV(table1[[#This Row],[DataField]],"52 week high",TRUE)</f>
        <v>115.76</v>
      </c>
      <c r="I48" s="4" cm="1">
        <f t="array" aca="1" ref="I48" ca="1">_FV(table1[[#This Row],[DataField]],"P/E",TRUE)</f>
        <v>32.630699999999997</v>
      </c>
      <c r="J48" s="2" t="str">
        <f ca="1">IF(table1[[#This Row],[Price]] &lt; (table1[[#This Row],[52Low]] * 0.25) + table1[[#This Row],[52Low]],  "TRUE", "FALSE")</f>
        <v>TRUE</v>
      </c>
      <c r="K48" s="2" t="str">
        <f ca="1">IF(table1[[#This Row],[Price]] &lt; (table1[[#This Row],[52Low]] * 0.1) + table1[[#This Row],[52Low]],  "TRUE", "FALSE")</f>
        <v>TRUE</v>
      </c>
      <c r="L48" s="6" cm="1">
        <f t="array" aca="1" ref="L48" ca="1">_FV(table1[[#This Row],[DataField]],"Market cap",TRUE)</f>
        <v>35914758144</v>
      </c>
    </row>
    <row r="49" spans="1:12" x14ac:dyDescent="0.2">
      <c r="A49" t="e" vm="49">
        <v>#VALUE!</v>
      </c>
      <c r="B49" t="str" cm="1">
        <f t="array" aca="1" ref="B49" ca="1">_FV(table1[[#This Row],[DataField]],"Ticker symbol",TRUE)</f>
        <v>CL</v>
      </c>
      <c r="F49" s="2" cm="1">
        <f t="array" aca="1" ref="F49" ca="1">_FV(table1[[#This Row],[DataField]],"Price")</f>
        <v>85.12</v>
      </c>
      <c r="G49" s="2" cm="1">
        <f t="array" aca="1" ref="G49" ca="1">_FV(table1[[#This Row],[DataField]],"52 week low",TRUE)</f>
        <v>74.545000000000002</v>
      </c>
      <c r="H49" s="2" cm="1">
        <f t="array" aca="1" ref="H49" ca="1">_FV(table1[[#This Row],[DataField]],"52 week high",TRUE)</f>
        <v>99.33</v>
      </c>
      <c r="I49" s="4" cm="1">
        <f t="array" aca="1" ref="I49" ca="1">_FV(table1[[#This Row],[DataField]],"P/E",TRUE)</f>
        <v>32.616199999999999</v>
      </c>
      <c r="J49" s="2" t="str">
        <f ca="1">IF(table1[[#This Row],[Price]] &lt; (table1[[#This Row],[52Low]] * 0.25) + table1[[#This Row],[52Low]],  "TRUE", "FALSE")</f>
        <v>TRUE</v>
      </c>
      <c r="K49" s="2" t="str">
        <f ca="1">IF(table1[[#This Row],[Price]] &lt; (table1[[#This Row],[52Low]] * 0.1) + table1[[#This Row],[52Low]],  "TRUE", "FALSE")</f>
        <v>FALSE</v>
      </c>
      <c r="L49" s="6" cm="1">
        <f t="array" aca="1" ref="L49" ca="1">_FV(table1[[#This Row],[DataField]],"Market cap",TRUE)</f>
        <v>68227765760</v>
      </c>
    </row>
    <row r="50" spans="1:12" x14ac:dyDescent="0.2">
      <c r="A50" t="e" vm="50">
        <v>#VALUE!</v>
      </c>
      <c r="B50" t="str" cm="1">
        <f t="array" aca="1" ref="B50" ca="1">_FV(table1[[#This Row],[DataField]],"Ticker symbol",TRUE)</f>
        <v>CNI</v>
      </c>
      <c r="F50" s="2" cm="1">
        <f t="array" aca="1" ref="F50" ca="1">_FV(table1[[#This Row],[DataField]],"Price")</f>
        <v>98.41</v>
      </c>
      <c r="G50" s="2" cm="1">
        <f t="array" aca="1" ref="G50" ca="1">_FV(table1[[#This Row],[DataField]],"52 week low",TRUE)</f>
        <v>90.74</v>
      </c>
      <c r="H50" s="2" cm="1">
        <f t="array" aca="1" ref="H50" ca="1">_FV(table1[[#This Row],[DataField]],"52 week high",TRUE)</f>
        <v>113.08499999999999</v>
      </c>
      <c r="I50" s="4" cm="1">
        <f t="array" aca="1" ref="I50" ca="1">_FV(table1[[#This Row],[DataField]],"P/E",TRUE)</f>
        <v>17.846699999999998</v>
      </c>
      <c r="J50" s="2" t="str">
        <f ca="1">IF(table1[[#This Row],[Price]] &lt; (table1[[#This Row],[52Low]] * 0.25) + table1[[#This Row],[52Low]],  "TRUE", "FALSE")</f>
        <v>TRUE</v>
      </c>
      <c r="K50" s="2" t="str">
        <f ca="1">IF(table1[[#This Row],[Price]] &lt; (table1[[#This Row],[52Low]] * 0.1) + table1[[#This Row],[52Low]],  "TRUE", "FALSE")</f>
        <v>TRUE</v>
      </c>
      <c r="L50" s="6" cm="1">
        <f t="array" aca="1" ref="L50" ca="1">_FV(table1[[#This Row],[DataField]],"Market cap",TRUE)</f>
        <v>64942908000</v>
      </c>
    </row>
    <row r="51" spans="1:12" x14ac:dyDescent="0.2">
      <c r="A51" t="e" vm="51">
        <v>#VALUE!</v>
      </c>
      <c r="B51" t="str" cm="1">
        <f t="array" aca="1" ref="B51" ca="1">_FV(table1[[#This Row],[DataField]],"Ticker symbol",TRUE)</f>
        <v>COST</v>
      </c>
      <c r="F51" s="2" cm="1">
        <f t="array" aca="1" ref="F51" ca="1">_FV(table1[[#This Row],[DataField]],"Price")</f>
        <v>972.33</v>
      </c>
      <c r="G51" s="2" cm="1">
        <f t="array" aca="1" ref="G51" ca="1">_FV(table1[[#This Row],[DataField]],"52 week low",TRUE)</f>
        <v>844.06</v>
      </c>
      <c r="H51" s="2" cm="1">
        <f t="array" aca="1" ref="H51" ca="1">_FV(table1[[#This Row],[DataField]],"52 week high",TRUE)</f>
        <v>1067.08</v>
      </c>
      <c r="I51" s="4" cm="1">
        <f t="array" aca="1" ref="I51" ca="1">_FV(table1[[#This Row],[DataField]],"P/E",TRUE)</f>
        <v>52.084800000000001</v>
      </c>
      <c r="J51" s="2" t="str">
        <f ca="1">IF(table1[[#This Row],[Price]] &lt; (table1[[#This Row],[52Low]] * 0.25) + table1[[#This Row],[52Low]],  "TRUE", "FALSE")</f>
        <v>TRUE</v>
      </c>
      <c r="K51" s="2" t="str">
        <f ca="1">IF(table1[[#This Row],[Price]] &lt; (table1[[#This Row],[52Low]] * 0.1) + table1[[#This Row],[52Low]],  "TRUE", "FALSE")</f>
        <v>FALSE</v>
      </c>
      <c r="L51" s="6" cm="1">
        <f t="array" aca="1" ref="L51" ca="1">_FV(table1[[#This Row],[DataField]],"Market cap",TRUE)</f>
        <v>431376635325</v>
      </c>
    </row>
    <row r="52" spans="1:12" x14ac:dyDescent="0.2">
      <c r="A52" t="e" vm="52">
        <v>#VALUE!</v>
      </c>
      <c r="B52" t="str" cm="1">
        <f t="array" aca="1" ref="B52" ca="1">_FV(table1[[#This Row],[DataField]],"Ticker symbol",TRUE)</f>
        <v>CPB</v>
      </c>
      <c r="F52" s="2" cm="1">
        <f t="array" aca="1" ref="F52" ca="1">_FV(table1[[#This Row],[DataField]],"Price")</f>
        <v>21.07</v>
      </c>
      <c r="G52" s="2" cm="1">
        <f t="array" aca="1" ref="G52" ca="1">_FV(table1[[#This Row],[DataField]],"52 week low",TRUE)</f>
        <v>20.8</v>
      </c>
      <c r="H52" s="2" cm="1">
        <f t="array" aca="1" ref="H52" ca="1">_FV(table1[[#This Row],[DataField]],"52 week high",TRUE)</f>
        <v>40.590000000000003</v>
      </c>
      <c r="I52" s="4" cm="1">
        <f t="array" aca="1" ref="I52" ca="1">_FV(table1[[#This Row],[DataField]],"P/E",TRUE)</f>
        <v>10.909700000000001</v>
      </c>
      <c r="J52" s="2" t="str">
        <f ca="1">IF(table1[[#This Row],[Price]] &lt; (table1[[#This Row],[52Low]] * 0.25) + table1[[#This Row],[52Low]],  "TRUE", "FALSE")</f>
        <v>TRUE</v>
      </c>
      <c r="K52" s="2" t="str">
        <f ca="1">IF(table1[[#This Row],[Price]] &lt; (table1[[#This Row],[52Low]] * 0.1) + table1[[#This Row],[52Low]],  "TRUE", "FALSE")</f>
        <v>TRUE</v>
      </c>
      <c r="L52" s="6" cm="1">
        <f t="array" aca="1" ref="L52" ca="1">_FV(table1[[#This Row],[DataField]],"Market cap",TRUE)</f>
        <v>6281946755</v>
      </c>
    </row>
    <row r="53" spans="1:12" x14ac:dyDescent="0.2">
      <c r="A53" t="e" vm="53">
        <v>#VALUE!</v>
      </c>
      <c r="B53" t="str" cm="1">
        <f t="array" aca="1" ref="B53" ca="1">_FV(table1[[#This Row],[DataField]],"Ticker symbol",TRUE)</f>
        <v>D</v>
      </c>
      <c r="F53" s="2" cm="1">
        <f t="array" aca="1" ref="F53" ca="1">_FV(table1[[#This Row],[DataField]],"Price")</f>
        <v>59.38</v>
      </c>
      <c r="G53" s="2" cm="1">
        <f t="array" aca="1" ref="G53" ca="1">_FV(table1[[#This Row],[DataField]],"52 week low",TRUE)</f>
        <v>48.07</v>
      </c>
      <c r="H53" s="2" cm="1">
        <f t="array" aca="1" ref="H53" ca="1">_FV(table1[[#This Row],[DataField]],"52 week high",TRUE)</f>
        <v>67.569900000000004</v>
      </c>
      <c r="I53" s="4" cm="1">
        <f t="array" aca="1" ref="I53" ca="1">_FV(table1[[#This Row],[DataField]],"P/E",TRUE)</f>
        <v>17.1996</v>
      </c>
      <c r="J53" s="2" t="str">
        <f ca="1">IF(table1[[#This Row],[Price]] &lt; (table1[[#This Row],[52Low]] * 0.25) + table1[[#This Row],[52Low]],  "TRUE", "FALSE")</f>
        <v>TRUE</v>
      </c>
      <c r="K53" s="2" t="str">
        <f ca="1">IF(table1[[#This Row],[Price]] &lt; (table1[[#This Row],[52Low]] * 0.1) + table1[[#This Row],[52Low]],  "TRUE", "FALSE")</f>
        <v>FALSE</v>
      </c>
      <c r="L53" s="6" cm="1">
        <f t="array" aca="1" ref="L53" ca="1">_FV(table1[[#This Row],[DataField]],"Market cap",TRUE)</f>
        <v>52182288928</v>
      </c>
    </row>
    <row r="54" spans="1:12" x14ac:dyDescent="0.2">
      <c r="A54" t="e" vm="54">
        <v>#VALUE!</v>
      </c>
      <c r="B54" t="str" cm="1">
        <f t="array" aca="1" ref="B54" ca="1">_FV(table1[[#This Row],[DataField]],"Ticker symbol",TRUE)</f>
        <v>DE</v>
      </c>
      <c r="F54" s="2" cm="1">
        <f t="array" aca="1" ref="F54" ca="1">_FV(table1[[#This Row],[DataField]],"Price")</f>
        <v>559.73</v>
      </c>
      <c r="G54" s="2" cm="1">
        <f t="array" aca="1" ref="G54" ca="1">_FV(table1[[#This Row],[DataField]],"52 week low",TRUE)</f>
        <v>404.42</v>
      </c>
      <c r="H54" s="2" cm="1">
        <f t="array" aca="1" ref="H54" ca="1">_FV(table1[[#This Row],[DataField]],"52 week high",TRUE)</f>
        <v>674.18989999999997</v>
      </c>
      <c r="I54" s="4" cm="1">
        <f t="array" aca="1" ref="I54" ca="1">_FV(table1[[#This Row],[DataField]],"P/E",TRUE)</f>
        <v>31.557700000000001</v>
      </c>
      <c r="J54" s="2" t="str">
        <f ca="1">IF(table1[[#This Row],[Price]] &lt; (table1[[#This Row],[52Low]] * 0.25) + table1[[#This Row],[52Low]],  "TRUE", "FALSE")</f>
        <v>FALSE</v>
      </c>
      <c r="K54" s="2" t="str">
        <f ca="1">IF(table1[[#This Row],[Price]] &lt; (table1[[#This Row],[52Low]] * 0.1) + table1[[#This Row],[52Low]],  "TRUE", "FALSE")</f>
        <v>FALSE</v>
      </c>
      <c r="L54" s="6" cm="1">
        <f t="array" aca="1" ref="L54" ca="1">_FV(table1[[#This Row],[DataField]],"Market cap",TRUE)</f>
        <v>151187159029</v>
      </c>
    </row>
    <row r="55" spans="1:12" x14ac:dyDescent="0.2">
      <c r="A55" t="e" vm="55">
        <v>#VALUE!</v>
      </c>
      <c r="B55" t="str" cm="1">
        <f t="array" aca="1" ref="B55" ca="1">_FV(table1[[#This Row],[DataField]],"Ticker symbol",TRUE)</f>
        <v>DEO</v>
      </c>
      <c r="F55" s="2" cm="1">
        <f t="array" aca="1" ref="F55" ca="1">_FV(table1[[#This Row],[DataField]],"Price")</f>
        <v>73.87</v>
      </c>
      <c r="G55" s="2" cm="1">
        <f t="array" aca="1" ref="G55" ca="1">_FV(table1[[#This Row],[DataField]],"52 week low",TRUE)</f>
        <v>73.64</v>
      </c>
      <c r="H55" s="2" cm="1">
        <f t="array" aca="1" ref="H55" ca="1">_FV(table1[[#This Row],[DataField]],"52 week high",TRUE)</f>
        <v>116.69</v>
      </c>
      <c r="I55" s="4" cm="1">
        <f t="array" aca="1" ref="I55" ca="1">_FV(table1[[#This Row],[DataField]],"P/E",TRUE)</f>
        <v>17.063600000000001</v>
      </c>
      <c r="J55" s="2" t="str">
        <f ca="1">IF(table1[[#This Row],[Price]] &lt; (table1[[#This Row],[52Low]] * 0.25) + table1[[#This Row],[52Low]],  "TRUE", "FALSE")</f>
        <v>TRUE</v>
      </c>
      <c r="K55" s="2" t="str">
        <f ca="1">IF(table1[[#This Row],[Price]] &lt; (table1[[#This Row],[52Low]] * 0.1) + table1[[#This Row],[52Low]],  "TRUE", "FALSE")</f>
        <v>TRUE</v>
      </c>
      <c r="L55" s="6" cm="1">
        <f t="array" aca="1" ref="L55" ca="1">_FV(table1[[#This Row],[DataField]],"Market cap",TRUE)</f>
        <v>42803539700</v>
      </c>
    </row>
    <row r="56" spans="1:12" x14ac:dyDescent="0.2">
      <c r="A56" t="e" vm="56">
        <v>#VALUE!</v>
      </c>
      <c r="B56" t="str" cm="1">
        <f t="array" aca="1" ref="B56" ca="1">_FV(table1[[#This Row],[DataField]],"Ticker symbol",TRUE)</f>
        <v>DLR</v>
      </c>
      <c r="F56" s="2" cm="1">
        <f t="array" aca="1" ref="F56" ca="1">_FV(table1[[#This Row],[DataField]],"Price")</f>
        <v>173.3</v>
      </c>
      <c r="G56" s="2" cm="1">
        <f t="array" aca="1" ref="G56" ca="1">_FV(table1[[#This Row],[DataField]],"52 week low",TRUE)</f>
        <v>129.94999999999999</v>
      </c>
      <c r="H56" s="2" cm="1">
        <f t="array" aca="1" ref="H56" ca="1">_FV(table1[[#This Row],[DataField]],"52 week high",TRUE)</f>
        <v>184.79</v>
      </c>
      <c r="I56" s="4" cm="1">
        <f t="array" aca="1" ref="I56" ca="1">_FV(table1[[#This Row],[DataField]],"P/E",TRUE)</f>
        <v>48.407800000000002</v>
      </c>
      <c r="J56" s="2" t="str">
        <f ca="1">IF(table1[[#This Row],[Price]] &lt; (table1[[#This Row],[52Low]] * 0.25) + table1[[#This Row],[52Low]],  "TRUE", "FALSE")</f>
        <v>FALSE</v>
      </c>
      <c r="K56" s="2" t="str">
        <f ca="1">IF(table1[[#This Row],[Price]] &lt; (table1[[#This Row],[52Low]] * 0.1) + table1[[#This Row],[52Low]],  "TRUE", "FALSE")</f>
        <v>FALSE</v>
      </c>
      <c r="L56" s="6" cm="1">
        <f t="array" aca="1" ref="L56" ca="1">_FV(table1[[#This Row],[DataField]],"Market cap",TRUE)</f>
        <v>59548548820</v>
      </c>
    </row>
    <row r="57" spans="1:12" x14ac:dyDescent="0.2">
      <c r="A57" t="e" vm="57">
        <v>#VALUE!</v>
      </c>
      <c r="B57" t="str" cm="1">
        <f t="array" aca="1" ref="B57" ca="1">_FV(table1[[#This Row],[DataField]],"Ticker symbol",TRUE)</f>
        <v>DOW</v>
      </c>
      <c r="F57" s="2" cm="1">
        <f t="array" aca="1" ref="F57" ca="1">_FV(table1[[#This Row],[DataField]],"Price")</f>
        <v>36.65</v>
      </c>
      <c r="G57" s="2" cm="1">
        <f t="array" aca="1" ref="G57" ca="1">_FV(table1[[#This Row],[DataField]],"52 week low",TRUE)</f>
        <v>20.401900000000001</v>
      </c>
      <c r="H57" s="2" cm="1">
        <f t="array" aca="1" ref="H57" ca="1">_FV(table1[[#This Row],[DataField]],"52 week high",TRUE)</f>
        <v>38.58</v>
      </c>
      <c r="I57" s="4" t="e" cm="1" vm="16">
        <f t="array" ref="I57">_FV(table1[[#This Row],[DataField]],"P/E",TRUE)</f>
        <v>#VALUE!</v>
      </c>
      <c r="J57" s="2" t="str">
        <f ca="1">IF(table1[[#This Row],[Price]] &lt; (table1[[#This Row],[52Low]] * 0.25) + table1[[#This Row],[52Low]],  "TRUE", "FALSE")</f>
        <v>FALSE</v>
      </c>
      <c r="K57" s="2" t="str">
        <f ca="1">IF(table1[[#This Row],[Price]] &lt; (table1[[#This Row],[52Low]] * 0.1) + table1[[#This Row],[52Low]],  "TRUE", "FALSE")</f>
        <v>FALSE</v>
      </c>
      <c r="L57" s="6" cm="1">
        <f t="array" aca="1" ref="L57" ca="1">_FV(table1[[#This Row],[DataField]],"Market cap",TRUE)</f>
        <v>26374051010</v>
      </c>
    </row>
    <row r="58" spans="1:12" x14ac:dyDescent="0.2">
      <c r="A58" t="e" vm="58">
        <v>#VALUE!</v>
      </c>
      <c r="B58" t="str" cm="1">
        <f t="array" aca="1" ref="B58" ca="1">_FV(table1[[#This Row],[DataField]],"Ticker symbol",TRUE)</f>
        <v>DUK</v>
      </c>
      <c r="F58" s="2" cm="1">
        <f t="array" aca="1" ref="F58" ca="1">_FV(table1[[#This Row],[DataField]],"Price")</f>
        <v>126.81</v>
      </c>
      <c r="G58" s="2" cm="1">
        <f t="array" aca="1" ref="G58" ca="1">_FV(table1[[#This Row],[DataField]],"52 week low",TRUE)</f>
        <v>111.22</v>
      </c>
      <c r="H58" s="2" cm="1">
        <f t="array" aca="1" ref="H58" ca="1">_FV(table1[[#This Row],[DataField]],"52 week high",TRUE)</f>
        <v>134.49</v>
      </c>
      <c r="I58" s="4" cm="1">
        <f t="array" aca="1" ref="I58" ca="1">_FV(table1[[#This Row],[DataField]],"P/E",TRUE)</f>
        <v>20.060400000000001</v>
      </c>
      <c r="J58" s="2" t="str">
        <f ca="1">IF(table1[[#This Row],[Price]] &lt; (table1[[#This Row],[52Low]] * 0.25) + table1[[#This Row],[52Low]],  "TRUE", "FALSE")</f>
        <v>TRUE</v>
      </c>
      <c r="K58" s="2" t="str">
        <f ca="1">IF(table1[[#This Row],[Price]] &lt; (table1[[#This Row],[52Low]] * 0.1) + table1[[#This Row],[52Low]],  "TRUE", "FALSE")</f>
        <v>FALSE</v>
      </c>
      <c r="L58" s="6" cm="1">
        <f t="array" aca="1" ref="L58" ca="1">_FV(table1[[#This Row],[DataField]],"Market cap",TRUE)</f>
        <v>98616446829</v>
      </c>
    </row>
    <row r="59" spans="1:12" x14ac:dyDescent="0.2">
      <c r="A59" t="e" vm="59">
        <v>#VALUE!</v>
      </c>
      <c r="B59" t="str" cm="1">
        <f t="array" aca="1" ref="B59" ca="1">_FV(table1[[#This Row],[DataField]],"Ticker symbol",TRUE)</f>
        <v>ED</v>
      </c>
      <c r="F59" s="2" cm="1">
        <f t="array" aca="1" ref="F59" ca="1">_FV(table1[[#This Row],[DataField]],"Price")</f>
        <v>109.45</v>
      </c>
      <c r="G59" s="2" cm="1">
        <f t="array" aca="1" ref="G59" ca="1">_FV(table1[[#This Row],[DataField]],"52 week low",TRUE)</f>
        <v>94.96</v>
      </c>
      <c r="H59" s="2" cm="1">
        <f t="array" aca="1" ref="H59" ca="1">_FV(table1[[#This Row],[DataField]],"52 week high",TRUE)</f>
        <v>116.23</v>
      </c>
      <c r="I59" s="4" cm="1">
        <f t="array" aca="1" ref="I59" ca="1">_FV(table1[[#This Row],[DataField]],"P/E",TRUE)</f>
        <v>19.756699999999999</v>
      </c>
      <c r="J59" s="2" t="str">
        <f ca="1">IF(table1[[#This Row],[Price]] &lt; (table1[[#This Row],[52Low]] * 0.25) + table1[[#This Row],[52Low]],  "TRUE", "FALSE")</f>
        <v>TRUE</v>
      </c>
      <c r="K59" s="2" t="str">
        <f ca="1">IF(table1[[#This Row],[Price]] &lt; (table1[[#This Row],[52Low]] * 0.1) + table1[[#This Row],[52Low]],  "TRUE", "FALSE")</f>
        <v>FALSE</v>
      </c>
      <c r="L59" s="6" cm="1">
        <f t="array" aca="1" ref="L59" ca="1">_FV(table1[[#This Row],[DataField]],"Market cap",TRUE)</f>
        <v>39544580515</v>
      </c>
    </row>
    <row r="60" spans="1:12" x14ac:dyDescent="0.2">
      <c r="A60" t="e" vm="60">
        <v>#VALUE!</v>
      </c>
      <c r="B60" t="str" cm="1">
        <f t="array" aca="1" ref="B60" ca="1">_FV(table1[[#This Row],[DataField]],"Ticker symbol",TRUE)</f>
        <v>EOG</v>
      </c>
      <c r="F60" s="2" cm="1">
        <f t="array" aca="1" ref="F60" ca="1">_FV(table1[[#This Row],[DataField]],"Price")</f>
        <v>138.72999999999999</v>
      </c>
      <c r="G60" s="2" cm="1">
        <f t="array" aca="1" ref="G60" ca="1">_FV(table1[[#This Row],[DataField]],"52 week low",TRUE)</f>
        <v>101.5936</v>
      </c>
      <c r="H60" s="2" cm="1">
        <f t="array" aca="1" ref="H60" ca="1">_FV(table1[[#This Row],[DataField]],"52 week high",TRUE)</f>
        <v>140.91990000000001</v>
      </c>
      <c r="I60" s="4" cm="1">
        <f t="array" aca="1" ref="I60" ca="1">_FV(table1[[#This Row],[DataField]],"P/E",TRUE)</f>
        <v>15.2265</v>
      </c>
      <c r="J60" s="2" t="str">
        <f ca="1">IF(table1[[#This Row],[Price]] &lt; (table1[[#This Row],[52Low]] * 0.25) + table1[[#This Row],[52Low]],  "TRUE", "FALSE")</f>
        <v>FALSE</v>
      </c>
      <c r="K60" s="2" t="str">
        <f ca="1">IF(table1[[#This Row],[Price]] &lt; (table1[[#This Row],[52Low]] * 0.1) + table1[[#This Row],[52Low]],  "TRUE", "FALSE")</f>
        <v>FALSE</v>
      </c>
      <c r="L60" s="6" cm="1">
        <f t="array" aca="1" ref="L60" ca="1">_FV(table1[[#This Row],[DataField]],"Market cap",TRUE)</f>
        <v>74427465795</v>
      </c>
    </row>
    <row r="61" spans="1:12" x14ac:dyDescent="0.2">
      <c r="A61" t="e" vm="61">
        <v>#VALUE!</v>
      </c>
      <c r="B61" t="str" cm="1">
        <f t="array" aca="1" ref="B61" ca="1">_FV(table1[[#This Row],[DataField]],"Ticker symbol",TRUE)</f>
        <v>EQIX</v>
      </c>
      <c r="F61" s="2" cm="1">
        <f t="array" aca="1" ref="F61" ca="1">_FV(table1[[#This Row],[DataField]],"Price")</f>
        <v>959.16</v>
      </c>
      <c r="G61" s="2" cm="1">
        <f t="array" aca="1" ref="G61" ca="1">_FV(table1[[#This Row],[DataField]],"52 week low",TRUE)</f>
        <v>701.41</v>
      </c>
      <c r="H61" s="2" cm="1">
        <f t="array" aca="1" ref="H61" ca="1">_FV(table1[[#This Row],[DataField]],"52 week high",TRUE)</f>
        <v>992.9</v>
      </c>
      <c r="I61" s="4" cm="1">
        <f t="array" aca="1" ref="I61" ca="1">_FV(table1[[#This Row],[DataField]],"P/E",TRUE)</f>
        <v>69.704400000000007</v>
      </c>
      <c r="J61" s="2" t="str">
        <f ca="1">IF(table1[[#This Row],[Price]] &lt; (table1[[#This Row],[52Low]] * 0.25) + table1[[#This Row],[52Low]],  "TRUE", "FALSE")</f>
        <v>FALSE</v>
      </c>
      <c r="K61" s="2" t="str">
        <f ca="1">IF(table1[[#This Row],[Price]] &lt; (table1[[#This Row],[52Low]] * 0.1) + table1[[#This Row],[52Low]],  "TRUE", "FALSE")</f>
        <v>FALSE</v>
      </c>
      <c r="L61" s="6" cm="1">
        <f t="array" aca="1" ref="L61" ca="1">_FV(table1[[#This Row],[DataField]],"Market cap",TRUE)</f>
        <v>94242198658</v>
      </c>
    </row>
    <row r="62" spans="1:12" x14ac:dyDescent="0.2">
      <c r="A62" t="e" vm="62">
        <v>#VALUE!</v>
      </c>
      <c r="B62" t="str" cm="1">
        <f t="array" aca="1" ref="B62" ca="1">_FV(table1[[#This Row],[DataField]],"Ticker symbol",TRUE)</f>
        <v>FAST</v>
      </c>
      <c r="F62" s="2" cm="1">
        <f t="array" aca="1" ref="F62" ca="1">_FV(table1[[#This Row],[DataField]],"Price")</f>
        <v>43.76</v>
      </c>
      <c r="G62" s="2" cm="1">
        <f t="array" aca="1" ref="G62" ca="1">_FV(table1[[#This Row],[DataField]],"52 week low",TRUE)</f>
        <v>35.305</v>
      </c>
      <c r="H62" s="2" cm="1">
        <f t="array" aca="1" ref="H62" ca="1">_FV(table1[[#This Row],[DataField]],"52 week high",TRUE)</f>
        <v>50.63</v>
      </c>
      <c r="I62" s="4" cm="1">
        <f t="array" aca="1" ref="I62" ca="1">_FV(table1[[#This Row],[DataField]],"P/E",TRUE)</f>
        <v>39.996299999999998</v>
      </c>
      <c r="J62" s="2" t="str">
        <f ca="1">IF(table1[[#This Row],[Price]] &lt; (table1[[#This Row],[52Low]] * 0.25) + table1[[#This Row],[52Low]],  "TRUE", "FALSE")</f>
        <v>TRUE</v>
      </c>
      <c r="K62" s="2" t="str">
        <f ca="1">IF(table1[[#This Row],[Price]] &lt; (table1[[#This Row],[52Low]] * 0.1) + table1[[#This Row],[52Low]],  "TRUE", "FALSE")</f>
        <v>FALSE</v>
      </c>
      <c r="L62" s="6" cm="1">
        <f t="array" aca="1" ref="L62" ca="1">_FV(table1[[#This Row],[DataField]],"Market cap",TRUE)</f>
        <v>50250833280</v>
      </c>
    </row>
    <row r="63" spans="1:12" x14ac:dyDescent="0.2">
      <c r="A63" t="e" vm="63">
        <v>#VALUE!</v>
      </c>
      <c r="B63" t="str" cm="1">
        <f t="array" aca="1" ref="B63" ca="1">_FV(table1[[#This Row],[DataField]],"Ticker symbol",TRUE)</f>
        <v>FDX</v>
      </c>
      <c r="F63" s="2" cm="1">
        <f t="array" aca="1" ref="F63" ca="1">_FV(table1[[#This Row],[DataField]],"Price")</f>
        <v>358.85</v>
      </c>
      <c r="G63" s="2" cm="1">
        <f t="array" aca="1" ref="G63" ca="1">_FV(table1[[#This Row],[DataField]],"52 week low",TRUE)</f>
        <v>194.29499999999999</v>
      </c>
      <c r="H63" s="2" cm="1">
        <f t="array" aca="1" ref="H63" ca="1">_FV(table1[[#This Row],[DataField]],"52 week high",TRUE)</f>
        <v>392.86</v>
      </c>
      <c r="I63" s="4" cm="1">
        <f t="array" aca="1" ref="I63" ca="1">_FV(table1[[#This Row],[DataField]],"P/E",TRUE)</f>
        <v>19.658300000000001</v>
      </c>
      <c r="J63" s="2" t="str">
        <f ca="1">IF(table1[[#This Row],[Price]] &lt; (table1[[#This Row],[52Low]] * 0.25) + table1[[#This Row],[52Low]],  "TRUE", "FALSE")</f>
        <v>FALSE</v>
      </c>
      <c r="K63" s="2" t="str">
        <f ca="1">IF(table1[[#This Row],[Price]] &lt; (table1[[#This Row],[52Low]] * 0.1) + table1[[#This Row],[52Low]],  "TRUE", "FALSE")</f>
        <v>FALSE</v>
      </c>
      <c r="L63" s="6" cm="1">
        <f t="array" aca="1" ref="L63" ca="1">_FV(table1[[#This Row],[DataField]],"Market cap",TRUE)</f>
        <v>85624050180</v>
      </c>
    </row>
    <row r="64" spans="1:12" x14ac:dyDescent="0.2">
      <c r="A64" t="e" vm="64">
        <v>#VALUE!</v>
      </c>
      <c r="B64" t="str" cm="1">
        <f t="array" aca="1" ref="B64" ca="1">_FV(table1[[#This Row],[DataField]],"Ticker symbol",TRUE)</f>
        <v>FLO</v>
      </c>
      <c r="F64" s="2" cm="1">
        <f t="array" aca="1" ref="F64" ca="1">_FV(table1[[#This Row],[DataField]],"Price")</f>
        <v>8.18</v>
      </c>
      <c r="G64" s="2" cm="1">
        <f t="array" aca="1" ref="G64" ca="1">_FV(table1[[#This Row],[DataField]],"52 week low",TRUE)</f>
        <v>8.17</v>
      </c>
      <c r="H64" s="2" cm="1">
        <f t="array" aca="1" ref="H64" ca="1">_FV(table1[[#This Row],[DataField]],"52 week high",TRUE)</f>
        <v>20.23</v>
      </c>
      <c r="I64" s="4" cm="1">
        <f t="array" aca="1" ref="I64" ca="1">_FV(table1[[#This Row],[DataField]],"P/E",TRUE)</f>
        <v>21.179099999999998</v>
      </c>
      <c r="J64" s="2" t="str">
        <f ca="1">IF(table1[[#This Row],[Price]] &lt; (table1[[#This Row],[52Low]] * 0.25) + table1[[#This Row],[52Low]],  "TRUE", "FALSE")</f>
        <v>TRUE</v>
      </c>
      <c r="K64" s="2" t="str">
        <f ca="1">IF(table1[[#This Row],[Price]] &lt; (table1[[#This Row],[52Low]] * 0.1) + table1[[#This Row],[52Low]],  "TRUE", "FALSE")</f>
        <v>TRUE</v>
      </c>
      <c r="L64" s="6" cm="1">
        <f t="array" aca="1" ref="L64" ca="1">_FV(table1[[#This Row],[DataField]],"Market cap",TRUE)</f>
        <v>1730514174</v>
      </c>
    </row>
    <row r="65" spans="1:12" x14ac:dyDescent="0.2">
      <c r="A65" t="e" vm="65">
        <v>#VALUE!</v>
      </c>
      <c r="B65" t="str" cm="1">
        <f t="array" aca="1" ref="B65" ca="1">_FV(table1[[#This Row],[DataField]],"Ticker symbol",TRUE)</f>
        <v>GIS</v>
      </c>
      <c r="F65" s="2" cm="1">
        <f t="array" aca="1" ref="F65" ca="1">_FV(table1[[#This Row],[DataField]],"Price")</f>
        <v>37.01</v>
      </c>
      <c r="G65" s="2" cm="1">
        <f t="array" aca="1" ref="G65" ca="1">_FV(table1[[#This Row],[DataField]],"52 week low",TRUE)</f>
        <v>37.01</v>
      </c>
      <c r="H65" s="2" cm="1">
        <f t="array" aca="1" ref="H65" ca="1">_FV(table1[[#This Row],[DataField]],"52 week high",TRUE)</f>
        <v>62.61</v>
      </c>
      <c r="I65" s="4" cm="1">
        <f t="array" aca="1" ref="I65" ca="1">_FV(table1[[#This Row],[DataField]],"P/E",TRUE)</f>
        <v>8.0452999999999992</v>
      </c>
      <c r="J65" s="2" t="str">
        <f ca="1">IF(table1[[#This Row],[Price]] &lt; (table1[[#This Row],[52Low]] * 0.25) + table1[[#This Row],[52Low]],  "TRUE", "FALSE")</f>
        <v>TRUE</v>
      </c>
      <c r="K65" s="2" t="str">
        <f ca="1">IF(table1[[#This Row],[Price]] &lt; (table1[[#This Row],[52Low]] * 0.1) + table1[[#This Row],[52Low]],  "TRUE", "FALSE")</f>
        <v>TRUE</v>
      </c>
      <c r="L65" s="6" cm="1">
        <f t="array" aca="1" ref="L65" ca="1">_FV(table1[[#This Row],[DataField]],"Market cap",TRUE)</f>
        <v>19751541212</v>
      </c>
    </row>
    <row r="66" spans="1:12" x14ac:dyDescent="0.2">
      <c r="A66" t="e" vm="66">
        <v>#VALUE!</v>
      </c>
      <c r="B66" t="str" cm="1">
        <f t="array" aca="1" ref="B66" ca="1">_FV(table1[[#This Row],[DataField]],"Ticker symbol",TRUE)</f>
        <v>GOOGL</v>
      </c>
      <c r="E66">
        <v>1</v>
      </c>
      <c r="F66" s="2" cm="1">
        <f t="array" aca="1" ref="F66" ca="1">_FV(table1[[#This Row],[DataField]],"Price")</f>
        <v>301</v>
      </c>
      <c r="G66" s="2" cm="1">
        <f t="array" aca="1" ref="G66" ca="1">_FV(table1[[#This Row],[DataField]],"52 week low",TRUE)</f>
        <v>140.53</v>
      </c>
      <c r="H66" s="2" cm="1">
        <f t="array" aca="1" ref="H66" ca="1">_FV(table1[[#This Row],[DataField]],"52 week high",TRUE)</f>
        <v>349</v>
      </c>
      <c r="I66" s="4" cm="1">
        <f t="array" aca="1" ref="I66" ca="1">_FV(table1[[#This Row],[DataField]],"P/E",TRUE)</f>
        <v>27.8446</v>
      </c>
      <c r="J66" s="2" t="str">
        <f ca="1">IF(table1[[#This Row],[Price]] &lt; (table1[[#This Row],[52Low]] * 0.25) + table1[[#This Row],[52Low]],  "TRUE", "FALSE")</f>
        <v>FALSE</v>
      </c>
      <c r="K66" s="2" t="str">
        <f ca="1">IF(table1[[#This Row],[Price]] &lt; (table1[[#This Row],[52Low]] * 0.1) + table1[[#This Row],[52Low]],  "TRUE", "FALSE")</f>
        <v>FALSE</v>
      </c>
      <c r="L66" s="6" cm="1">
        <f t="array" aca="1" ref="L66" ca="1">_FV(table1[[#This Row],[DataField]],"Market cap",TRUE)</f>
        <v>3641197000000</v>
      </c>
    </row>
    <row r="67" spans="1:12" x14ac:dyDescent="0.2">
      <c r="A67" t="e" vm="67">
        <v>#VALUE!</v>
      </c>
      <c r="B67" t="str" cm="1">
        <f t="array" aca="1" ref="B67" ca="1">_FV(table1[[#This Row],[DataField]],"Ticker symbol",TRUE)</f>
        <v>HRL</v>
      </c>
      <c r="F67" s="2" cm="1">
        <f t="array" aca="1" ref="F67" ca="1">_FV(table1[[#This Row],[DataField]],"Price")</f>
        <v>22.14</v>
      </c>
      <c r="G67" s="2" cm="1">
        <f t="array" aca="1" ref="G67" ca="1">_FV(table1[[#This Row],[DataField]],"52 week low",TRUE)</f>
        <v>21.03</v>
      </c>
      <c r="H67" s="2" cm="1">
        <f t="array" aca="1" ref="H67" ca="1">_FV(table1[[#This Row],[DataField]],"52 week high",TRUE)</f>
        <v>32.07</v>
      </c>
      <c r="I67" s="4" cm="1">
        <f t="array" aca="1" ref="I67" ca="1">_FV(table1[[#This Row],[DataField]],"P/E",TRUE)</f>
        <v>24.912800000000001</v>
      </c>
      <c r="J67" s="2" t="str">
        <f ca="1">IF(table1[[#This Row],[Price]] &lt; (table1[[#This Row],[52Low]] * 0.25) + table1[[#This Row],[52Low]],  "TRUE", "FALSE")</f>
        <v>TRUE</v>
      </c>
      <c r="K67" s="2" t="str">
        <f ca="1">IF(table1[[#This Row],[Price]] &lt; (table1[[#This Row],[52Low]] * 0.1) + table1[[#This Row],[52Low]],  "TRUE", "FALSE")</f>
        <v>TRUE</v>
      </c>
      <c r="L67" s="6" cm="1">
        <f t="array" aca="1" ref="L67" ca="1">_FV(table1[[#This Row],[DataField]],"Market cap",TRUE)</f>
        <v>12183292188</v>
      </c>
    </row>
    <row r="68" spans="1:12" x14ac:dyDescent="0.2">
      <c r="A68" t="e" vm="68">
        <v>#VALUE!</v>
      </c>
      <c r="B68" t="str" cm="1">
        <f t="array" aca="1" ref="B68" ca="1">_FV(table1[[#This Row],[DataField]],"Ticker symbol",TRUE)</f>
        <v>INTC</v>
      </c>
      <c r="F68" s="2" cm="1">
        <f t="array" aca="1" ref="F68" ca="1">_FV(table1[[#This Row],[DataField]],"Price")</f>
        <v>43.87</v>
      </c>
      <c r="G68" s="2" cm="1">
        <f t="array" aca="1" ref="G68" ca="1">_FV(table1[[#This Row],[DataField]],"52 week low",TRUE)</f>
        <v>17.664999999999999</v>
      </c>
      <c r="H68" s="2" cm="1">
        <f t="array" aca="1" ref="H68" ca="1">_FV(table1[[#This Row],[DataField]],"52 week high",TRUE)</f>
        <v>54.6</v>
      </c>
      <c r="I68" s="4" cm="1">
        <f t="array" aca="1" ref="I68" ca="1">_FV(table1[[#This Row],[DataField]],"P/E",TRUE)</f>
        <v>0</v>
      </c>
      <c r="J68" s="2" t="str">
        <f ca="1">IF(table1[[#This Row],[Price]] &lt; (table1[[#This Row],[52Low]] * 0.25) + table1[[#This Row],[52Low]],  "TRUE", "FALSE")</f>
        <v>FALSE</v>
      </c>
      <c r="K68" s="2" t="str">
        <f ca="1">IF(table1[[#This Row],[Price]] &lt; (table1[[#This Row],[52Low]] * 0.1) + table1[[#This Row],[52Low]],  "TRUE", "FALSE")</f>
        <v>FALSE</v>
      </c>
      <c r="L68" s="6" cm="1">
        <f t="array" aca="1" ref="L68" ca="1">_FV(table1[[#This Row],[DataField]],"Market cap",TRUE)</f>
        <v>219130650000</v>
      </c>
    </row>
    <row r="69" spans="1:12" x14ac:dyDescent="0.2">
      <c r="A69" t="e" vm="69">
        <v>#VALUE!</v>
      </c>
      <c r="B69" t="str" cm="1">
        <f t="array" aca="1" ref="B69" ca="1">_FV(table1[[#This Row],[DataField]],"Ticker symbol",TRUE)</f>
        <v>INTU</v>
      </c>
      <c r="F69" s="2" cm="1">
        <f t="array" aca="1" ref="F69" ca="1">_FV(table1[[#This Row],[DataField]],"Price")</f>
        <v>455.56</v>
      </c>
      <c r="G69" s="2" cm="1">
        <f t="array" aca="1" ref="G69" ca="1">_FV(table1[[#This Row],[DataField]],"52 week low",TRUE)</f>
        <v>349</v>
      </c>
      <c r="H69" s="2" cm="1">
        <f t="array" aca="1" ref="H69" ca="1">_FV(table1[[#This Row],[DataField]],"52 week high",TRUE)</f>
        <v>813.7</v>
      </c>
      <c r="I69" s="4" cm="1">
        <f t="array" aca="1" ref="I69" ca="1">_FV(table1[[#This Row],[DataField]],"P/E",TRUE)</f>
        <v>29.6127</v>
      </c>
      <c r="J69" s="2" t="str">
        <f ca="1">IF(table1[[#This Row],[Price]] &lt; (table1[[#This Row],[52Low]] * 0.25) + table1[[#This Row],[52Low]],  "TRUE", "FALSE")</f>
        <v>FALSE</v>
      </c>
      <c r="K69" s="2" t="str">
        <f ca="1">IF(table1[[#This Row],[Price]] &lt; (table1[[#This Row],[52Low]] * 0.1) + table1[[#This Row],[52Low]],  "TRUE", "FALSE")</f>
        <v>FALSE</v>
      </c>
      <c r="L69" s="6" cm="1">
        <f t="array" aca="1" ref="L69" ca="1">_FV(table1[[#This Row],[DataField]],"Market cap",TRUE)</f>
        <v>125985118000</v>
      </c>
    </row>
    <row r="70" spans="1:12" x14ac:dyDescent="0.2">
      <c r="A70" t="e" vm="70">
        <v>#VALUE!</v>
      </c>
      <c r="B70" t="str" cm="1">
        <f t="array" aca="1" ref="B70" ca="1">_FV(table1[[#This Row],[DataField]],"Ticker symbol",TRUE)</f>
        <v>IRM</v>
      </c>
      <c r="F70" s="2" cm="1">
        <f t="array" aca="1" ref="F70" ca="1">_FV(table1[[#This Row],[DataField]],"Price")</f>
        <v>99.61</v>
      </c>
      <c r="G70" s="2" cm="1">
        <f t="array" aca="1" ref="G70" ca="1">_FV(table1[[#This Row],[DataField]],"52 week low",TRUE)</f>
        <v>72.33</v>
      </c>
      <c r="H70" s="2" cm="1">
        <f t="array" aca="1" ref="H70" ca="1">_FV(table1[[#This Row],[DataField]],"52 week high",TRUE)</f>
        <v>115.24</v>
      </c>
      <c r="I70" s="4" cm="1">
        <f t="array" aca="1" ref="I70" ca="1">_FV(table1[[#This Row],[DataField]],"P/E",TRUE)</f>
        <v>205.976</v>
      </c>
      <c r="J70" s="2" t="str">
        <f ca="1">IF(table1[[#This Row],[Price]] &lt; (table1[[#This Row],[52Low]] * 0.25) + table1[[#This Row],[52Low]],  "TRUE", "FALSE")</f>
        <v>FALSE</v>
      </c>
      <c r="K70" s="2" t="str">
        <f ca="1">IF(table1[[#This Row],[Price]] &lt; (table1[[#This Row],[52Low]] * 0.1) + table1[[#This Row],[52Low]],  "TRUE", "FALSE")</f>
        <v>FALSE</v>
      </c>
      <c r="L70" s="6" cm="1">
        <f t="array" aca="1" ref="L70" ca="1">_FV(table1[[#This Row],[DataField]],"Market cap",TRUE)</f>
        <v>29468144272</v>
      </c>
    </row>
    <row r="71" spans="1:12" x14ac:dyDescent="0.2">
      <c r="A71" t="e" vm="71">
        <v>#VALUE!</v>
      </c>
      <c r="B71" t="str" cm="1">
        <f t="array" aca="1" ref="B71" ca="1">_FV(table1[[#This Row],[DataField]],"Ticker symbol",TRUE)</f>
        <v>ITW</v>
      </c>
      <c r="F71" s="2" cm="1">
        <f t="array" aca="1" ref="F71" ca="1">_FV(table1[[#This Row],[DataField]],"Price")</f>
        <v>257.68</v>
      </c>
      <c r="G71" s="2" cm="1">
        <f t="array" aca="1" ref="G71" ca="1">_FV(table1[[#This Row],[DataField]],"52 week low",TRUE)</f>
        <v>214.66</v>
      </c>
      <c r="H71" s="2" cm="1">
        <f t="array" aca="1" ref="H71" ca="1">_FV(table1[[#This Row],[DataField]],"52 week high",TRUE)</f>
        <v>303.15499999999997</v>
      </c>
      <c r="I71" s="4" cm="1">
        <f t="array" aca="1" ref="I71" ca="1">_FV(table1[[#This Row],[DataField]],"P/E",TRUE)</f>
        <v>24.8413</v>
      </c>
      <c r="J71" s="2" t="str">
        <f ca="1">IF(table1[[#This Row],[Price]] &lt; (table1[[#This Row],[52Low]] * 0.25) + table1[[#This Row],[52Low]],  "TRUE", "FALSE")</f>
        <v>TRUE</v>
      </c>
      <c r="K71" s="7" t="str">
        <f ca="1">IF(table1[[#This Row],[Price]] &lt; (table1[[#This Row],[52Low]] * 0.1) + table1[[#This Row],[52Low]],  "TRUE", "FALSE")</f>
        <v>FALSE</v>
      </c>
      <c r="L71" s="6" cm="1">
        <f t="array" aca="1" ref="L71" ca="1">_FV(table1[[#This Row],[DataField]],"Market cap",TRUE)</f>
        <v>74263376000</v>
      </c>
    </row>
    <row r="72" spans="1:12" x14ac:dyDescent="0.2">
      <c r="A72" t="e" vm="72">
        <v>#VALUE!</v>
      </c>
      <c r="B72" t="str" cm="1">
        <f t="array" aca="1" ref="B72" ca="1">_FV(table1[[#This Row],[DataField]],"Ticker symbol",TRUE)</f>
        <v>KO</v>
      </c>
      <c r="F72" s="2" cm="1">
        <f t="array" aca="1" ref="F72" ca="1">_FV(table1[[#This Row],[DataField]],"Price")</f>
        <v>74.75</v>
      </c>
      <c r="G72" s="2" cm="1">
        <f t="array" aca="1" ref="G72" ca="1">_FV(table1[[#This Row],[DataField]],"52 week low",TRUE)</f>
        <v>65.353800000000007</v>
      </c>
      <c r="H72" s="2" cm="1">
        <f t="array" aca="1" ref="H72" ca="1">_FV(table1[[#This Row],[DataField]],"52 week high",TRUE)</f>
        <v>82</v>
      </c>
      <c r="I72" s="4" cm="1">
        <f t="array" aca="1" ref="I72" ca="1">_FV(table1[[#This Row],[DataField]],"P/E",TRUE)</f>
        <v>24.596900000000002</v>
      </c>
      <c r="J72" s="2" t="str">
        <f ca="1">IF(table1[[#This Row],[Price]] &lt; (table1[[#This Row],[52Low]] * 0.25) + table1[[#This Row],[52Low]],  "TRUE", "FALSE")</f>
        <v>TRUE</v>
      </c>
      <c r="K72" s="2" t="str">
        <f ca="1">IF(table1[[#This Row],[Price]] &lt; (table1[[#This Row],[52Low]] * 0.1) + table1[[#This Row],[52Low]],  "TRUE", "FALSE")</f>
        <v>FALSE</v>
      </c>
      <c r="L72" s="6" cm="1">
        <f t="array" aca="1" ref="L72" ca="1">_FV(table1[[#This Row],[DataField]],"Market cap",TRUE)</f>
        <v>321735436750</v>
      </c>
    </row>
    <row r="73" spans="1:12" x14ac:dyDescent="0.2">
      <c r="A73" t="e" vm="73">
        <v>#VALUE!</v>
      </c>
      <c r="B73" t="str" cm="1">
        <f t="array" aca="1" ref="B73" ca="1">_FV(table1[[#This Row],[DataField]],"Ticker symbol",TRUE)</f>
        <v>LLY</v>
      </c>
      <c r="F73" s="2" cm="1">
        <f t="array" aca="1" ref="F73" ca="1">_FV(table1[[#This Row],[DataField]],"Price")</f>
        <v>906.7</v>
      </c>
      <c r="G73" s="2" cm="1">
        <f t="array" aca="1" ref="G73" ca="1">_FV(table1[[#This Row],[DataField]],"52 week low",TRUE)</f>
        <v>623.78</v>
      </c>
      <c r="H73" s="2" cm="1">
        <f t="array" aca="1" ref="H73" ca="1">_FV(table1[[#This Row],[DataField]],"52 week high",TRUE)</f>
        <v>1133.95</v>
      </c>
      <c r="I73" s="4" cm="1">
        <f t="array" aca="1" ref="I73" ca="1">_FV(table1[[#This Row],[DataField]],"P/E",TRUE)</f>
        <v>39.966799999999999</v>
      </c>
      <c r="J73" s="2" t="str">
        <f ca="1">IF(table1[[#This Row],[Price]] &lt; (table1[[#This Row],[52Low]] * 0.25) + table1[[#This Row],[52Low]],  "TRUE", "FALSE")</f>
        <v>FALSE</v>
      </c>
      <c r="K73" s="2" t="str">
        <f ca="1">IF(table1[[#This Row],[Price]] &lt; (table1[[#This Row],[52Low]] * 0.1) + table1[[#This Row],[52Low]],  "TRUE", "FALSE")</f>
        <v>FALSE</v>
      </c>
      <c r="L73" s="6" cm="1">
        <f t="array" aca="1" ref="L73" ca="1">_FV(table1[[#This Row],[DataField]],"Market cap",TRUE)</f>
        <v>855342154580</v>
      </c>
    </row>
    <row r="74" spans="1:12" x14ac:dyDescent="0.2">
      <c r="A74" t="e" vm="74">
        <v>#VALUE!</v>
      </c>
      <c r="B74" t="str" cm="1">
        <f t="array" aca="1" ref="B74" ca="1">_FV(table1[[#This Row],[DataField]],"Ticker symbol",TRUE)</f>
        <v>MAN</v>
      </c>
      <c r="F74" s="2" cm="1">
        <f t="array" aca="1" ref="F74" ca="1">_FV(table1[[#This Row],[DataField]],"Price")</f>
        <v>26.62</v>
      </c>
      <c r="G74" s="2" cm="1">
        <f t="array" aca="1" ref="G74" ca="1">_FV(table1[[#This Row],[DataField]],"52 week low",TRUE)</f>
        <v>25.15</v>
      </c>
      <c r="H74" s="2" cm="1">
        <f t="array" aca="1" ref="H74" ca="1">_FV(table1[[#This Row],[DataField]],"52 week high",TRUE)</f>
        <v>60.45</v>
      </c>
      <c r="I74" s="4" t="e" cm="1" vm="16">
        <f t="array" ref="I74">_FV(table1[[#This Row],[DataField]],"P/E",TRUE)</f>
        <v>#VALUE!</v>
      </c>
      <c r="J74" s="2" t="str">
        <f ca="1">IF(table1[[#This Row],[Price]] &lt; (table1[[#This Row],[52Low]] * 0.25) + table1[[#This Row],[52Low]],  "TRUE", "FALSE")</f>
        <v>TRUE</v>
      </c>
      <c r="K74" s="2" t="str">
        <f ca="1">IF(table1[[#This Row],[Price]] &lt; (table1[[#This Row],[52Low]] * 0.1) + table1[[#This Row],[52Low]],  "TRUE", "FALSE")</f>
        <v>TRUE</v>
      </c>
      <c r="L74" s="6" cm="1">
        <f t="array" aca="1" ref="L74" ca="1">_FV(table1[[#This Row],[DataField]],"Market cap",TRUE)</f>
        <v>1235691083</v>
      </c>
    </row>
    <row r="75" spans="1:12" x14ac:dyDescent="0.2">
      <c r="A75" t="e" vm="75">
        <v>#VALUE!</v>
      </c>
      <c r="B75" t="str" cm="1">
        <f t="array" aca="1" ref="B75" ca="1">_FV(table1[[#This Row],[DataField]],"Ticker symbol",TRUE)</f>
        <v>MCO</v>
      </c>
      <c r="F75" s="2" cm="1">
        <f t="array" aca="1" ref="F75" ca="1">_FV(table1[[#This Row],[DataField]],"Price")</f>
        <v>435.12</v>
      </c>
      <c r="G75" s="2" cm="1">
        <f t="array" aca="1" ref="G75" ca="1">_FV(table1[[#This Row],[DataField]],"52 week low",TRUE)</f>
        <v>378.71</v>
      </c>
      <c r="H75" s="2" cm="1">
        <f t="array" aca="1" ref="H75" ca="1">_FV(table1[[#This Row],[DataField]],"52 week high",TRUE)</f>
        <v>546.88</v>
      </c>
      <c r="I75" s="4" cm="1">
        <f t="array" aca="1" ref="I75" ca="1">_FV(table1[[#This Row],[DataField]],"P/E",TRUE)</f>
        <v>31.833300000000001</v>
      </c>
      <c r="J75" s="2" t="str">
        <f ca="1">IF(table1[[#This Row],[Price]] &lt; (table1[[#This Row],[52Low]] * 0.25) + table1[[#This Row],[52Low]],  "TRUE", "FALSE")</f>
        <v>TRUE</v>
      </c>
      <c r="K75" s="7" t="str">
        <f ca="1">IF(table1[[#This Row],[Price]] &lt; (table1[[#This Row],[52Low]] * 0.1) + table1[[#This Row],[52Low]],  "TRUE", "FALSE")</f>
        <v>FALSE</v>
      </c>
      <c r="L75" s="6" cm="1">
        <f t="array" aca="1" ref="L75" ca="1">_FV(table1[[#This Row],[DataField]],"Market cap",TRUE)</f>
        <v>77453056968</v>
      </c>
    </row>
    <row r="76" spans="1:12" x14ac:dyDescent="0.2">
      <c r="A76" t="e" vm="76">
        <v>#VALUE!</v>
      </c>
      <c r="B76" t="str" cm="1">
        <f t="array" aca="1" ref="B76" ca="1">_FV(table1[[#This Row],[DataField]],"Ticker symbol",TRUE)</f>
        <v>MDLZ</v>
      </c>
      <c r="F76" s="2" cm="1">
        <f t="array" aca="1" ref="F76" ca="1">_FV(table1[[#This Row],[DataField]],"Price")</f>
        <v>56.21</v>
      </c>
      <c r="G76" s="2" cm="1">
        <f t="array" aca="1" ref="G76" ca="1">_FV(table1[[#This Row],[DataField]],"52 week low",TRUE)</f>
        <v>51.200800000000001</v>
      </c>
      <c r="H76" s="2" cm="1">
        <f t="array" aca="1" ref="H76" ca="1">_FV(table1[[#This Row],[DataField]],"52 week high",TRUE)</f>
        <v>71.150000000000006</v>
      </c>
      <c r="I76" s="4" cm="1">
        <f t="array" aca="1" ref="I76" ca="1">_FV(table1[[#This Row],[DataField]],"P/E",TRUE)</f>
        <v>29.7486</v>
      </c>
      <c r="J76" s="2" t="str">
        <f ca="1">IF(table1[[#This Row],[Price]] &lt; (table1[[#This Row],[52Low]] * 0.25) + table1[[#This Row],[52Low]],  "TRUE", "FALSE")</f>
        <v>TRUE</v>
      </c>
      <c r="K76" s="2" t="str">
        <f ca="1">IF(table1[[#This Row],[Price]] &lt; (table1[[#This Row],[52Low]] * 0.1) + table1[[#This Row],[52Low]],  "TRUE", "FALSE")</f>
        <v>TRUE</v>
      </c>
      <c r="L76" s="6" cm="1">
        <f t="array" aca="1" ref="L76" ca="1">_FV(table1[[#This Row],[DataField]],"Market cap",TRUE)</f>
        <v>72052563660</v>
      </c>
    </row>
    <row r="77" spans="1:12" x14ac:dyDescent="0.2">
      <c r="A77" t="e" vm="77">
        <v>#VALUE!</v>
      </c>
      <c r="B77" t="str" cm="1">
        <f t="array" aca="1" ref="B77" ca="1">_FV(table1[[#This Row],[DataField]],"Ticker symbol",TRUE)</f>
        <v>META</v>
      </c>
      <c r="F77" s="2" cm="1">
        <f t="array" aca="1" ref="F77" ca="1">_FV(table1[[#This Row],[DataField]],"Price")</f>
        <v>593.66</v>
      </c>
      <c r="G77" s="2" cm="1">
        <f t="array" aca="1" ref="G77" ca="1">_FV(table1[[#This Row],[DataField]],"52 week low",TRUE)</f>
        <v>479.8</v>
      </c>
      <c r="H77" s="2" cm="1">
        <f t="array" aca="1" ref="H77" ca="1">_FV(table1[[#This Row],[DataField]],"52 week high",TRUE)</f>
        <v>796.25</v>
      </c>
      <c r="I77" s="4" cm="1">
        <f t="array" aca="1" ref="I77" ca="1">_FV(table1[[#This Row],[DataField]],"P/E",TRUE)</f>
        <v>20.3095</v>
      </c>
      <c r="J77" s="2" t="str">
        <f ca="1">IF(table1[[#This Row],[Price]] &lt; (table1[[#This Row],[52Low]] * 0.25) + table1[[#This Row],[52Low]],  "TRUE", "FALSE")</f>
        <v>TRUE</v>
      </c>
      <c r="K77" s="2" t="str">
        <f ca="1">IF(table1[[#This Row],[Price]] &lt; (table1[[#This Row],[52Low]] * 0.1) + table1[[#This Row],[52Low]],  "TRUE", "FALSE")</f>
        <v>FALSE</v>
      </c>
      <c r="L77" s="6" cm="1">
        <f t="array" aca="1" ref="L77" ca="1">_FV(table1[[#This Row],[DataField]],"Market cap",TRUE)</f>
        <v>1501695621300</v>
      </c>
    </row>
    <row r="78" spans="1:12" x14ac:dyDescent="0.2">
      <c r="A78" t="e" vm="78">
        <v>#VALUE!</v>
      </c>
      <c r="B78" t="str" cm="1">
        <f t="array" aca="1" ref="B78" ca="1">_FV(table1[[#This Row],[DataField]],"Ticker symbol",TRUE)</f>
        <v>MMM</v>
      </c>
      <c r="F78" s="2" cm="1">
        <f t="array" aca="1" ref="F78" ca="1">_FV(table1[[#This Row],[DataField]],"Price")</f>
        <v>141.19999999999999</v>
      </c>
      <c r="G78" s="2" cm="1">
        <f t="array" aca="1" ref="G78" ca="1">_FV(table1[[#This Row],[DataField]],"52 week low",TRUE)</f>
        <v>121.97709999999999</v>
      </c>
      <c r="H78" s="2" cm="1">
        <f t="array" aca="1" ref="H78" ca="1">_FV(table1[[#This Row],[DataField]],"52 week high",TRUE)</f>
        <v>177.41</v>
      </c>
      <c r="I78" s="4" cm="1">
        <f t="array" aca="1" ref="I78" ca="1">_FV(table1[[#This Row],[DataField]],"P/E",TRUE)</f>
        <v>23.550599999999999</v>
      </c>
      <c r="J78" s="2" t="str">
        <f ca="1">IF(table1[[#This Row],[Price]] &lt; (table1[[#This Row],[52Low]] * 0.25) + table1[[#This Row],[52Low]],  "TRUE", "FALSE")</f>
        <v>TRUE</v>
      </c>
      <c r="K78" s="2" t="str">
        <f ca="1">IF(table1[[#This Row],[Price]] &lt; (table1[[#This Row],[52Low]] * 0.1) + table1[[#This Row],[52Low]],  "TRUE", "FALSE")</f>
        <v>FALSE</v>
      </c>
      <c r="L78" s="6" cm="1">
        <f t="array" aca="1" ref="L78" ca="1">_FV(table1[[#This Row],[DataField]],"Market cap",TRUE)</f>
        <v>74370040000</v>
      </c>
    </row>
    <row r="79" spans="1:12" x14ac:dyDescent="0.2">
      <c r="A79" t="e" vm="79">
        <v>#VALUE!</v>
      </c>
      <c r="B79" t="str" cm="1">
        <f t="array" aca="1" ref="B79" ca="1">_FV(table1[[#This Row],[DataField]],"Ticker symbol",TRUE)</f>
        <v>MO</v>
      </c>
      <c r="F79" s="2" cm="1">
        <f t="array" aca="1" ref="F79" ca="1">_FV(table1[[#This Row],[DataField]],"Price")</f>
        <v>64.47</v>
      </c>
      <c r="G79" s="2" cm="1">
        <f t="array" aca="1" ref="G79" ca="1">_FV(table1[[#This Row],[DataField]],"52 week low",TRUE)</f>
        <v>52.82</v>
      </c>
      <c r="H79" s="2" cm="1">
        <f t="array" aca="1" ref="H79" ca="1">_FV(table1[[#This Row],[DataField]],"52 week high",TRUE)</f>
        <v>70.510000000000005</v>
      </c>
      <c r="I79" s="4" cm="1">
        <f t="array" aca="1" ref="I79" ca="1">_FV(table1[[#This Row],[DataField]],"P/E",TRUE)</f>
        <v>15.660600000000001</v>
      </c>
      <c r="J79" s="2" t="str">
        <f ca="1">IF(table1[[#This Row],[Price]] &lt; (table1[[#This Row],[52Low]] * 0.25) + table1[[#This Row],[52Low]],  "TRUE", "FALSE")</f>
        <v>TRUE</v>
      </c>
      <c r="K79" s="2" t="str">
        <f ca="1">IF(table1[[#This Row],[Price]] &lt; (table1[[#This Row],[52Low]] * 0.1) + table1[[#This Row],[52Low]],  "TRUE", "FALSE")</f>
        <v>FALSE</v>
      </c>
      <c r="L79" s="6" cm="1">
        <f t="array" aca="1" ref="L79" ca="1">_FV(table1[[#This Row],[DataField]],"Market cap",TRUE)</f>
        <v>107787264060</v>
      </c>
    </row>
    <row r="80" spans="1:12" x14ac:dyDescent="0.2">
      <c r="A80" t="e" vm="80">
        <v>#VALUE!</v>
      </c>
      <c r="B80" t="str" cm="1">
        <f t="array" aca="1" ref="B80" ca="1">_FV(table1[[#This Row],[DataField]],"Ticker symbol",TRUE)</f>
        <v>MRK</v>
      </c>
      <c r="F80" s="2" cm="1">
        <f t="array" aca="1" ref="F80" ca="1">_FV(table1[[#This Row],[DataField]],"Price")</f>
        <v>114.18</v>
      </c>
      <c r="G80" s="2" cm="1">
        <f t="array" aca="1" ref="G80" ca="1">_FV(table1[[#This Row],[DataField]],"52 week low",TRUE)</f>
        <v>73.31</v>
      </c>
      <c r="H80" s="2" cm="1">
        <f t="array" aca="1" ref="H80" ca="1">_FV(table1[[#This Row],[DataField]],"52 week high",TRUE)</f>
        <v>125.14</v>
      </c>
      <c r="I80" s="4" cm="1">
        <f t="array" aca="1" ref="I80" ca="1">_FV(table1[[#This Row],[DataField]],"P/E",TRUE)</f>
        <v>15.692500000000001</v>
      </c>
      <c r="J80" s="2" t="str">
        <f ca="1">IF(table1[[#This Row],[Price]] &lt; (table1[[#This Row],[52Low]] * 0.25) + table1[[#This Row],[52Low]],  "TRUE", "FALSE")</f>
        <v>FALSE</v>
      </c>
      <c r="K80" s="2" t="str">
        <f ca="1">IF(table1[[#This Row],[Price]] &lt; (table1[[#This Row],[52Low]] * 0.1) + table1[[#This Row],[52Low]],  "TRUE", "FALSE")</f>
        <v>FALSE</v>
      </c>
      <c r="L80" s="6" cm="1">
        <f t="array" aca="1" ref="L80" ca="1">_FV(table1[[#This Row],[DataField]],"Market cap",TRUE)</f>
        <v>282297718560</v>
      </c>
    </row>
    <row r="81" spans="1:12" x14ac:dyDescent="0.2">
      <c r="A81" t="e" vm="81">
        <v>#VALUE!</v>
      </c>
      <c r="B81" t="str" cm="1">
        <f t="array" aca="1" ref="B81" ca="1">_FV(table1[[#This Row],[DataField]],"Ticker symbol",TRUE)</f>
        <v>NOC</v>
      </c>
      <c r="F81" s="2" cm="1">
        <f t="array" aca="1" ref="F81" ca="1">_FV(table1[[#This Row],[DataField]],"Price")</f>
        <v>706.95</v>
      </c>
      <c r="G81" s="2" cm="1">
        <f t="array" aca="1" ref="G81" ca="1">_FV(table1[[#This Row],[DataField]],"52 week low",TRUE)</f>
        <v>450.13</v>
      </c>
      <c r="H81" s="2" cm="1">
        <f t="array" aca="1" ref="H81" ca="1">_FV(table1[[#This Row],[DataField]],"52 week high",TRUE)</f>
        <v>774</v>
      </c>
      <c r="I81" s="4" cm="1">
        <f t="array" aca="1" ref="I81" ca="1">_FV(table1[[#This Row],[DataField]],"P/E",TRUE)</f>
        <v>24.308800000000002</v>
      </c>
      <c r="J81" s="2" t="str">
        <f ca="1">IF(table1[[#This Row],[Price]] &lt; (table1[[#This Row],[52Low]] * 0.25) + table1[[#This Row],[52Low]],  "TRUE", "FALSE")</f>
        <v>FALSE</v>
      </c>
      <c r="K81" s="2" t="str">
        <f ca="1">IF(table1[[#This Row],[Price]] &lt; (table1[[#This Row],[52Low]] * 0.1) + table1[[#This Row],[52Low]],  "TRUE", "FALSE")</f>
        <v>FALSE</v>
      </c>
      <c r="L81" s="6" cm="1">
        <f t="array" aca="1" ref="L81" ca="1">_FV(table1[[#This Row],[DataField]],"Market cap",TRUE)</f>
        <v>100331475120</v>
      </c>
    </row>
    <row r="82" spans="1:12" x14ac:dyDescent="0.2">
      <c r="A82" t="e" vm="82">
        <v>#VALUE!</v>
      </c>
      <c r="B82" t="str" cm="1">
        <f t="array" aca="1" ref="B82" ca="1">_FV(table1[[#This Row],[DataField]],"Ticker symbol",TRUE)</f>
        <v>NSRGY</v>
      </c>
      <c r="F82" s="2" cm="1">
        <f t="array" aca="1" ref="F82" ca="1">_FV(table1[[#This Row],[DataField]],"Price")</f>
        <v>95.6</v>
      </c>
      <c r="G82" s="2" cm="1">
        <f t="array" aca="1" ref="G82" ca="1">_FV(table1[[#This Row],[DataField]],"52 week low",TRUE)</f>
        <v>86.98</v>
      </c>
      <c r="H82" s="2" cm="1">
        <f t="array" aca="1" ref="H82" ca="1">_FV(table1[[#This Row],[DataField]],"52 week high",TRUE)</f>
        <v>109.59</v>
      </c>
      <c r="I82" s="4" cm="1">
        <f t="array" aca="1" ref="I82" ca="1">_FV(table1[[#This Row],[DataField]],"P/E",TRUE)</f>
        <v>21.575199999999999</v>
      </c>
      <c r="J82" s="2" t="str">
        <f ca="1">IF(table1[[#This Row],[Price]] &lt; (table1[[#This Row],[52Low]] * 0.25) + table1[[#This Row],[52Low]],  "TRUE", "FALSE")</f>
        <v>TRUE</v>
      </c>
      <c r="K82" s="7" t="str">
        <f ca="1">IF(table1[[#This Row],[Price]] &lt; (table1[[#This Row],[52Low]] * 0.1) + table1[[#This Row],[52Low]],  "TRUE", "FALSE")</f>
        <v>TRUE</v>
      </c>
      <c r="L82" s="6" cm="1">
        <f t="array" aca="1" ref="L82" ca="1">_FV(table1[[#This Row],[DataField]],"Market cap",TRUE)</f>
        <v>264273656399</v>
      </c>
    </row>
    <row r="83" spans="1:12" x14ac:dyDescent="0.2">
      <c r="A83" t="e" vm="83">
        <v>#VALUE!</v>
      </c>
      <c r="B83" t="str" cm="1">
        <f t="array" aca="1" ref="B83" ca="1">_FV(table1[[#This Row],[DataField]],"Ticker symbol",TRUE)</f>
        <v>NVDA</v>
      </c>
      <c r="E83">
        <v>2</v>
      </c>
      <c r="F83" s="2" cm="1">
        <f t="array" aca="1" ref="F83" ca="1">_FV(table1[[#This Row],[DataField]],"Price")</f>
        <v>172.7</v>
      </c>
      <c r="G83" s="2" cm="1">
        <f t="array" aca="1" ref="G83" ca="1">_FV(table1[[#This Row],[DataField]],"52 week low",TRUE)</f>
        <v>86.62</v>
      </c>
      <c r="H83" s="2" cm="1">
        <f t="array" aca="1" ref="H83" ca="1">_FV(table1[[#This Row],[DataField]],"52 week high",TRUE)</f>
        <v>212.18989999999999</v>
      </c>
      <c r="I83" s="4" cm="1">
        <f t="array" aca="1" ref="I83" ca="1">_FV(table1[[#This Row],[DataField]],"P/E",TRUE)</f>
        <v>36.427799999999998</v>
      </c>
      <c r="J83" s="2" t="str">
        <f ca="1">IF(table1[[#This Row],[Price]] &lt; (table1[[#This Row],[52Low]] * 0.25) + table1[[#This Row],[52Low]],  "TRUE", "FALSE")</f>
        <v>FALSE</v>
      </c>
      <c r="K83" s="2" t="str">
        <f ca="1">IF(table1[[#This Row],[Price]] &lt; (table1[[#This Row],[52Low]] * 0.1) + table1[[#This Row],[52Low]],  "TRUE", "FALSE")</f>
        <v>FALSE</v>
      </c>
      <c r="L83" s="6" cm="1">
        <f t="array" aca="1" ref="L83" ca="1">_FV(table1[[#This Row],[DataField]],"Market cap",TRUE)</f>
        <v>4196609999999</v>
      </c>
    </row>
    <row r="84" spans="1:12" x14ac:dyDescent="0.2">
      <c r="A84" t="e" vm="84">
        <v>#VALUE!</v>
      </c>
      <c r="B84" t="str" cm="1">
        <f t="array" aca="1" ref="B84" ca="1">_FV(table1[[#This Row],[DataField]],"Ticker symbol",TRUE)</f>
        <v>PFE</v>
      </c>
      <c r="F84" s="2" cm="1">
        <f t="array" aca="1" ref="F84" ca="1">_FV(table1[[#This Row],[DataField]],"Price")</f>
        <v>26.97</v>
      </c>
      <c r="G84" s="2" cm="1">
        <f t="array" aca="1" ref="G84" ca="1">_FV(table1[[#This Row],[DataField]],"52 week low",TRUE)</f>
        <v>20.914999999999999</v>
      </c>
      <c r="H84" s="2" cm="1">
        <f t="array" aca="1" ref="H84" ca="1">_FV(table1[[#This Row],[DataField]],"52 week high",TRUE)</f>
        <v>27.94</v>
      </c>
      <c r="I84" s="4" cm="1">
        <f t="array" aca="1" ref="I84" ca="1">_FV(table1[[#This Row],[DataField]],"P/E",TRUE)</f>
        <v>19.890799999999999</v>
      </c>
      <c r="J84" s="2" t="str">
        <f ca="1">IF(table1[[#This Row],[Price]] &lt; (table1[[#This Row],[52Low]] * 0.25) + table1[[#This Row],[52Low]],  "TRUE", "FALSE")</f>
        <v>FALSE</v>
      </c>
      <c r="K84" s="2" t="str">
        <f ca="1">IF(table1[[#This Row],[Price]] &lt; (table1[[#This Row],[52Low]] * 0.1) + table1[[#This Row],[52Low]],  "TRUE", "FALSE")</f>
        <v>FALSE</v>
      </c>
      <c r="L84" s="6" cm="1">
        <f t="array" aca="1" ref="L84" ca="1">_FV(table1[[#This Row],[DataField]],"Market cap",TRUE)</f>
        <v>153414961320</v>
      </c>
    </row>
    <row r="85" spans="1:12" x14ac:dyDescent="0.2">
      <c r="A85" t="e" vm="85">
        <v>#VALUE!</v>
      </c>
      <c r="B85" t="str" cm="1">
        <f t="array" aca="1" ref="B85" ca="1">_FV(table1[[#This Row],[DataField]],"Ticker symbol",TRUE)</f>
        <v>PM</v>
      </c>
      <c r="F85" s="2" cm="1">
        <f t="array" aca="1" ref="F85" ca="1">_FV(table1[[#This Row],[DataField]],"Price")</f>
        <v>163.11000000000001</v>
      </c>
      <c r="G85" s="2" cm="1">
        <f t="array" aca="1" ref="G85" ca="1">_FV(table1[[#This Row],[DataField]],"52 week low",TRUE)</f>
        <v>142.11000000000001</v>
      </c>
      <c r="H85" s="2" cm="1">
        <f t="array" aca="1" ref="H85" ca="1">_FV(table1[[#This Row],[DataField]],"52 week high",TRUE)</f>
        <v>191.3</v>
      </c>
      <c r="I85" s="4" cm="1">
        <f t="array" aca="1" ref="I85" ca="1">_FV(table1[[#This Row],[DataField]],"P/E",TRUE)</f>
        <v>22.457000000000001</v>
      </c>
      <c r="J85" s="2" t="str">
        <f ca="1">IF(table1[[#This Row],[Price]] &lt; (table1[[#This Row],[52Low]] * 0.25) + table1[[#This Row],[52Low]],  "TRUE", "FALSE")</f>
        <v>TRUE</v>
      </c>
      <c r="K85" s="7" t="str">
        <f ca="1">IF(table1[[#This Row],[Price]] &lt; (table1[[#This Row],[52Low]] * 0.1) + table1[[#This Row],[52Low]],  "TRUE", "FALSE")</f>
        <v>FALSE</v>
      </c>
      <c r="L85" s="6" cm="1">
        <f t="array" aca="1" ref="L85" ca="1">_FV(table1[[#This Row],[DataField]],"Market cap",TRUE)</f>
        <v>253910074800</v>
      </c>
    </row>
    <row r="86" spans="1:12" x14ac:dyDescent="0.2">
      <c r="A86" t="e" vm="86">
        <v>#VALUE!</v>
      </c>
      <c r="B86" t="str" cm="1">
        <f t="array" aca="1" ref="B86" ca="1">_FV(table1[[#This Row],[DataField]],"Ticker symbol",TRUE)</f>
        <v>PPG</v>
      </c>
      <c r="F86" s="2" cm="1">
        <f t="array" aca="1" ref="F86" ca="1">_FV(table1[[#This Row],[DataField]],"Price")</f>
        <v>97.22</v>
      </c>
      <c r="G86" s="2" cm="1">
        <f t="array" aca="1" ref="G86" ca="1">_FV(table1[[#This Row],[DataField]],"52 week low",TRUE)</f>
        <v>90.24</v>
      </c>
      <c r="H86" s="2" cm="1">
        <f t="array" aca="1" ref="H86" ca="1">_FV(table1[[#This Row],[DataField]],"52 week high",TRUE)</f>
        <v>133.43</v>
      </c>
      <c r="I86" s="4" cm="1">
        <f t="array" aca="1" ref="I86" ca="1">_FV(table1[[#This Row],[DataField]],"P/E",TRUE)</f>
        <v>14.0589</v>
      </c>
      <c r="J86" s="2" t="str">
        <f ca="1">IF(table1[[#This Row],[Price]] &lt; (table1[[#This Row],[52Low]] * 0.25) + table1[[#This Row],[52Low]],  "TRUE", "FALSE")</f>
        <v>TRUE</v>
      </c>
      <c r="K86" s="7" t="str">
        <f ca="1">IF(table1[[#This Row],[Price]] &lt; (table1[[#This Row],[52Low]] * 0.1) + table1[[#This Row],[52Low]],  "TRUE", "FALSE")</f>
        <v>TRUE</v>
      </c>
      <c r="L86" s="6" cm="1">
        <f t="array" aca="1" ref="L86" ca="1">_FV(table1[[#This Row],[DataField]],"Market cap",TRUE)</f>
        <v>21757699892</v>
      </c>
    </row>
    <row r="87" spans="1:12" x14ac:dyDescent="0.2">
      <c r="A87" t="e" vm="87">
        <v>#VALUE!</v>
      </c>
      <c r="B87" t="str" cm="1">
        <f t="array" aca="1" ref="B87" ca="1">_FV(table1[[#This Row],[DataField]],"Ticker symbol",TRUE)</f>
        <v>QCOM</v>
      </c>
      <c r="F87" s="2" cm="1">
        <f t="array" aca="1" ref="F87" ca="1">_FV(table1[[#This Row],[DataField]],"Price")</f>
        <v>129.9</v>
      </c>
      <c r="G87" s="2" cm="1">
        <f t="array" aca="1" ref="G87" ca="1">_FV(table1[[#This Row],[DataField]],"52 week low",TRUE)</f>
        <v>120.8019</v>
      </c>
      <c r="H87" s="2" cm="1">
        <f t="array" aca="1" ref="H87" ca="1">_FV(table1[[#This Row],[DataField]],"52 week high",TRUE)</f>
        <v>205.95</v>
      </c>
      <c r="I87" s="4" cm="1">
        <f t="array" aca="1" ref="I87" ca="1">_FV(table1[[#This Row],[DataField]],"P/E",TRUE)</f>
        <v>27.121700000000001</v>
      </c>
      <c r="J87" s="2" t="str">
        <f ca="1">IF(table1[[#This Row],[Price]] &lt; (table1[[#This Row],[52Low]] * 0.25) + table1[[#This Row],[52Low]],  "TRUE", "FALSE")</f>
        <v>TRUE</v>
      </c>
      <c r="K87" s="2" t="str">
        <f ca="1">IF(table1[[#This Row],[Price]] &lt; (table1[[#This Row],[52Low]] * 0.1) + table1[[#This Row],[52Low]],  "TRUE", "FALSE")</f>
        <v>TRUE</v>
      </c>
      <c r="L87" s="6" cm="1">
        <f t="array" aca="1" ref="L87" ca="1">_FV(table1[[#This Row],[DataField]],"Market cap",TRUE)</f>
        <v>138603300000</v>
      </c>
    </row>
    <row r="88" spans="1:12" x14ac:dyDescent="0.2">
      <c r="A88" t="e" vm="88">
        <v>#VALUE!</v>
      </c>
      <c r="B88" t="str" cm="1">
        <f t="array" aca="1" ref="B88" ca="1">_FV(table1[[#This Row],[DataField]],"Ticker symbol",TRUE)</f>
        <v>SBUX</v>
      </c>
      <c r="F88" s="2" cm="1">
        <f t="array" aca="1" ref="F88" ca="1">_FV(table1[[#This Row],[DataField]],"Price")</f>
        <v>92.55</v>
      </c>
      <c r="G88" s="2" cm="1">
        <f t="array" aca="1" ref="G88" ca="1">_FV(table1[[#This Row],[DataField]],"52 week low",TRUE)</f>
        <v>75.5</v>
      </c>
      <c r="H88" s="2" cm="1">
        <f t="array" aca="1" ref="H88" ca="1">_FV(table1[[#This Row],[DataField]],"52 week high",TRUE)</f>
        <v>104.82</v>
      </c>
      <c r="I88" s="4" cm="1">
        <f t="array" aca="1" ref="I88" ca="1">_FV(table1[[#This Row],[DataField]],"P/E",TRUE)</f>
        <v>77.099299999999999</v>
      </c>
      <c r="J88" s="2" t="str">
        <f ca="1">IF(table1[[#This Row],[Price]] &lt; (table1[[#This Row],[52Low]] * 0.25) + table1[[#This Row],[52Low]],  "TRUE", "FALSE")</f>
        <v>TRUE</v>
      </c>
      <c r="K88" s="7" t="str">
        <f ca="1">IF(table1[[#This Row],[Price]] &lt; (table1[[#This Row],[52Low]] * 0.1) + table1[[#This Row],[52Low]],  "TRUE", "FALSE")</f>
        <v>FALSE</v>
      </c>
      <c r="L88" s="6" cm="1">
        <f t="array" aca="1" ref="L88" ca="1">_FV(table1[[#This Row],[DataField]],"Market cap",TRUE)</f>
        <v>105442215000</v>
      </c>
    </row>
    <row r="89" spans="1:12" ht="18" customHeight="1" x14ac:dyDescent="0.2">
      <c r="A89" t="e" vm="89">
        <v>#VALUE!</v>
      </c>
      <c r="B89" t="str" cm="1">
        <f t="array" aca="1" ref="B89" ca="1">_FV(table1[[#This Row],[DataField]],"Ticker symbol",TRUE)</f>
        <v>SCHW</v>
      </c>
      <c r="F89" s="2" cm="1">
        <f t="array" aca="1" ref="F89" ca="1">_FV(table1[[#This Row],[DataField]],"Price")</f>
        <v>94.66</v>
      </c>
      <c r="G89" s="2" cm="1">
        <f t="array" aca="1" ref="G89" ca="1">_FV(table1[[#This Row],[DataField]],"52 week low",TRUE)</f>
        <v>65.88</v>
      </c>
      <c r="H89" s="2" cm="1">
        <f t="array" aca="1" ref="H89" ca="1">_FV(table1[[#This Row],[DataField]],"52 week high",TRUE)</f>
        <v>107.5</v>
      </c>
      <c r="I89" s="4" cm="1">
        <f t="array" aca="1" ref="I89" ca="1">_FV(table1[[#This Row],[DataField]],"P/E",TRUE)</f>
        <v>20.157499999999999</v>
      </c>
      <c r="J89" s="2" t="str">
        <f ca="1">IF(table1[[#This Row],[Price]] &lt; (table1[[#This Row],[52Low]] * 0.25) + table1[[#This Row],[52Low]],  "TRUE", "FALSE")</f>
        <v>FALSE</v>
      </c>
      <c r="K89" s="2" t="str">
        <f ca="1">IF(table1[[#This Row],[Price]] &lt; (table1[[#This Row],[52Low]] * 0.1) + table1[[#This Row],[52Low]],  "TRUE", "FALSE")</f>
        <v>FALSE</v>
      </c>
      <c r="L89" s="6" cm="1">
        <f t="array" aca="1" ref="L89" ca="1">_FV(table1[[#This Row],[DataField]],"Market cap",TRUE)</f>
        <v>165864198600</v>
      </c>
    </row>
    <row r="90" spans="1:12" x14ac:dyDescent="0.2">
      <c r="A90" t="e" vm="90">
        <v>#VALUE!</v>
      </c>
      <c r="B90" t="str" cm="1">
        <f t="array" aca="1" ref="B90" ca="1">_FV(table1[[#This Row],[DataField]],"Ticker symbol",TRUE)</f>
        <v>SHW</v>
      </c>
      <c r="F90" s="2" cm="1">
        <f t="array" aca="1" ref="F90" ca="1">_FV(table1[[#This Row],[DataField]],"Price")</f>
        <v>303.52999999999997</v>
      </c>
      <c r="G90" s="2" cm="1">
        <f t="array" aca="1" ref="G90" ca="1">_FV(table1[[#This Row],[DataField]],"52 week low",TRUE)</f>
        <v>301.58</v>
      </c>
      <c r="H90" s="2" cm="1">
        <f t="array" aca="1" ref="H90" ca="1">_FV(table1[[#This Row],[DataField]],"52 week high",TRUE)</f>
        <v>379.65</v>
      </c>
      <c r="I90" s="4" cm="1">
        <f t="array" aca="1" ref="I90" ca="1">_FV(table1[[#This Row],[DataField]],"P/E",TRUE)</f>
        <v>29.590699999999998</v>
      </c>
      <c r="J90" s="2" t="str">
        <f ca="1">IF(table1[[#This Row],[Price]] &lt; (table1[[#This Row],[52Low]] * 0.25) + table1[[#This Row],[52Low]],  "TRUE", "FALSE")</f>
        <v>TRUE</v>
      </c>
      <c r="K90" s="2" t="str">
        <f ca="1">IF(table1[[#This Row],[Price]] &lt; (table1[[#This Row],[52Low]] * 0.1) + table1[[#This Row],[52Low]],  "TRUE", "FALSE")</f>
        <v>TRUE</v>
      </c>
      <c r="L90" s="6" cm="1">
        <f t="array" aca="1" ref="L90" ca="1">_FV(table1[[#This Row],[DataField]],"Market cap",TRUE)</f>
        <v>75081909272</v>
      </c>
    </row>
    <row r="91" spans="1:12" x14ac:dyDescent="0.2">
      <c r="A91" t="e" vm="91">
        <v>#VALUE!</v>
      </c>
      <c r="B91" t="str" cm="1">
        <f t="array" aca="1" ref="B91" ca="1">_FV(table1[[#This Row],[DataField]],"Ticker symbol",TRUE)</f>
        <v>SNA</v>
      </c>
      <c r="F91" s="2" cm="1">
        <f t="array" aca="1" ref="F91" ca="1">_FV(table1[[#This Row],[DataField]],"Price")</f>
        <v>356.9</v>
      </c>
      <c r="G91" s="2" cm="1">
        <f t="array" aca="1" ref="G91" ca="1">_FV(table1[[#This Row],[DataField]],"52 week low",TRUE)</f>
        <v>289.81</v>
      </c>
      <c r="H91" s="2" cm="1">
        <f t="array" aca="1" ref="H91" ca="1">_FV(table1[[#This Row],[DataField]],"52 week high",TRUE)</f>
        <v>390.13</v>
      </c>
      <c r="I91" s="4" cm="1">
        <f t="array" aca="1" ref="I91" ca="1">_FV(table1[[#This Row],[DataField]],"P/E",TRUE)</f>
        <v>18.803000000000001</v>
      </c>
      <c r="J91" s="2" t="str">
        <f ca="1">IF(table1[[#This Row],[Price]] &lt; (table1[[#This Row],[52Low]] * 0.25) + table1[[#This Row],[52Low]],  "TRUE", "FALSE")</f>
        <v>TRUE</v>
      </c>
      <c r="K91" s="2" t="str">
        <f ca="1">IF(table1[[#This Row],[Price]] &lt; (table1[[#This Row],[52Low]] * 0.1) + table1[[#This Row],[52Low]],  "TRUE", "FALSE")</f>
        <v>FALSE</v>
      </c>
      <c r="L91" s="6" cm="1">
        <f t="array" aca="1" ref="L91" ca="1">_FV(table1[[#This Row],[DataField]],"Market cap",TRUE)</f>
        <v>18579264646</v>
      </c>
    </row>
    <row r="92" spans="1:12" x14ac:dyDescent="0.2">
      <c r="A92" t="e" vm="92">
        <v>#VALUE!</v>
      </c>
      <c r="B92" t="str" cm="1">
        <f t="array" aca="1" ref="B92" ca="1">_FV(table1[[#This Row],[DataField]],"Ticker symbol",TRUE)</f>
        <v>SO</v>
      </c>
      <c r="F92" s="2" cm="1">
        <f t="array" aca="1" ref="F92" ca="1">_FV(table1[[#This Row],[DataField]],"Price")</f>
        <v>93.39</v>
      </c>
      <c r="G92" s="2" cm="1">
        <f t="array" aca="1" ref="G92" ca="1">_FV(table1[[#This Row],[DataField]],"52 week low",TRUE)</f>
        <v>83.09</v>
      </c>
      <c r="H92" s="2" cm="1">
        <f t="array" aca="1" ref="H92" ca="1">_FV(table1[[#This Row],[DataField]],"52 week high",TRUE)</f>
        <v>100.83499999999999</v>
      </c>
      <c r="I92" s="4" cm="1">
        <f t="array" aca="1" ref="I92" ca="1">_FV(table1[[#This Row],[DataField]],"P/E",TRUE)</f>
        <v>23.842199999999998</v>
      </c>
      <c r="J92" s="2" t="str">
        <f ca="1">IF(table1[[#This Row],[Price]] &lt; (table1[[#This Row],[52Low]] * 0.25) + table1[[#This Row],[52Low]],  "TRUE", "FALSE")</f>
        <v>TRUE</v>
      </c>
      <c r="K92" s="2" t="str">
        <f ca="1">IF(table1[[#This Row],[Price]] &lt; (table1[[#This Row],[52Low]] * 0.1) + table1[[#This Row],[52Low]],  "TRUE", "FALSE")</f>
        <v>FALSE</v>
      </c>
      <c r="L92" s="6" cm="1">
        <f t="array" aca="1" ref="L92" ca="1">_FV(table1[[#This Row],[DataField]],"Market cap",TRUE)</f>
        <v>104539925490</v>
      </c>
    </row>
    <row r="93" spans="1:12" x14ac:dyDescent="0.2">
      <c r="A93" t="e" vm="93">
        <v>#VALUE!</v>
      </c>
      <c r="B93" t="str" cm="1">
        <f t="array" aca="1" ref="B93" ca="1">_FV(table1[[#This Row],[DataField]],"Ticker symbol",TRUE)</f>
        <v>SPGI</v>
      </c>
      <c r="F93" s="2" cm="1">
        <f t="array" aca="1" ref="F93" ca="1">_FV(table1[[#This Row],[DataField]],"Price")</f>
        <v>424.43</v>
      </c>
      <c r="G93" s="2" cm="1">
        <f t="array" aca="1" ref="G93" ca="1">_FV(table1[[#This Row],[DataField]],"52 week low",TRUE)</f>
        <v>381.60500000000002</v>
      </c>
      <c r="H93" s="2" cm="1">
        <f t="array" aca="1" ref="H93" ca="1">_FV(table1[[#This Row],[DataField]],"52 week high",TRUE)</f>
        <v>579.04999999999995</v>
      </c>
      <c r="I93" s="4" cm="1">
        <f t="array" aca="1" ref="I93" ca="1">_FV(table1[[#This Row],[DataField]],"P/E",TRUE)</f>
        <v>28.951000000000001</v>
      </c>
      <c r="J93" s="2" t="str">
        <f ca="1">IF(table1[[#This Row],[Price]] &lt; (table1[[#This Row],[52Low]] * 0.25) + table1[[#This Row],[52Low]],  "TRUE", "FALSE")</f>
        <v>TRUE</v>
      </c>
      <c r="K93" s="2" t="str">
        <f ca="1">IF(table1[[#This Row],[Price]] &lt; (table1[[#This Row],[52Low]] * 0.1) + table1[[#This Row],[52Low]],  "TRUE", "FALSE")</f>
        <v>FALSE</v>
      </c>
      <c r="L93" s="6" cm="1">
        <f t="array" aca="1" ref="L93" ca="1">_FV(table1[[#This Row],[DataField]],"Market cap",TRUE)</f>
        <v>126819684000</v>
      </c>
    </row>
    <row r="94" spans="1:12" x14ac:dyDescent="0.2">
      <c r="A94" t="e" vm="94">
        <v>#VALUE!</v>
      </c>
      <c r="B94" t="str" cm="1">
        <f t="array" aca="1" ref="B94" ca="1">_FV(table1[[#This Row],[DataField]],"Ticker symbol",TRUE)</f>
        <v>TGT</v>
      </c>
      <c r="F94" s="2" cm="1">
        <f t="array" aca="1" ref="F94" ca="1">_FV(table1[[#This Row],[DataField]],"Price")</f>
        <v>113.26</v>
      </c>
      <c r="G94" s="2" cm="1">
        <f t="array" aca="1" ref="G94" ca="1">_FV(table1[[#This Row],[DataField]],"52 week low",TRUE)</f>
        <v>83.44</v>
      </c>
      <c r="H94" s="2" cm="1">
        <f t="array" aca="1" ref="H94" ca="1">_FV(table1[[#This Row],[DataField]],"52 week high",TRUE)</f>
        <v>126</v>
      </c>
      <c r="I94" s="4" cm="1">
        <f t="array" aca="1" ref="I94" ca="1">_FV(table1[[#This Row],[DataField]],"P/E",TRUE)</f>
        <v>13.743</v>
      </c>
      <c r="J94" s="2" t="str">
        <f ca="1">IF(table1[[#This Row],[Price]] &lt; (table1[[#This Row],[52Low]] * 0.25) + table1[[#This Row],[52Low]],  "TRUE", "FALSE")</f>
        <v>FALSE</v>
      </c>
      <c r="K94" s="2" t="str">
        <f ca="1">IF(table1[[#This Row],[Price]] &lt; (table1[[#This Row],[52Low]] * 0.1) + table1[[#This Row],[52Low]],  "TRUE", "FALSE")</f>
        <v>FALSE</v>
      </c>
      <c r="L94" s="6" cm="1">
        <f t="array" aca="1" ref="L94" ca="1">_FV(table1[[#This Row],[DataField]],"Market cap",TRUE)</f>
        <v>51290425256</v>
      </c>
    </row>
    <row r="95" spans="1:12" x14ac:dyDescent="0.2">
      <c r="A95" t="e" vm="95">
        <v>#VALUE!</v>
      </c>
      <c r="B95" t="str" cm="1">
        <f t="array" aca="1" ref="B95" ca="1">_FV(table1[[#This Row],[DataField]],"Ticker symbol",TRUE)</f>
        <v>TSCO</v>
      </c>
      <c r="F95" s="2" cm="1">
        <f t="array" aca="1" ref="F95" ca="1">_FV(table1[[#This Row],[DataField]],"Price")</f>
        <v>45.77</v>
      </c>
      <c r="G95" s="2" cm="1">
        <f t="array" aca="1" ref="G95" ca="1">_FV(table1[[#This Row],[DataField]],"52 week low",TRUE)</f>
        <v>45.45</v>
      </c>
      <c r="H95" s="2" cm="1">
        <f t="array" aca="1" ref="H95" ca="1">_FV(table1[[#This Row],[DataField]],"52 week high",TRUE)</f>
        <v>63.989899999999999</v>
      </c>
      <c r="I95" s="4" cm="1">
        <f t="array" aca="1" ref="I95" ca="1">_FV(table1[[#This Row],[DataField]],"P/E",TRUE)</f>
        <v>22.418099999999999</v>
      </c>
      <c r="J95" s="2" t="str">
        <f ca="1">IF(table1[[#This Row],[Price]] &lt; (table1[[#This Row],[52Low]] * 0.25) + table1[[#This Row],[52Low]],  "TRUE", "FALSE")</f>
        <v>TRUE</v>
      </c>
      <c r="K95" s="7" t="str">
        <f ca="1">IF(table1[[#This Row],[Price]] &lt; (table1[[#This Row],[52Low]] * 0.1) + table1[[#This Row],[52Low]],  "TRUE", "FALSE")</f>
        <v>TRUE</v>
      </c>
      <c r="L95" s="6" cm="1">
        <f t="array" aca="1" ref="L95" ca="1">_FV(table1[[#This Row],[DataField]],"Market cap",TRUE)</f>
        <v>24091099001</v>
      </c>
    </row>
    <row r="96" spans="1:12" x14ac:dyDescent="0.2">
      <c r="A96" t="e" vm="96">
        <v>#VALUE!</v>
      </c>
      <c r="B96" t="str" cm="1">
        <f t="array" aca="1" ref="B96" ca="1">_FV(table1[[#This Row],[DataField]],"Ticker symbol",TRUE)</f>
        <v>TSM</v>
      </c>
      <c r="F96" s="2" cm="1">
        <f t="array" aca="1" ref="F96" ca="1">_FV(table1[[#This Row],[DataField]],"Price")</f>
        <v>329.24</v>
      </c>
      <c r="G96" s="2" cm="1">
        <f t="array" aca="1" ref="G96" ca="1">_FV(table1[[#This Row],[DataField]],"52 week low",TRUE)</f>
        <v>134.25</v>
      </c>
      <c r="H96" s="2" cm="1">
        <f t="array" aca="1" ref="H96" ca="1">_FV(table1[[#This Row],[DataField]],"52 week high",TRUE)</f>
        <v>390.20499999999998</v>
      </c>
      <c r="I96" s="4" cm="1">
        <f t="array" aca="1" ref="I96" ca="1">_FV(table1[[#This Row],[DataField]],"P/E",TRUE)</f>
        <v>31.142900000000001</v>
      </c>
      <c r="J96" s="2" t="str">
        <f ca="1">IF(table1[[#This Row],[Price]] &lt; (table1[[#This Row],[52Low]] * 0.25) + table1[[#This Row],[52Low]],  "TRUE", "FALSE")</f>
        <v>FALSE</v>
      </c>
      <c r="K96" s="2" t="str">
        <f ca="1">IF(table1[[#This Row],[Price]] &lt; (table1[[#This Row],[52Low]] * 0.1) + table1[[#This Row],[52Low]],  "TRUE", "FALSE")</f>
        <v>FALSE</v>
      </c>
      <c r="L96" s="6" cm="1">
        <f t="array" aca="1" ref="L96" ca="1">_FV(table1[[#This Row],[DataField]],"Market cap",TRUE)</f>
        <v>1764604596150</v>
      </c>
    </row>
    <row r="97" spans="1:12" x14ac:dyDescent="0.2">
      <c r="A97" t="e" vm="97">
        <v>#VALUE!</v>
      </c>
      <c r="B97" t="str" cm="1">
        <f t="array" aca="1" ref="B97" ca="1">_FV(table1[[#This Row],[DataField]],"Ticker symbol",TRUE)</f>
        <v>UNP</v>
      </c>
      <c r="F97" s="2" cm="1">
        <f t="array" aca="1" ref="F97" ca="1">_FV(table1[[#This Row],[DataField]],"Price")</f>
        <v>234.92</v>
      </c>
      <c r="G97" s="2" cm="1">
        <f t="array" aca="1" ref="G97" ca="1">_FV(table1[[#This Row],[DataField]],"52 week low",TRUE)</f>
        <v>204.66</v>
      </c>
      <c r="H97" s="2" cm="1">
        <f t="array" aca="1" ref="H97" ca="1">_FV(table1[[#This Row],[DataField]],"52 week high",TRUE)</f>
        <v>268.14</v>
      </c>
      <c r="I97" s="4" cm="1">
        <f t="array" aca="1" ref="I97" ca="1">_FV(table1[[#This Row],[DataField]],"P/E",TRUE)</f>
        <v>19.603899999999999</v>
      </c>
      <c r="J97" s="2" t="str">
        <f ca="1">IF(table1[[#This Row],[Price]] &lt; (table1[[#This Row],[52Low]] * 0.25) + table1[[#This Row],[52Low]],  "TRUE", "FALSE")</f>
        <v>TRUE</v>
      </c>
      <c r="K97" s="2" t="str">
        <f ca="1">IF(table1[[#This Row],[Price]] &lt; (table1[[#This Row],[52Low]] * 0.1) + table1[[#This Row],[52Low]],  "TRUE", "FALSE")</f>
        <v>FALSE</v>
      </c>
      <c r="L97" s="6" cm="1">
        <f t="array" aca="1" ref="L97" ca="1">_FV(table1[[#This Row],[DataField]],"Market cap",TRUE)</f>
        <v>139399531180</v>
      </c>
    </row>
    <row r="98" spans="1:12" x14ac:dyDescent="0.2">
      <c r="A98" t="e" vm="98">
        <v>#VALUE!</v>
      </c>
      <c r="B98" t="str" cm="1">
        <f t="array" aca="1" ref="B98" ca="1">_FV(table1[[#This Row],[DataField]],"Ticker symbol",TRUE)</f>
        <v>V</v>
      </c>
      <c r="F98" s="2" cm="1">
        <f t="array" aca="1" ref="F98" ca="1">_FV(table1[[#This Row],[DataField]],"Price")</f>
        <v>301.62</v>
      </c>
      <c r="G98" s="2" cm="1">
        <f t="array" aca="1" ref="G98" ca="1">_FV(table1[[#This Row],[DataField]],"52 week low",TRUE)</f>
        <v>297.03219999999999</v>
      </c>
      <c r="H98" s="2" cm="1">
        <f t="array" aca="1" ref="H98" ca="1">_FV(table1[[#This Row],[DataField]],"52 week high",TRUE)</f>
        <v>375.51</v>
      </c>
      <c r="I98" s="4" cm="1">
        <f t="array" aca="1" ref="I98" ca="1">_FV(table1[[#This Row],[DataField]],"P/E",TRUE)</f>
        <v>28.1234</v>
      </c>
      <c r="J98" s="2" t="str">
        <f ca="1">IF(table1[[#This Row],[Price]] &lt; (table1[[#This Row],[52Low]] * 0.25) + table1[[#This Row],[52Low]],  "TRUE", "FALSE")</f>
        <v>TRUE</v>
      </c>
      <c r="K98" s="2" t="str">
        <f ca="1">IF(table1[[#This Row],[Price]] &lt; (table1[[#This Row],[52Low]] * 0.1) + table1[[#This Row],[52Low]],  "TRUE", "FALSE")</f>
        <v>TRUE</v>
      </c>
      <c r="L98" s="6" cm="1">
        <f t="array" aca="1" ref="L98" ca="1">_FV(table1[[#This Row],[DataField]],"Market cap",TRUE)</f>
        <v>574890434580</v>
      </c>
    </row>
    <row r="99" spans="1:12" x14ac:dyDescent="0.2">
      <c r="A99" t="e" vm="99">
        <v>#VALUE!</v>
      </c>
      <c r="B99" t="str" cm="1">
        <f t="array" aca="1" ref="B99" ca="1">_FV(table1[[#This Row],[DataField]],"Ticker symbol",TRUE)</f>
        <v>VICI</v>
      </c>
      <c r="F99" s="2" cm="1">
        <f t="array" aca="1" ref="F99" ca="1">_FV(table1[[#This Row],[DataField]],"Price")</f>
        <v>26.83</v>
      </c>
      <c r="G99" s="2" cm="1">
        <f t="array" aca="1" ref="G99" ca="1">_FV(table1[[#This Row],[DataField]],"52 week low",TRUE)</f>
        <v>26.754999999999999</v>
      </c>
      <c r="H99" s="2" cm="1">
        <f t="array" aca="1" ref="H99" ca="1">_FV(table1[[#This Row],[DataField]],"52 week high",TRUE)</f>
        <v>34.01</v>
      </c>
      <c r="I99" s="4" cm="1">
        <f t="array" aca="1" ref="I99" ca="1">_FV(table1[[#This Row],[DataField]],"P/E",TRUE)</f>
        <v>10.271800000000001</v>
      </c>
      <c r="J99" s="2" t="str">
        <f ca="1">IF(table1[[#This Row],[Price]] &lt; (table1[[#This Row],[52Low]] * 0.25) + table1[[#This Row],[52Low]],  "TRUE", "FALSE")</f>
        <v>TRUE</v>
      </c>
      <c r="K99" s="7" t="str">
        <f ca="1">IF(table1[[#This Row],[Price]] &lt; (table1[[#This Row],[52Low]] * 0.1) + table1[[#This Row],[52Low]],  "TRUE", "FALSE")</f>
        <v>TRUE</v>
      </c>
      <c r="L99" s="6" cm="1">
        <f t="array" aca="1" ref="L99" ca="1">_FV(table1[[#This Row],[DataField]],"Market cap",TRUE)</f>
        <v>28680974870</v>
      </c>
    </row>
    <row r="100" spans="1:12" x14ac:dyDescent="0.2">
      <c r="A100" t="e" vm="100">
        <v>#VALUE!</v>
      </c>
      <c r="B100" t="str" cm="1">
        <f t="array" aca="1" ref="B100" ca="1">_FV(table1[[#This Row],[DataField]],"Ticker symbol",TRUE)</f>
        <v>WMT</v>
      </c>
      <c r="F100" s="2" cm="1">
        <f t="array" aca="1" ref="F100" ca="1">_FV(table1[[#This Row],[DataField]],"Price")</f>
        <v>119.02</v>
      </c>
      <c r="G100" s="2" cm="1">
        <f t="array" aca="1" ref="G100" ca="1">_FV(table1[[#This Row],[DataField]],"52 week low",TRUE)</f>
        <v>79.81</v>
      </c>
      <c r="H100" s="2" cm="1">
        <f t="array" aca="1" ref="H100" ca="1">_FV(table1[[#This Row],[DataField]],"52 week high",TRUE)</f>
        <v>134.69</v>
      </c>
      <c r="I100" s="4" cm="1">
        <f t="array" aca="1" ref="I100" ca="1">_FV(table1[[#This Row],[DataField]],"P/E",TRUE)</f>
        <v>44.27</v>
      </c>
      <c r="J100" s="2" t="str">
        <f ca="1">IF(table1[[#This Row],[Price]] &lt; (table1[[#This Row],[52Low]] * 0.25) + table1[[#This Row],[52Low]],  "TRUE", "FALSE")</f>
        <v>FALSE</v>
      </c>
      <c r="K100" s="2" t="str">
        <f ca="1">IF(table1[[#This Row],[Price]] &lt; (table1[[#This Row],[52Low]] * 0.1) + table1[[#This Row],[52Low]],  "TRUE", "FALSE")</f>
        <v>FALSE</v>
      </c>
      <c r="L100" s="6" cm="1">
        <f t="array" aca="1" ref="L100" ca="1">_FV(table1[[#This Row],[DataField]],"Market cap",TRUE)</f>
        <v>948875286040</v>
      </c>
    </row>
    <row r="101" spans="1:12" x14ac:dyDescent="0.2">
      <c r="A101" t="e" vm="101">
        <v>#VALUE!</v>
      </c>
      <c r="B101" t="str" cm="1">
        <f t="array" aca="1" ref="B101" ca="1">_FV(table1[[#This Row],[DataField]],"Ticker symbol",TRUE)</f>
        <v>XOM</v>
      </c>
      <c r="F101" s="2" cm="1">
        <f t="array" aca="1" ref="F101" ca="1">_FV(table1[[#This Row],[DataField]],"Price")</f>
        <v>159.66999999999999</v>
      </c>
      <c r="G101" s="2" cm="1">
        <f t="array" aca="1" ref="G101" ca="1">_FV(table1[[#This Row],[DataField]],"52 week low",TRUE)</f>
        <v>97.8</v>
      </c>
      <c r="H101" s="2" cm="1">
        <f t="array" aca="1" ref="H101" ca="1">_FV(table1[[#This Row],[DataField]],"52 week high",TRUE)</f>
        <v>162.44</v>
      </c>
      <c r="I101" s="4" cm="1">
        <f t="array" aca="1" ref="I101" ca="1">_FV(table1[[#This Row],[DataField]],"P/E",TRUE)</f>
        <v>23.9009</v>
      </c>
      <c r="J101" s="2" t="str">
        <f ca="1">IF(table1[[#This Row],[Price]] &lt; (table1[[#This Row],[52Low]] * 0.25) + table1[[#This Row],[52Low]],  "TRUE", "FALSE")</f>
        <v>FALSE</v>
      </c>
      <c r="K101" s="2" t="str">
        <f ca="1">IF(table1[[#This Row],[Price]] &lt; (table1[[#This Row],[52Low]] * 0.1) + table1[[#This Row],[52Low]],  "TRUE", "FALSE")</f>
        <v>FALSE</v>
      </c>
      <c r="L101" s="6" cm="1">
        <f t="array" aca="1" ref="L101" ca="1">_FV(table1[[#This Row],[DataField]],"Market cap",TRUE)</f>
        <v>665307207880</v>
      </c>
    </row>
    <row r="102" spans="1:12" x14ac:dyDescent="0.2">
      <c r="A102" t="e" vm="102">
        <v>#VALUE!</v>
      </c>
      <c r="B102" t="str" cm="1">
        <f t="array" aca="1" ref="B102" ca="1">_FV(table1[[#This Row],[DataField]],"Ticker symbol",TRUE)</f>
        <v>ZTS</v>
      </c>
      <c r="F102" s="2" cm="1">
        <f t="array" aca="1" ref="F102" ca="1">_FV(table1[[#This Row],[DataField]],"Price")</f>
        <v>115.67</v>
      </c>
      <c r="G102" s="2" cm="1">
        <f t="array" aca="1" ref="G102" ca="1">_FV(table1[[#This Row],[DataField]],"52 week low",TRUE)</f>
        <v>114.36</v>
      </c>
      <c r="H102" s="2" cm="1">
        <f t="array" aca="1" ref="H102" ca="1">_FV(table1[[#This Row],[DataField]],"52 week high",TRUE)</f>
        <v>172.23</v>
      </c>
      <c r="I102" s="4" cm="1">
        <f t="array" aca="1" ref="I102" ca="1">_FV(table1[[#This Row],[DataField]],"P/E",TRUE)</f>
        <v>19.207899999999999</v>
      </c>
      <c r="J102" s="2" t="str">
        <f ca="1">IF(table1[[#This Row],[Price]] &lt; (table1[[#This Row],[52Low]] * 0.25) + table1[[#This Row],[52Low]],  "TRUE", "FALSE")</f>
        <v>TRUE</v>
      </c>
      <c r="K102" s="2" t="str">
        <f ca="1">IF(table1[[#This Row],[Price]] &lt; (table1[[#This Row],[52Low]] * 0.1) + table1[[#This Row],[52Low]],  "TRUE", "FALSE")</f>
        <v>TRUE</v>
      </c>
      <c r="L102" s="6" cm="1">
        <f t="array" aca="1" ref="L102" ca="1">_FV(table1[[#This Row],[DataField]],"Market cap",TRUE)</f>
        <v>48827511059</v>
      </c>
    </row>
  </sheetData>
  <phoneticPr fontId="2" type="noConversion"/>
  <conditionalFormatting sqref="B1:B1048576">
    <cfRule type="duplicateValues" dxfId="1" priority="1"/>
  </conditionalFormatting>
  <conditionalFormatting sqref="J1:K102 L95:L1048576">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2026-03-21T11:49:32Z</dcterms:modified>
</cp:coreProperties>
</file>