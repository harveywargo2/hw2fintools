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harveywargo/Desktop/GithubProjects/hw2fintools/hw2fintools/xlsx/"/>
    </mc:Choice>
  </mc:AlternateContent>
  <xr:revisionPtr revIDLastSave="0" documentId="13_ncr:1_{21F0E299-3B36-F04C-B2FA-FD91B43BE2CA}" xr6:coauthVersionLast="47" xr6:coauthVersionMax="47" xr10:uidLastSave="{00000000-0000-0000-0000-000000000000}"/>
  <bookViews>
    <workbookView xWindow="0" yWindow="660" windowWidth="34560" windowHeight="21680" xr2:uid="{A7A7A1CB-6173-5346-A4FE-B7F4B1126E78}"/>
  </bookViews>
  <sheets>
    <sheet name="tab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 l="1" a="1"/>
  <c r="F4" i="1" s="1"/>
  <c r="B4" i="1" a="1"/>
  <c r="B4" i="1" s="1"/>
  <c r="G4" i="1" a="1"/>
  <c r="G4" i="1" s="1"/>
  <c r="H4" i="1" a="1"/>
  <c r="H4" i="1" s="1"/>
  <c r="I4" i="1" a="1"/>
  <c r="I4" i="1" s="1"/>
  <c r="L4" i="1" a="1"/>
  <c r="L4" i="1" s="1"/>
  <c r="I2" i="1" a="1"/>
  <c r="I2" i="1" s="1"/>
  <c r="I3" i="1" a="1"/>
  <c r="I3" i="1" s="1"/>
  <c r="J4" i="1" l="1"/>
  <c r="K4" i="1"/>
  <c r="F2" i="1" l="1" a="1"/>
  <c r="F2" i="1" s="1"/>
  <c r="F3" i="1" a="1"/>
  <c r="F3" i="1" s="1"/>
  <c r="L2" i="1" a="1"/>
  <c r="L2" i="1" s="1"/>
  <c r="L3" i="1" a="1"/>
  <c r="L3" i="1" s="1"/>
  <c r="H2" i="1" a="1"/>
  <c r="H2" i="1" s="1"/>
  <c r="H3" i="1" a="1"/>
  <c r="H3" i="1" s="1"/>
  <c r="G2" i="1" a="1"/>
  <c r="G2" i="1" s="1"/>
  <c r="G3" i="1" a="1"/>
  <c r="G3" i="1" s="1"/>
  <c r="B3" i="1" a="1"/>
  <c r="B3" i="1" s="1"/>
  <c r="B2" i="1" a="1"/>
  <c r="B2" i="1" s="1"/>
  <c r="K3" i="1" l="1"/>
  <c r="K2" i="1"/>
  <c r="J3" i="1"/>
  <c r="J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2"/>
        </ext>
      </extLst>
    </bk>
    <bk>
      <extLst>
        <ext uri="{3e2802c4-a4d2-4d8b-9148-e3be6c30e623}">
          <xlrd:rvb i="5"/>
        </ext>
      </extLst>
    </bk>
    <bk>
      <extLst>
        <ext uri="{3e2802c4-a4d2-4d8b-9148-e3be6c30e623}">
          <xlrd:rvb i="8"/>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<sst xmlns="http://schemas.openxmlformats.org/spreadsheetml/2006/main" count="12" uniqueCount="12">
  <si>
    <t>Ticker</t>
  </si>
  <si>
    <t>DataField</t>
  </si>
  <si>
    <t>S&amp;P</t>
  </si>
  <si>
    <t>Price</t>
  </si>
  <si>
    <t>P/E</t>
  </si>
  <si>
    <t>52High</t>
  </si>
  <si>
    <t>52Low</t>
  </si>
  <si>
    <t>Watch</t>
  </si>
  <si>
    <t>Alert</t>
  </si>
  <si>
    <t>MarketCap</t>
  </si>
  <si>
    <t>Grp</t>
  </si>
  <si>
    <t>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</si>
</sst>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409]* #,##0.00_);_([$$-409]* \(#,##0.00\);_([$$-409]* &quot;-&quot;??_);_(@_)"/>
    <numFmt numFmtId="165" formatCode="_(* #,##0_);_(* \(#,##0\);_(* &quot;-&quot;??_);_(@_)"/>
    <numFmt numFmtId="166" formatCode="_(&quot;$&quot;* #,##0_);_(&quot;$&quot;* \(#,##0\);_(&quot;$&quot;* &quot;-&quot;??_);_(@_)"/>
  </numFmts>
  <fonts count="4" x14ac:knownFonts="1">
    <font>
      <sz val="12"/>
      <color theme="1"/>
      <name val="Aptos Narrow"/>
      <family val="2"/>
      <scheme val="minor"/>
    </font>
    <font>
      <sz val="12"/>
      <color theme="0"/>
      <name val="Aptos Narrow"/>
      <family val="2"/>
      <scheme val="minor"/>
    </font>
    <font>
      <sz val="8"/>
      <name val="Aptos Narrow"/>
      <family val="2"/>
      <scheme val="minor"/>
    </font>
    <font>
      <sz val="12"/>
      <color theme="1"/>
      <name val="Aptos Narrow"/>
      <family val="2"/>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2">
    <xf numFmtId="0" fontId="0" fillId="0" borderId="0"/>
    <xf numFmtId="43" fontId="3" fillId="0" borderId="0" applyFont="0" applyFill="0" applyBorder="0" applyAlignment="0" applyProtection="0"/>
  </cellStyleXfs>
  <cellXfs count="8">
    <xf numFmtId="0" fontId="0" fillId="0" borderId="0" xfId="0"/>
    <xf numFmtId="0" fontId="1" fillId="2" borderId="0" xfId="0" applyFont="1" applyFill="1"/>
    <xf numFmtId="164" fontId="0" fillId="0" borderId="0" xfId="0" applyNumberFormat="1"/>
    <xf numFmtId="165" fontId="1" fillId="2" borderId="0" xfId="1" applyNumberFormat="1" applyFont="1" applyFill="1"/>
    <xf numFmtId="165" fontId="0" fillId="0" borderId="0" xfId="1" applyNumberFormat="1" applyFont="1"/>
    <xf numFmtId="166" fontId="1" fillId="2" borderId="0" xfId="0" applyNumberFormat="1" applyFont="1" applyFill="1"/>
    <xf numFmtId="166" fontId="0" fillId="0" borderId="0" xfId="0" applyNumberFormat="1"/>
    <xf numFmtId="164" fontId="0" fillId="0" borderId="0" xfId="1" applyNumberFormat="1" applyFont="1"/>
  </cellXfs>
  <cellStyles count="2">
    <cellStyle name="Comma" xfId="1" builtinId="3"/>
    <cellStyle name="Normal" xfId="0" builtinId="0"/>
  </cellStyles>
  <dxfs count="10">
    <dxf>
      <font>
        <color rgb="FF006100"/>
      </font>
      <fill>
        <patternFill>
          <bgColor rgb="FFC6EFCE"/>
        </patternFill>
      </fill>
    </dxf>
    <dxf>
      <font>
        <color rgb="FF9C0006"/>
      </font>
      <fill>
        <patternFill>
          <bgColor rgb="FFFFC7CE"/>
        </patternFill>
      </fill>
    </dxf>
    <dxf>
      <numFmt numFmtId="166" formatCode="_(&quot;$&quot;* #,##0_);_(&quot;$&quot;* \(#,##0\);_(&quot;$&quot;* &quot;-&quot;??_);_(@_)"/>
    </dxf>
    <dxf>
      <numFmt numFmtId="164" formatCode="_([$$-409]* #,##0.00_);_([$$-409]* \(#,##0.00\);_([$$-409]* &quot;-&quot;??_);_(@_)"/>
    </dxf>
    <dxf>
      <numFmt numFmtId="164" formatCode="_([$$-409]* #,##0.00_);_([$$-409]* \(#,##0.00\);_([$$-409]* &quot;-&quot;??_);_(@_)"/>
    </dxf>
    <dxf>
      <numFmt numFmtId="165" formatCode="_(* #,##0_);_(* \(#,##0\);_(* &quot;-&quot;??_);_(@_)"/>
    </dxf>
    <dxf>
      <numFmt numFmtId="164" formatCode="_([$$-409]* #,##0.00_);_([$$-409]* \(#,##0.00\);_([$$-409]* &quot;-&quot;??_);_(@_)"/>
    </dxf>
    <dxf>
      <numFmt numFmtId="164" formatCode="_([$$-409]* #,##0.00_);_([$$-409]* \(#,##0.00\);_([$$-409]* &quot;-&quot;??_);_(@_)"/>
    </dxf>
    <dxf>
      <numFmt numFmtId="164" formatCode="_([$$-409]* #,##0.00_);_([$$-409]* \(#,##0.00\);_([$$-409]* &quot;-&quot;??_);_(@_)"/>
    </dxf>
    <dxf>
      <font>
        <strike val="0"/>
        <outline val="0"/>
        <shadow val="0"/>
        <u val="none"/>
        <vertAlign val="baseline"/>
        <sz val="12"/>
        <color theme="0"/>
        <name val="Aptos Narrow"/>
        <family val="2"/>
        <scheme val="minor"/>
      </font>
      <fill>
        <patternFill patternType="solid">
          <fgColor indexed="64"/>
          <bgColor rgb="FF0070C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RichValueStructure" Target="richData/rdrichvaluestructure.xml"/><Relationship Id="rId12"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9">
  <rv s="0">
    <v>https://www.bing.com/financeapi/forcetrigger?t=a1z11h&amp;q=XNYS%3aO&amp;form=skydnc</v>
    <v>Learn more on Bing</v>
  </rv>
  <rv s="1">
    <v>0</v>
    <v>REALTY INCOME CORPORATION (XNYS:O)</v>
    <v>2</v>
    <v>3</v>
    <v>Finance</v>
    <v>4</v>
    <v>en-US</v>
    <v>a1z11h</v>
    <v>268435456</v>
    <v>1</v>
    <v>Powered by Refinitiv</v>
    <v>67.935000000000002</v>
    <v>50.71</v>
    <v>0.79330000000000001</v>
    <v>-1.69</v>
    <v>-2.6980000000000001E-2</v>
    <v>USD</v>
    <v>Realty Income Corporation is a real estate investment trust. The Company is engaged in the acquisition, ownership, and management of freestanding commercial properties leased under long‑term net lease agreements to a diversified base of operators, including a blend of investment grade, investment grade equivalent, and other clients. It owns a portfolio of over 15,500 properties in all 50 United States (U.S.) states, the United Kingdom, and eight other countries in Europe. It is engaged in a single business activity, which is the leasing of property to clients, generally on a net basis. That business activity spans various geographic boundaries and includes property types and clients engaged in various industries. Its property types include retail, industrial, gaming, and other. Its industry concentrations include grocery, convenience stores, home improvement, dollar stores, restaurants-quick service, health and fitness, drug stores, automotive service, among others.</v>
    <v>544</v>
    <v>New York Stock Exchange</v>
    <v>XNYS</v>
    <v>XNYS</v>
    <v>11995 El Camino Real, SAN DIEGO, CA, 92130 US</v>
    <v>62.6</v>
    <v>Residential &amp; Commercial REIT</v>
    <v>Stock</v>
    <v>46101.998865358597</v>
    <v>0</v>
    <v>60.6</v>
    <v>56832230190</v>
    <v>REALTY INCOME CORPORATION</v>
    <v>REALTY INCOME CORPORATION</v>
    <v>62.3</v>
    <v>52.3508</v>
    <v>62.64</v>
    <v>60.95</v>
    <v>932440200</v>
    <v>O</v>
    <v>REALTY INCOME CORPORATION (XNYS:O)</v>
    <v>94551</v>
    <v>6864723</v>
    <v>1997</v>
  </rv>
  <rv s="2">
    <v>1</v>
  </rv>
  <rv s="0">
    <v>https://www.bing.com/financeapi/forcetrigger?t=a23d6h&amp;q=XNYS%3aSPG&amp;form=skydnc</v>
    <v>Learn more on Bing</v>
  </rv>
  <rv s="1">
    <v>0</v>
    <v>SIMON PROPERTY GROUP, INC. (XNYS:SPG)</v>
    <v>2</v>
    <v>3</v>
    <v>Finance</v>
    <v>4</v>
    <v>en-US</v>
    <v>a23d6h</v>
    <v>268435456</v>
    <v>1</v>
    <v>Powered by Refinitiv</v>
    <v>205.11500000000001</v>
    <v>136.34</v>
    <v>1.4060999999999999</v>
    <v>-6.79</v>
    <v>-3.5491999999999996E-2</v>
    <v>USD</v>
    <v>Simon Property Group, Inc. is a self-administered and self-managed real estate investment trust. The Company owns, develops and manages premier shopping, dining, entertainment and mixed-use destinations, which consist primarily of malls, Premium Outlets, The Mills, and International Properties. It owns approximately 250 plus global properties. Its properties include Apple Blossom Mall, Auburn Mall, Barton Creek Square, Battlefield Mall, Bay Park Square, Brea Mall, Briarwood Mall, Brickell City Centre, Broadway Square, Burlington Mall, Cape Cod Mall, Castleton Square, Cielo Vista Mall, Coconut Point, College Mall, Columbia Center, Copley Place, Coral Square, Cordova Mall, Dadeland Mall, Del Amo Fashion Center, Empire Mall, Firewheel Town Center, Greenwood Park Mall, Haywood Mall, King of Prussia, La Plaza, Lakeline Mall, Lenox Square, Mall of Georgia, Meadowood Mall, Menlo Park Mall, Miami International Mall, North East Mall, Ocean County Mall, Pheasant Lane Mall, and Phillips Place.</v>
    <v>3100</v>
    <v>New York Stock Exchange</v>
    <v>XNYS</v>
    <v>XNYS</v>
    <v>225 West Washington Street, INDIANAPOLIS, IN, 46204-3438 US</v>
    <v>191.94</v>
    <v>Residential &amp; Commercial REIT</v>
    <v>Stock</v>
    <v>46101.999986921095</v>
    <v>3</v>
    <v>183.21</v>
    <v>59960382916</v>
    <v>SIMON PROPERTY GROUP, INC.</v>
    <v>SIMON PROPERTY GROUP, INC.</v>
    <v>191.71</v>
    <v>13.0189</v>
    <v>191.31</v>
    <v>184.52</v>
    <v>324953300</v>
    <v>SPG</v>
    <v>SIMON PROPERTY GROUP, INC. (XNYS:SPG)</v>
    <v>4491</v>
    <v>1578170</v>
    <v>2025</v>
  </rv>
  <rv s="2">
    <v>4</v>
  </rv>
  <rv s="0">
    <v>https://www.bing.com/financeapi/forcetrigger?t=aythxm&amp;q=XNYS%3aVICI&amp;form=skydnc</v>
    <v>Learn more on Bing</v>
  </rv>
  <rv s="1">
    <v>0</v>
    <v>VICI PROPERTIES INC. (XNYS:VICI)</v>
    <v>2</v>
    <v>3</v>
    <v>Finance</v>
    <v>4</v>
    <v>en-US</v>
    <v>aythxm</v>
    <v>268435456</v>
    <v>1</v>
    <v>Powered by Refinitiv</v>
    <v>34.01</v>
    <v>26.754999999999999</v>
    <v>0.73760000000000003</v>
    <v>-1.1499999999999999</v>
    <v>-4.1100999999999999E-2</v>
    <v>USD</v>
    <v>VICI Properties Inc. is a real estate investment trust (REIT). The Company is engaged in the business of owning and acquiring gaming, hospitality, wellness, entertainment and leisure destinations, subject to long-term triple net leases. The Company own 93 experiential assets across a geographically diverse portfolio consisting of 54 gaming properties and 39 other experiential properties across the United States and Canada, including Caesars Palace Las Vegas, MGM Grand and the Venetian Resort Las Vegas (the Venetian Resort). The portfolio comprises over 127 million square feet and features approximately 60,300 hotel rooms and over 500 restaurants, bars, nightclubs and sportsbooks. Its properties are occupied by gaming, leisure and hospitality operators under long-term, triple-net lease agreements. The Company also owns four championship golf courses and approximately 33 acres of undeveloped and underdeveloped land adjacent to the Las Vegas Strip.</v>
    <v>28</v>
    <v>New York Stock Exchange</v>
    <v>XNYS</v>
    <v>XNYS</v>
    <v>535 Madison Avenue, 28Th Floor, NEW YORK, NY, 10022 US</v>
    <v>27.98</v>
    <v>Residential &amp; Commercial REIT</v>
    <v>Stock</v>
    <v>46101.998182140625</v>
    <v>6</v>
    <v>26.754999999999999</v>
    <v>28680974870</v>
    <v>VICI PROPERTIES INC.</v>
    <v>VICI PROPERTIES INC.</v>
    <v>27.96</v>
    <v>10.271699999999999</v>
    <v>27.98</v>
    <v>26.83</v>
    <v>1068989000</v>
    <v>VICI</v>
    <v>VICI PROPERTIES INC. (XNYS:VICI)</v>
    <v>45332</v>
    <v>9800988</v>
    <v>2017</v>
  </rv>
  <rv s="2">
    <v>7</v>
  </rv>
</rvData>
</file>

<file path=xl/richData/rdrichvaluestructure.xml><?xml version="1.0" encoding="utf-8"?>
<rvStructures xmlns="http://schemas.microsoft.com/office/spreadsheetml/2017/richdata" count="3">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CA35FE-2F53-A347-8AD6-B5C0C701EF5E}" name="table1" displayName="table1" ref="A1:L4" totalsRowShown="0" headerRowDxfId="9">
  <autoFilter ref="A1:L4" xr:uid="{E0CA35FE-2F53-A347-8AD6-B5C0C701EF5E}"/>
  <sortState xmlns:xlrd2="http://schemas.microsoft.com/office/spreadsheetml/2017/richdata2" ref="A2:L4">
    <sortCondition ref="C1:C4"/>
  </sortState>
  <tableColumns count="12">
    <tableColumn id="1" xr3:uid="{C30BA928-9F86-944B-8C90-D8A30FE247CA}" name="DataField"/>
    <tableColumn id="2" xr3:uid="{9CF0E67B-4EFF-3E47-9505-4EBC50622431}" name="Ticker">
      <calculatedColumnFormula array="1">_FV(table1[[#This Row],[DataField]],"Ticker symbol",TRUE)</calculatedColumnFormula>
    </tableColumn>
    <tableColumn id="9" xr3:uid="{F9A5C818-608F-3743-9830-A955F3897A7A}" name="Own"/>
    <tableColumn id="7" xr3:uid="{8D171512-1066-D24C-A948-05AAA5A8B50A}" name="S&amp;P"/>
    <tableColumn id="14" xr3:uid="{7B7FBAD0-FB36-9A42-96AD-5BB889DFF68B}" name="Grp"/>
    <tableColumn id="6" xr3:uid="{E90EDA1C-8BB7-7F4E-BCAF-FAF9570B8A38}" name="Price" dataDxfId="8">
      <calculatedColumnFormula array="1">_FV(table1[[#This Row],[DataField]],"Price")</calculatedColumnFormula>
    </tableColumn>
    <tableColumn id="17" xr3:uid="{87A4EE6D-E7C3-CE41-BBA3-78EC20CDEBEE}" name="52Low" dataDxfId="7">
      <calculatedColumnFormula array="1">_FV(table1[[#This Row],[DataField]],"52 week low",TRUE)</calculatedColumnFormula>
    </tableColumn>
    <tableColumn id="18" xr3:uid="{D9B78892-8229-7243-8D05-F357BF8638BD}" name="52High" dataDxfId="6">
      <calculatedColumnFormula array="1">_FV(table1[[#This Row],[DataField]],"52 week high",TRUE)</calculatedColumnFormula>
    </tableColumn>
    <tableColumn id="20" xr3:uid="{78C713E7-4AD7-B542-970C-49F40A7186F4}" name="P/E" dataDxfId="5" dataCellStyle="Comma">
      <calculatedColumnFormula array="1">_FV(table1[[#This Row],[DataField]],"P/E",TRUE)</calculatedColumnFormula>
    </tableColumn>
    <tableColumn id="23" xr3:uid="{7CC54F3F-E5AD-804B-9D12-23FD72A661FB}" name="Watch" dataDxfId="4">
      <calculatedColumnFormula>IF(table1[[#This Row],[Price]] &lt; (table1[[#This Row],[52Low]] * 0.25) + table1[[#This Row],[52Low]],  "TRUE", "FALSE")</calculatedColumnFormula>
    </tableColumn>
    <tableColumn id="24" xr3:uid="{8E6233F4-6662-6E46-AF2F-77ADB7B9257D}" name="Alert" dataDxfId="3">
      <calculatedColumnFormula>IF(table1[[#This Row],[Price]] &lt; (table1[[#This Row],[52Low]] * 0.1) + table1[[#This Row],[52Low]],  "TRUE", "FALSE")</calculatedColumnFormula>
    </tableColumn>
    <tableColumn id="28" xr3:uid="{0C4A33EE-ED89-2F4F-BCD3-9651E2BEED77}" name="MarketCap" dataDxfId="2">
      <calculatedColumnFormula array="1">_FV(table1[[#This Row],[DataField]],"Market cap",TRUE)</calculatedColumnFormula>
    </tableColumn>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31AA4-973A-894D-81A9-C7ED9652DABE}">
  <dimension ref="A1:L4"/>
  <sheetViews>
    <sheetView tabSelected="1" workbookViewId="0">
      <pane ySplit="1" topLeftCell="A2" activePane="bottomLeft" state="frozen"/>
      <selection pane="bottomLeft" activeCell="C6" sqref="C6"/>
    </sheetView>
  </sheetViews>
  <sheetFormatPr baseColWidth="10" defaultRowHeight="16" x14ac:dyDescent="0.2"/>
  <cols>
    <col min="1" max="1" width="51.83203125" bestFit="1" customWidth="1"/>
    <col min="2" max="2" width="8.6640625" bestFit="1" customWidth="1"/>
    <col min="3" max="3" width="7.33203125" bestFit="1" customWidth="1"/>
    <col min="4" max="4" width="7" bestFit="1" customWidth="1"/>
    <col min="5" max="5" width="6.6640625" bestFit="1" customWidth="1"/>
    <col min="9" max="9" width="9" bestFit="1" customWidth="1"/>
    <col min="10" max="10" width="10.5" bestFit="1" customWidth="1"/>
    <col min="11" max="11" width="7.83203125" style="4" bestFit="1" customWidth="1"/>
    <col min="12" max="12" width="18.6640625" bestFit="1" customWidth="1"/>
  </cols>
  <sheetData>
    <row r="1" spans="1:12" x14ac:dyDescent="0.2">
      <c r="A1" s="1" t="s">
        <v>1</v>
      </c>
      <c r="B1" s="1" t="s">
        <v>0</v>
      </c>
      <c r="C1" s="1" t="s">
        <v>11</v>
      </c>
      <c r="D1" s="1" t="s">
        <v>2</v>
      </c>
      <c r="E1" s="1" t="s">
        <v>10</v>
      </c>
      <c r="F1" s="1" t="s">
        <v>3</v>
      </c>
      <c r="G1" s="1" t="s">
        <v>6</v>
      </c>
      <c r="H1" s="1" t="s">
        <v>5</v>
      </c>
      <c r="I1" s="3" t="s">
        <v>4</v>
      </c>
      <c r="J1" s="1" t="s">
        <v>7</v>
      </c>
      <c r="K1" s="1" t="s">
        <v>8</v>
      </c>
      <c r="L1" s="5" t="s">
        <v>9</v>
      </c>
    </row>
    <row r="2" spans="1:12" x14ac:dyDescent="0.2">
      <c r="A2" t="e" vm="1">
        <v>#VALUE!</v>
      </c>
      <c r="B2" t="str" cm="1">
        <f t="array" aca="1" ref="B2" ca="1">_FV(table1[[#This Row],[DataField]],"Ticker symbol",TRUE)</f>
        <v>O</v>
      </c>
      <c r="C2">
        <v>0</v>
      </c>
      <c r="D2">
        <v>500</v>
      </c>
      <c r="E2">
        <v>81</v>
      </c>
      <c r="F2" s="2" cm="1">
        <f t="array" aca="1" ref="F2" ca="1">_FV(table1[[#This Row],[DataField]],"Price")</f>
        <v>60.95</v>
      </c>
      <c r="G2" s="2" cm="1">
        <f t="array" aca="1" ref="G2" ca="1">_FV(table1[[#This Row],[DataField]],"52 week low",TRUE)</f>
        <v>50.71</v>
      </c>
      <c r="H2" s="2" cm="1">
        <f t="array" aca="1" ref="H2" ca="1">_FV(table1[[#This Row],[DataField]],"52 week high",TRUE)</f>
        <v>67.935000000000002</v>
      </c>
      <c r="I2" s="4" cm="1">
        <f t="array" aca="1" ref="I2" ca="1">_FV(table1[[#This Row],[DataField]],"P/E",TRUE)</f>
        <v>52.3508</v>
      </c>
      <c r="J2" s="2" t="str">
        <f ca="1">IF(table1[[#This Row],[Price]] &lt; (table1[[#This Row],[52Low]] * 0.25) + table1[[#This Row],[52Low]],  "TRUE", "FALSE")</f>
        <v>TRUE</v>
      </c>
      <c r="K2" s="2" t="str">
        <f ca="1">IF(table1[[#This Row],[Price]] &lt; (table1[[#This Row],[52Low]] * 0.1) + table1[[#This Row],[52Low]],  "TRUE", "FALSE")</f>
        <v>FALSE</v>
      </c>
      <c r="L2" s="6" cm="1">
        <f t="array" aca="1" ref="L2" ca="1">_FV(table1[[#This Row],[DataField]],"Market cap",TRUE)</f>
        <v>56832230190</v>
      </c>
    </row>
    <row r="3" spans="1:12" x14ac:dyDescent="0.2">
      <c r="A3" t="e" vm="2">
        <v>#VALUE!</v>
      </c>
      <c r="B3" t="str" cm="1">
        <f t="array" aca="1" ref="B3" ca="1">_FV(table1[[#This Row],[DataField]],"Ticker symbol",TRUE)</f>
        <v>SPG</v>
      </c>
      <c r="C3">
        <v>0</v>
      </c>
      <c r="D3">
        <v>500</v>
      </c>
      <c r="E3">
        <v>81</v>
      </c>
      <c r="F3" s="2" cm="1">
        <f t="array" aca="1" ref="F3" ca="1">_FV(table1[[#This Row],[DataField]],"Price")</f>
        <v>184.52</v>
      </c>
      <c r="G3" s="2" cm="1">
        <f t="array" aca="1" ref="G3" ca="1">_FV(table1[[#This Row],[DataField]],"52 week low",TRUE)</f>
        <v>136.34</v>
      </c>
      <c r="H3" s="2" cm="1">
        <f t="array" aca="1" ref="H3" ca="1">_FV(table1[[#This Row],[DataField]],"52 week high",TRUE)</f>
        <v>205.11500000000001</v>
      </c>
      <c r="I3" s="4" cm="1">
        <f t="array" aca="1" ref="I3" ca="1">_FV(table1[[#This Row],[DataField]],"P/E",TRUE)</f>
        <v>13.0189</v>
      </c>
      <c r="J3" s="2" t="str">
        <f ca="1">IF(table1[[#This Row],[Price]] &lt; (table1[[#This Row],[52Low]] * 0.25) + table1[[#This Row],[52Low]],  "TRUE", "FALSE")</f>
        <v>FALSE</v>
      </c>
      <c r="K3" s="2" t="str">
        <f ca="1">IF(table1[[#This Row],[Price]] &lt; (table1[[#This Row],[52Low]] * 0.1) + table1[[#This Row],[52Low]],  "TRUE", "FALSE")</f>
        <v>FALSE</v>
      </c>
      <c r="L3" s="6" cm="1">
        <f t="array" aca="1" ref="L3" ca="1">_FV(table1[[#This Row],[DataField]],"Market cap",TRUE)</f>
        <v>59960382916</v>
      </c>
    </row>
    <row r="4" spans="1:12" x14ac:dyDescent="0.2">
      <c r="A4" t="e" vm="3">
        <v>#VALUE!</v>
      </c>
      <c r="B4" t="str" cm="1">
        <f t="array" aca="1" ref="B4" ca="1">_FV(table1[[#This Row],[DataField]],"Ticker symbol",TRUE)</f>
        <v>VICI</v>
      </c>
      <c r="C4">
        <v>0</v>
      </c>
      <c r="D4">
        <v>500</v>
      </c>
      <c r="E4">
        <v>80</v>
      </c>
      <c r="F4" s="2" cm="1">
        <f t="array" aca="1" ref="F4" ca="1">_FV(table1[[#This Row],[DataField]],"Price")</f>
        <v>26.83</v>
      </c>
      <c r="G4" s="2" cm="1">
        <f t="array" aca="1" ref="G4" ca="1">_FV(table1[[#This Row],[DataField]],"52 week low",TRUE)</f>
        <v>26.754999999999999</v>
      </c>
      <c r="H4" s="2" cm="1">
        <f t="array" aca="1" ref="H4" ca="1">_FV(table1[[#This Row],[DataField]],"52 week high",TRUE)</f>
        <v>34.01</v>
      </c>
      <c r="I4" s="4" cm="1">
        <f t="array" aca="1" ref="I4" ca="1">_FV(table1[[#This Row],[DataField]],"P/E",TRUE)</f>
        <v>10.271699999999999</v>
      </c>
      <c r="J4" s="2" t="str">
        <f ca="1">IF(table1[[#This Row],[Price]] &lt; (table1[[#This Row],[52Low]] * 0.25) + table1[[#This Row],[52Low]],  "TRUE", "FALSE")</f>
        <v>TRUE</v>
      </c>
      <c r="K4" s="7" t="str">
        <f ca="1">IF(table1[[#This Row],[Price]] &lt; (table1[[#This Row],[52Low]] * 0.1) + table1[[#This Row],[52Low]],  "TRUE", "FALSE")</f>
        <v>TRUE</v>
      </c>
      <c r="L4" s="6" cm="1">
        <f t="array" aca="1" ref="L4" ca="1">_FV(table1[[#This Row],[DataField]],"Market cap",TRUE)</f>
        <v>28680974870</v>
      </c>
    </row>
  </sheetData>
  <phoneticPr fontId="2" type="noConversion"/>
  <conditionalFormatting sqref="B1:B1048576">
    <cfRule type="duplicateValues" dxfId="1" priority="1"/>
  </conditionalFormatting>
  <conditionalFormatting sqref="J1:K4 L4:L1048576">
    <cfRule type="cellIs" dxfId="0" priority="2" operator="equal">
      <formula>"TRUE"</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Harvey Wargo</dc:creator>
  <cp:lastModifiedBy>Harvey Wargo</cp:lastModifiedBy>
  <dcterms:created xsi:type="dcterms:W3CDTF">2025-11-18T19:19:58Z</dcterms:created>
  <dcterms:modified xsi:type="dcterms:W3CDTF">2026-03-23T12:26:56Z</dcterms:modified>
</cp:coreProperties>
</file>