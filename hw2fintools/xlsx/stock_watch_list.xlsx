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202300"/>
  <mc:AlternateContent xmlns:mc="http://schemas.openxmlformats.org/markup-compatibility/2006">
    <mc:Choice Requires="x15">
      <x15ac:absPath xmlns:x15ac="http://schemas.microsoft.com/office/spreadsheetml/2010/11/ac" url="/Users/harveywargo/Desktop/"/>
    </mc:Choice>
  </mc:AlternateContent>
  <xr:revisionPtr revIDLastSave="0" documentId="13_ncr:1_{ED101246-D4DB-3441-B676-A4827B2E39C3}" xr6:coauthVersionLast="47" xr6:coauthVersionMax="47" xr10:uidLastSave="{00000000-0000-0000-0000-000000000000}"/>
  <bookViews>
    <workbookView xWindow="0" yWindow="-21100" windowWidth="34440" windowHeight="2110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 i="1" l="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T2" i="1" a="1"/>
  <c r="T2" i="1" s="1"/>
  <c r="T3" i="1" a="1"/>
  <c r="T3" i="1" s="1"/>
  <c r="T4" i="1" a="1"/>
  <c r="T4" i="1" s="1"/>
  <c r="T5" i="1" a="1"/>
  <c r="T5" i="1" s="1"/>
  <c r="T6" i="1" a="1"/>
  <c r="T6" i="1" s="1"/>
  <c r="T7" i="1" a="1"/>
  <c r="T7" i="1" s="1"/>
  <c r="T8" i="1" a="1"/>
  <c r="T8" i="1" s="1"/>
  <c r="T9" i="1" a="1"/>
  <c r="T9" i="1" s="1"/>
  <c r="T10" i="1" a="1"/>
  <c r="T10" i="1" s="1"/>
  <c r="T11" i="1" a="1"/>
  <c r="T11" i="1" s="1"/>
  <c r="T12" i="1" a="1"/>
  <c r="T12" i="1" s="1"/>
  <c r="T13" i="1" a="1"/>
  <c r="T13" i="1" s="1"/>
  <c r="T14" i="1" a="1"/>
  <c r="T14" i="1" s="1"/>
  <c r="T15" i="1" a="1"/>
  <c r="T15" i="1" s="1"/>
  <c r="T16" i="1" a="1"/>
  <c r="T16" i="1" s="1"/>
  <c r="T17" i="1" a="1"/>
  <c r="T17" i="1" s="1"/>
  <c r="T18" i="1" a="1"/>
  <c r="T18" i="1" s="1"/>
  <c r="T19" i="1" a="1"/>
  <c r="T19" i="1" s="1"/>
  <c r="T20" i="1" a="1"/>
  <c r="T20" i="1" s="1"/>
  <c r="T21" i="1" a="1"/>
  <c r="T21" i="1" s="1"/>
  <c r="T22" i="1" a="1"/>
  <c r="T22"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T37" i="1" a="1"/>
  <c r="T37" i="1" s="1"/>
  <c r="P2" i="1" a="1"/>
  <c r="P2" i="1" s="1"/>
  <c r="P3" i="1" a="1"/>
  <c r="P3" i="1" s="1"/>
  <c r="P4" i="1" a="1"/>
  <c r="P4" i="1" s="1"/>
  <c r="P5" i="1" a="1"/>
  <c r="P5" i="1" s="1"/>
  <c r="P6" i="1" a="1"/>
  <c r="P6" i="1" s="1"/>
  <c r="P7" i="1" a="1"/>
  <c r="P7" i="1" s="1"/>
  <c r="P8" i="1" a="1"/>
  <c r="P8" i="1" s="1"/>
  <c r="P9" i="1" a="1"/>
  <c r="P9" i="1" s="1"/>
  <c r="P10" i="1" a="1"/>
  <c r="P10" i="1" s="1"/>
  <c r="P11" i="1" a="1"/>
  <c r="P11" i="1" s="1"/>
  <c r="P12" i="1" a="1"/>
  <c r="P12" i="1" s="1"/>
  <c r="P13" i="1" a="1"/>
  <c r="P13" i="1" s="1"/>
  <c r="P14" i="1" a="1"/>
  <c r="P14" i="1" s="1"/>
  <c r="P15" i="1" a="1"/>
  <c r="P15" i="1" s="1"/>
  <c r="P16" i="1" a="1"/>
  <c r="P16" i="1" s="1"/>
  <c r="P17" i="1" a="1"/>
  <c r="P17" i="1" s="1"/>
  <c r="P18" i="1" a="1"/>
  <c r="P18" i="1" s="1"/>
  <c r="P19" i="1" a="1"/>
  <c r="P19" i="1" s="1"/>
  <c r="P20" i="1" a="1"/>
  <c r="P20" i="1" s="1"/>
  <c r="P21" i="1" a="1"/>
  <c r="P21" i="1" s="1"/>
  <c r="P22" i="1" a="1"/>
  <c r="P22" i="1" s="1"/>
  <c r="P23" i="1" a="1"/>
  <c r="P23" i="1" s="1"/>
  <c r="P24" i="1" a="1"/>
  <c r="P24" i="1" s="1"/>
  <c r="P25" i="1" a="1"/>
  <c r="P25" i="1" s="1"/>
  <c r="P26" i="1" a="1"/>
  <c r="P26" i="1" s="1"/>
  <c r="P27" i="1" a="1"/>
  <c r="P27" i="1" s="1"/>
  <c r="P28" i="1" a="1"/>
  <c r="P28" i="1" s="1"/>
  <c r="P29" i="1" a="1"/>
  <c r="P29" i="1" s="1"/>
  <c r="P30" i="1" a="1"/>
  <c r="P30" i="1" s="1"/>
  <c r="P31" i="1" a="1"/>
  <c r="P31" i="1" s="1"/>
  <c r="P32" i="1" a="1"/>
  <c r="P32" i="1" s="1"/>
  <c r="P33" i="1" a="1"/>
  <c r="P33" i="1" s="1"/>
  <c r="P34" i="1" a="1"/>
  <c r="P34" i="1" s="1"/>
  <c r="P35" i="1" a="1"/>
  <c r="P35" i="1" s="1"/>
  <c r="P36" i="1" a="1"/>
  <c r="P36" i="1" s="1"/>
  <c r="P37" i="1" a="1"/>
  <c r="P37"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N2" i="1" a="1"/>
  <c r="N2" i="1" s="1"/>
  <c r="N3" i="1" a="1"/>
  <c r="N3" i="1" s="1"/>
  <c r="N4" i="1" a="1"/>
  <c r="N4" i="1" s="1"/>
  <c r="N5" i="1" a="1"/>
  <c r="N5" i="1" s="1"/>
  <c r="N6" i="1" a="1"/>
  <c r="N6" i="1" s="1"/>
  <c r="N7" i="1" a="1"/>
  <c r="N7" i="1" s="1"/>
  <c r="N8" i="1" a="1"/>
  <c r="N8" i="1" s="1"/>
  <c r="N9" i="1" a="1"/>
  <c r="N9" i="1" s="1"/>
  <c r="N10" i="1" a="1"/>
  <c r="N10" i="1" s="1"/>
  <c r="N11" i="1" a="1"/>
  <c r="N11" i="1" s="1"/>
  <c r="N12" i="1" a="1"/>
  <c r="N12" i="1" s="1"/>
  <c r="N13" i="1" a="1"/>
  <c r="N13" i="1" s="1"/>
  <c r="N14" i="1" a="1"/>
  <c r="N14" i="1" s="1"/>
  <c r="N15" i="1" a="1"/>
  <c r="N15" i="1" s="1"/>
  <c r="N16" i="1" a="1"/>
  <c r="N16" i="1" s="1"/>
  <c r="N17" i="1" a="1"/>
  <c r="N17" i="1" s="1"/>
  <c r="N18" i="1" a="1"/>
  <c r="N18" i="1" s="1"/>
  <c r="N19" i="1" a="1"/>
  <c r="N19" i="1" s="1"/>
  <c r="N20" i="1" a="1"/>
  <c r="N20" i="1" s="1"/>
  <c r="N21" i="1" a="1"/>
  <c r="N21" i="1" s="1"/>
  <c r="N22" i="1" a="1"/>
  <c r="N22" i="1" s="1"/>
  <c r="N23" i="1" a="1"/>
  <c r="N23" i="1" s="1"/>
  <c r="N24" i="1" a="1"/>
  <c r="N24" i="1" s="1"/>
  <c r="N25" i="1" a="1"/>
  <c r="N25" i="1" s="1"/>
  <c r="N26" i="1" a="1"/>
  <c r="N26" i="1" s="1"/>
  <c r="N27" i="1" a="1"/>
  <c r="N27" i="1" s="1"/>
  <c r="N28" i="1" a="1"/>
  <c r="N28" i="1" s="1"/>
  <c r="N29" i="1" a="1"/>
  <c r="N29" i="1" s="1"/>
  <c r="N30" i="1" a="1"/>
  <c r="N30" i="1" s="1"/>
  <c r="N31" i="1" a="1"/>
  <c r="N31" i="1" s="1"/>
  <c r="N32" i="1" a="1"/>
  <c r="N32" i="1" s="1"/>
  <c r="N33" i="1" a="1"/>
  <c r="N33" i="1" s="1"/>
  <c r="N34" i="1" a="1"/>
  <c r="N34" i="1" s="1"/>
  <c r="N35" i="1" a="1"/>
  <c r="N35" i="1" s="1"/>
  <c r="N36" i="1" a="1"/>
  <c r="N36" i="1" s="1"/>
  <c r="N37" i="1" a="1"/>
  <c r="N37" i="1" s="1"/>
  <c r="M2" i="1" a="1"/>
  <c r="M2" i="1" s="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B37" i="1" a="1"/>
  <c r="B37" i="1" s="1"/>
  <c r="B36" i="1" a="1"/>
  <c r="B36" i="1" s="1"/>
  <c r="B35" i="1" a="1"/>
  <c r="B35" i="1" s="1"/>
  <c r="B34" i="1" a="1"/>
  <c r="B34" i="1" s="1"/>
  <c r="B33" i="1" a="1"/>
  <c r="B33" i="1" s="1"/>
  <c r="B32" i="1" a="1"/>
  <c r="B32" i="1" s="1"/>
  <c r="B31" i="1" a="1"/>
  <c r="B31" i="1" s="1"/>
  <c r="B30" i="1" a="1"/>
  <c r="B30" i="1" s="1"/>
  <c r="B29" i="1" a="1"/>
  <c r="B29" i="1" s="1"/>
  <c r="B28" i="1" a="1"/>
  <c r="B28" i="1" s="1"/>
  <c r="B27" i="1" a="1"/>
  <c r="B27" i="1" s="1"/>
  <c r="B26" i="1" a="1"/>
  <c r="B26" i="1" s="1"/>
  <c r="B25" i="1" a="1"/>
  <c r="B25" i="1" s="1"/>
  <c r="B24" i="1" a="1"/>
  <c r="B24" i="1" s="1"/>
  <c r="B23" i="1" a="1"/>
  <c r="B23" i="1" s="1"/>
  <c r="B22" i="1" a="1"/>
  <c r="B22" i="1" s="1"/>
  <c r="B21" i="1" a="1"/>
  <c r="B21" i="1" s="1"/>
  <c r="B20" i="1" a="1"/>
  <c r="B20" i="1" s="1"/>
  <c r="B19" i="1" a="1"/>
  <c r="B19" i="1" s="1"/>
  <c r="B18" i="1" a="1"/>
  <c r="B18" i="1" s="1"/>
  <c r="B17" i="1" a="1"/>
  <c r="B17" i="1" s="1"/>
  <c r="B16" i="1" a="1"/>
  <c r="B16" i="1" s="1"/>
  <c r="B15" i="1" a="1"/>
  <c r="B15" i="1" s="1"/>
  <c r="B14" i="1" a="1"/>
  <c r="B14" i="1" s="1"/>
  <c r="B13" i="1" a="1"/>
  <c r="B13" i="1" s="1"/>
  <c r="B12" i="1" a="1"/>
  <c r="B12" i="1" s="1"/>
  <c r="B11" i="1" a="1"/>
  <c r="B11" i="1" s="1"/>
  <c r="B10" i="1" a="1"/>
  <c r="B10" i="1" s="1"/>
  <c r="B9" i="1" a="1"/>
  <c r="B9" i="1" s="1"/>
  <c r="B8" i="1" a="1"/>
  <c r="B8" i="1" s="1"/>
  <c r="B7" i="1" a="1"/>
  <c r="B7" i="1" s="1"/>
  <c r="B6" i="1" a="1"/>
  <c r="B6" i="1" s="1"/>
  <c r="B5" i="1" a="1"/>
  <c r="B5" i="1" s="1"/>
  <c r="B4" i="1" a="1"/>
  <c r="B4" i="1" s="1"/>
  <c r="B3" i="1" a="1"/>
  <c r="B3" i="1" s="1"/>
  <c r="B2" i="1" a="1"/>
  <c r="B2" i="1" s="1"/>
  <c r="S17" i="1" l="1"/>
  <c r="S7" i="1"/>
  <c r="S37" i="1"/>
  <c r="S27" i="1"/>
  <c r="S33" i="1"/>
  <c r="S23" i="1"/>
  <c r="S13" i="1"/>
  <c r="S3" i="1"/>
  <c r="R30" i="1"/>
  <c r="R20" i="1"/>
  <c r="R10" i="1"/>
  <c r="S12" i="1"/>
  <c r="S29" i="1"/>
  <c r="S19" i="1"/>
  <c r="R9" i="1"/>
  <c r="S32" i="1"/>
  <c r="S22" i="1"/>
  <c r="S2" i="1"/>
  <c r="S28" i="1"/>
  <c r="S36" i="1"/>
  <c r="S26" i="1"/>
  <c r="S16" i="1"/>
  <c r="S6" i="1"/>
  <c r="S5" i="1"/>
  <c r="R31" i="1"/>
  <c r="R21" i="1"/>
  <c r="S35" i="1"/>
  <c r="S25" i="1"/>
  <c r="S15" i="1"/>
  <c r="R11" i="1"/>
  <c r="S18" i="1"/>
  <c r="S8" i="1"/>
  <c r="S34" i="1"/>
  <c r="S24" i="1"/>
  <c r="S14" i="1"/>
  <c r="S4" i="1"/>
  <c r="S31" i="1"/>
  <c r="S21" i="1"/>
  <c r="S11" i="1"/>
  <c r="S30" i="1"/>
  <c r="S20" i="1"/>
  <c r="S10" i="1"/>
  <c r="R2" i="1"/>
  <c r="S9" i="1"/>
  <c r="R29" i="1"/>
  <c r="R19" i="1"/>
  <c r="R17" i="1"/>
  <c r="R37" i="1"/>
  <c r="R27" i="1"/>
  <c r="R7" i="1"/>
  <c r="R32" i="1"/>
  <c r="R22" i="1"/>
  <c r="R12" i="1"/>
  <c r="R33" i="1"/>
  <c r="R23" i="1"/>
  <c r="R13" i="1"/>
  <c r="R3" i="1"/>
  <c r="R28" i="1"/>
  <c r="R18" i="1"/>
  <c r="R8" i="1"/>
  <c r="R36" i="1"/>
  <c r="R26" i="1"/>
  <c r="R16" i="1"/>
  <c r="R6" i="1"/>
  <c r="R25" i="1"/>
  <c r="R15" i="1"/>
  <c r="R5" i="1"/>
  <c r="R35" i="1"/>
  <c r="R34" i="1"/>
  <c r="R24" i="1"/>
  <c r="R14" i="1"/>
  <c r="R4"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7"/>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8"/>
        </ext>
      </extLst>
    </bk>
    <bk>
      <extLst>
        <ext uri="{3e2802c4-a4d2-4d8b-9148-e3be6c30e623}">
          <xlrd:rvb i="121"/>
        </ext>
      </extLst>
    </bk>
  </futureMetadata>
  <cellMetadata count="1">
    <bk>
      <rc t="1" v="0"/>
    </bk>
  </cellMetadata>
  <valueMetadata count="3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valueMetadata>
</metadata>
</file>

<file path=xl/sharedStrings.xml><?xml version="1.0" encoding="utf-8"?>
<sst xmlns="http://schemas.openxmlformats.org/spreadsheetml/2006/main" count="93" uniqueCount="34">
  <si>
    <t>Ticker</t>
  </si>
  <si>
    <t>Sector</t>
  </si>
  <si>
    <t>Category</t>
  </si>
  <si>
    <t>DataField</t>
  </si>
  <si>
    <t>Owned</t>
  </si>
  <si>
    <t>Type</t>
  </si>
  <si>
    <t>stock</t>
  </si>
  <si>
    <t>etf</t>
  </si>
  <si>
    <t>Markets</t>
  </si>
  <si>
    <t>consumer_staples</t>
  </si>
  <si>
    <t>technology</t>
  </si>
  <si>
    <t>consumer_discretionary</t>
  </si>
  <si>
    <t>financials</t>
  </si>
  <si>
    <t>health_care</t>
  </si>
  <si>
    <t>communication_services</t>
  </si>
  <si>
    <t>energy</t>
  </si>
  <si>
    <t>industrials</t>
  </si>
  <si>
    <t>materials</t>
  </si>
  <si>
    <t>Div</t>
  </si>
  <si>
    <t>reit</t>
  </si>
  <si>
    <t>FyEnd</t>
  </si>
  <si>
    <t>S&amp;P</t>
  </si>
  <si>
    <t>mlp</t>
  </si>
  <si>
    <t>DivGro</t>
  </si>
  <si>
    <t>Price</t>
  </si>
  <si>
    <t>P/E</t>
  </si>
  <si>
    <t>52High</t>
  </si>
  <si>
    <t>52Low</t>
  </si>
  <si>
    <t>LastDump</t>
  </si>
  <si>
    <t>Watch</t>
  </si>
  <si>
    <t>Alert</t>
  </si>
  <si>
    <t>Theory</t>
  </si>
  <si>
    <t>Method</t>
  </si>
  <si>
    <t>MarketCap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</si>
</sst>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7" formatCode="_(* #,##0_);_(* \(#,##0\);_(* &quot;-&quot;??_);_(@_)"/>
    <numFmt numFmtId="171"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7">
    <xf numFmtId="0" fontId="0" fillId="0" borderId="0" xfId="0"/>
    <xf numFmtId="0" fontId="1" fillId="2" borderId="0" xfId="0" applyFont="1" applyFill="1"/>
    <xf numFmtId="164" fontId="0" fillId="0" borderId="0" xfId="0" applyNumberFormat="1"/>
    <xf numFmtId="167" fontId="1" fillId="2" borderId="0" xfId="1" applyNumberFormat="1" applyFont="1" applyFill="1"/>
    <xf numFmtId="167" fontId="0" fillId="0" borderId="0" xfId="1" applyNumberFormat="1" applyFont="1"/>
    <xf numFmtId="171" fontId="1" fillId="2" borderId="0" xfId="0" applyNumberFormat="1" applyFont="1" applyFill="1"/>
    <xf numFmtId="171" fontId="0" fillId="0" borderId="0" xfId="0" applyNumberFormat="1"/>
  </cellXfs>
  <cellStyles count="2">
    <cellStyle name="Comma" xfId="1" builtinId="3"/>
    <cellStyle name="Normal" xfId="0" builtinId="0"/>
  </cellStyles>
  <dxfs count="15">
    <dxf>
      <numFmt numFmtId="164" formatCode="_([$$-409]* #,##0.00_);_([$$-409]* \(#,##0.00\);_([$$-409]* &quot;-&quot;??_);_(@_)"/>
    </dxf>
    <dxf>
      <numFmt numFmtId="171" formatCode="_(&quot;$&quot;* #,##0_);_(&quot;$&quot;* \(#,##0\);_(&quot;$&quot;* &quot;-&quot;??_);_(@_)"/>
    </dxf>
    <dxf>
      <numFmt numFmtId="164" formatCode="_([$$-409]* #,##0.00_);_([$$-409]* \(#,##0.00\);_([$$-409]* &quot;-&quot;??_);_(@_)"/>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numFmt numFmtId="164" formatCode="_([$$-409]* #,##0.00_);_([$$-409]* \(#,##0.00\);_([$$-409]* &quot;-&quot;??_);_(@_)"/>
    </dxf>
    <dxf>
      <numFmt numFmtId="164" formatCode="_([$$-409]* #,##0.00_);_([$$-409]* \(#,##0.00\);_([$$-409]* &quot;-&quot;??_);_(@_)"/>
    </dxf>
    <dxf>
      <numFmt numFmtId="167"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22">
  <rv s="0">
    <v>https://www.bing.com/financeapi/forcetrigger?t=a1mou2&amp;q=XNAS%3aAAPL&amp;form=skydnc</v>
    <v>Learn more on Bing</v>
  </rv>
  <rv s="1">
    <v>0</v>
    <v>APPLE INC. (XNAS:AAPL)</v>
    <v>2</v>
    <v>3</v>
    <v>Finance</v>
    <v>4</v>
    <v>en-US</v>
    <v>a1mou2</v>
    <v>268435456</v>
    <v>1</v>
    <v>Powered by Refinitiv</v>
    <v>277.32</v>
    <v>169.21010000000001</v>
    <v>1.1049</v>
    <v>2.0649999999999999</v>
    <v>7.7210000000000004E-3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269.77999999999997</v>
    <v>Computers, Phones &amp; Household Electronics</v>
    <v>Stock</v>
    <v>45980.620689374999</v>
    <v>0</v>
    <v>265.5</v>
    <v>3982300206750</v>
    <v>APPLE INC.</v>
    <v>APPLE INC.</v>
    <v>265.5</v>
    <v>36.289099999999998</v>
    <v>267.44</v>
    <v>269.505</v>
    <v>14776350000</v>
    <v>AAPL</v>
    <v>APPLE INC. (XNAS:AAPL)</v>
    <v>4752742</v>
    <v>49432641</v>
    <v>1977</v>
  </rv>
  <rv s="2">
    <v>1</v>
  </rv>
  <rv s="0">
    <v>https://www.bing.com/financeapi/forcetrigger?t=a1mvm7&amp;q=XNYS%3aADM&amp;form=skydnc</v>
    <v>Learn more on Bing</v>
  </rv>
  <rv s="1">
    <v>0</v>
    <v>ARCHER-DANIELS-MIDLAND COMPANY. (XNYS:ADM)</v>
    <v>2</v>
    <v>3</v>
    <v>Finance</v>
    <v>4</v>
    <v>en-US</v>
    <v>a1mvm7</v>
    <v>268435456</v>
    <v>1</v>
    <v>Powered by Refinitiv</v>
    <v>65</v>
    <v>40.98</v>
    <v>0.67800000000000005</v>
    <v>-0.97499999999999998</v>
    <v>-1.6109999999999999E-2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60.564999999999998</v>
    <v>Food &amp; Tobacco</v>
    <v>Stock</v>
    <v>45980.62061232578</v>
    <v>3</v>
    <v>59.475000000000001</v>
    <v>29329170000</v>
    <v>ARCHER-DANIELS-MIDLAND COMPANY.</v>
    <v>ARCHER-DANIELS-MIDLAND COMPANY.</v>
    <v>60.36</v>
    <v>24.154199999999999</v>
    <v>60.52</v>
    <v>59.545000000000002</v>
    <v>480569700</v>
    <v>ADM</v>
    <v>ARCHER-DANIELS-MIDLAND COMPANY. (XNYS:ADM)</v>
    <v>219645</v>
    <v>3485515</v>
    <v>1923</v>
  </rv>
  <rv s="2">
    <v>4</v>
  </rv>
  <rv s="0">
    <v>https://www.bing.com/financeapi/forcetrigger?t=a1nfbh&amp;q=ARCX%3aAMLP&amp;form=skydnc</v>
    <v>Learn more on Bing</v>
  </rv>
  <rv s="3">
    <v>5</v>
    <v>Alerian MLP (ARCX:AMLP)</v>
    <v>6</v>
    <v>7</v>
    <v>Finance</v>
    <v>8</v>
    <v>en-US</v>
    <v>a1nfbh</v>
    <v>268435456</v>
    <v>1</v>
    <v>Powered by Refinitiv</v>
    <v>53.24</v>
    <v>43.75</v>
    <v>0.52990000000000004</v>
    <v>-0.42</v>
    <v>-8.9759999999999996E-3</v>
    <v>USD</v>
    <v>NYSE Arca</v>
    <v>ARCX</v>
    <v>8.5000000000000006E-3</v>
    <v>46.68</v>
    <v>ETF</v>
    <v>45980.620594675784</v>
    <v>6</v>
    <v>46.34</v>
    <v>10304279272.74</v>
    <v>Alerian MLP</v>
    <v>46.555</v>
    <v>46.79</v>
    <v>46.37</v>
    <v>AMLP</v>
    <v>Alerian MLP (ARCX:AMLP)</v>
    <v>104773</v>
    <v>1716134</v>
  </rv>
  <rv s="2">
    <v>7</v>
  </rv>
  <rv s="4">
    <v>12</v>
    <v>P/E</v>
    <v>0</v>
  </rv>
  <rv s="0">
    <v>https://www.bing.com/financeapi/forcetrigger?t=a1nhlh&amp;q=XNAS%3aAMZN&amp;form=skydnc</v>
    <v>Learn more on Bing</v>
  </rv>
  <rv s="1">
    <v>0</v>
    <v>AMAZON.COM, INC. (XNAS:AMZN)</v>
    <v>2</v>
    <v>3</v>
    <v>Finance</v>
    <v>4</v>
    <v>en-US</v>
    <v>a1nhlh</v>
    <v>268435456</v>
    <v>1</v>
    <v>Powered by Refinitiv</v>
    <v>258.60000000000002</v>
    <v>161.38</v>
    <v>1.3831</v>
    <v>-3.11</v>
    <v>-1.3974E-2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223.73500000000001</v>
    <v>Diversified Retail</v>
    <v>Stock</v>
    <v>45980.620712510936</v>
    <v>10</v>
    <v>219.02</v>
    <v>2345861876800</v>
    <v>AMAZON.COM, INC.</v>
    <v>AMAZON.COM, INC.</v>
    <v>223.59</v>
    <v>30.998699999999999</v>
    <v>222.55</v>
    <v>219.44</v>
    <v>10690220000</v>
    <v>AMZN</v>
    <v>AMAZON.COM, INC. (XNAS:AMZN)</v>
    <v>9211063</v>
    <v>52674749</v>
    <v>1996</v>
  </rv>
  <rv s="2">
    <v>11</v>
  </rv>
  <rv s="0">
    <v>https://www.bing.com/financeapi/forcetrigger?t=a1om4c&amp;q=XNYS%3aBLK&amp;form=skydnc</v>
    <v>Learn more on Bing</v>
  </rv>
  <rv s="1">
    <v>0</v>
    <v>BLACKROCK, INC. (XNYS:BLK)</v>
    <v>2</v>
    <v>3</v>
    <v>Finance</v>
    <v>4</v>
    <v>en-US</v>
    <v>a1om4c</v>
    <v>268435456</v>
    <v>1</v>
    <v>Powered by Refinitiv</v>
    <v>1219.9399000000001</v>
    <v>773.74009999999998</v>
    <v>1.4857</v>
    <v>4.05</v>
    <v>3.9740000000000001E-3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1023.75</v>
    <v>Investment Banking &amp; Investment Services</v>
    <v>Stock</v>
    <v>45980.620694571095</v>
    <v>13</v>
    <v>1016.87</v>
    <v>158748849371</v>
    <v>BLACKROCK, INC.</v>
    <v>BLACKROCK, INC.</v>
    <v>1019.51</v>
    <v>26.590299999999999</v>
    <v>1019.14</v>
    <v>1023.19</v>
    <v>155150900</v>
    <v>BLK</v>
    <v>BLACKROCK, INC. (XNYS:BLK)</v>
    <v>31677</v>
    <v>673010</v>
    <v>2024</v>
  </rv>
  <rv s="2">
    <v>14</v>
  </rv>
  <rv s="0">
    <v>https://www.bing.com/financeapi/forcetrigger?t=a1ook2&amp;q=XNYS%3aBMY&amp;form=skydnc</v>
    <v>Learn more on Bing</v>
  </rv>
  <rv s="1">
    <v>0</v>
    <v>BRISTOL-MYERS SQUIBB COMPANY (XNYS:BMY)</v>
    <v>2</v>
    <v>3</v>
    <v>Finance</v>
    <v>4</v>
    <v>en-US</v>
    <v>a1ook2</v>
    <v>268435456</v>
    <v>1</v>
    <v>Powered by Refinitiv</v>
    <v>63.33</v>
    <v>42.52</v>
    <v>0.29780000000000001</v>
    <v>-0.79500000000000004</v>
    <v>-1.6893000000000002E-2</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47</v>
    <v>Pharmaceuticals</v>
    <v>Stock</v>
    <v>45980.620702522654</v>
    <v>16</v>
    <v>46.09</v>
    <v>94184112545</v>
    <v>BRISTOL-MYERS SQUIBB COMPANY</v>
    <v>BRISTOL-MYERS SQUIBB COMPANY</v>
    <v>47</v>
    <v>15.6539</v>
    <v>47.06</v>
    <v>46.265000000000001</v>
    <v>2035753000</v>
    <v>BMY</v>
    <v>BRISTOL-MYERS SQUIBB COMPANY (XNYS:BMY)</v>
    <v>842901</v>
    <v>15766394</v>
    <v>1933</v>
  </rv>
  <rv s="2">
    <v>17</v>
  </rv>
  <rv s="0">
    <v>https://www.bing.com/financeapi/forcetrigger?t=a1pvu2&amp;q=XNYS%3aCLX&amp;form=skydnc</v>
    <v>Learn more on Bing</v>
  </rv>
  <rv s="1">
    <v>0</v>
    <v>THE CLOROX COMPANY (XNYS:CLX)</v>
    <v>2</v>
    <v>3</v>
    <v>Finance</v>
    <v>4</v>
    <v>en-US</v>
    <v>a1pvu2</v>
    <v>268435456</v>
    <v>1</v>
    <v>Powered by Refinitiv</v>
    <v>171.37</v>
    <v>99.55</v>
    <v>0.59050000000000002</v>
    <v>-0.16</v>
    <v>-1.598E-3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101.19</v>
    <v>Personal &amp; Household Products &amp; Services</v>
    <v>Stock</v>
    <v>45980.620670856253</v>
    <v>19</v>
    <v>99.55</v>
    <v>12195600392</v>
    <v>THE CLOROX COMPANY</v>
    <v>THE CLOROX COMPANY</v>
    <v>100.9</v>
    <v>15.6691</v>
    <v>100.14</v>
    <v>99.98</v>
    <v>121980400</v>
    <v>CLX</v>
    <v>THE CLOROX COMPANY (XNYS:CLX)</v>
    <v>232806</v>
    <v>1999304</v>
    <v>1986</v>
  </rv>
  <rv s="2">
    <v>20</v>
  </rv>
  <rv s="0">
    <v>https://www.bing.com/financeapi/forcetrigger?t=a1pwqh&amp;q=XNAS%3aCMCSA&amp;form=skydnc</v>
    <v>Learn more on Bing</v>
  </rv>
  <rv s="1">
    <v>0</v>
    <v>COMCAST CORPORATION (XNAS:CMCSA)</v>
    <v>2</v>
    <v>3</v>
    <v>Finance</v>
    <v>4</v>
    <v>en-US</v>
    <v>a1pwqh</v>
    <v>268435456</v>
    <v>1</v>
    <v>Powered by Refinitiv</v>
    <v>44.03</v>
    <v>25.75</v>
    <v>0.81969999999999998</v>
    <v>-0.26500000000000001</v>
    <v>-9.6860000000000002E-3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It operates through two primary businesses: Connectivity &amp; Platforms and Content &amp; Experiences. Connectivity &amp; Platforms includes its broadband, wireless, video and wireline voice businesses in the United States, United Kingdom and Italy. It also includes the operations of its Sky-branded entertainment television networks in the United Kingdom and Italy. Content &amp; Experiences includes its media and entertainment businesses that produce and distribute entertainment, sports, news and other content for global audiences and that own and operate theme parks and attractions in the United States and Asia.</v>
    <v>182000</v>
    <v>Nasdaq Stock Market</v>
    <v>XNAS</v>
    <v>XNAS</v>
    <v>One Comcast Center, PHILADELPHIA, PA, 19103-2838 US</v>
    <v>27.35</v>
    <v>Telecommunications Services</v>
    <v>Stock</v>
    <v>45980.620709675779</v>
    <v>22</v>
    <v>27</v>
    <v>98731335025</v>
    <v>COMCAST CORPORATION</v>
    <v>COMCAST CORPORATION</v>
    <v>27.35</v>
    <v>4.4987000000000004</v>
    <v>27.36</v>
    <v>27.094999999999999</v>
    <v>3643895000</v>
    <v>CMCSA</v>
    <v>COMCAST CORPORATION (XNAS:CMCSA)</v>
    <v>1726252</v>
    <v>33488231</v>
    <v>2001</v>
  </rv>
  <rv s="2">
    <v>23</v>
  </rv>
  <rv s="0">
    <v>https://www.bing.com/financeapi/forcetrigger?t=a1qlnm&amp;q=XNYS%3aCVS&amp;form=skydnc</v>
    <v>Learn more on Bing</v>
  </rv>
  <rv s="1">
    <v>0</v>
    <v>CVS HEALTH CORPORATION (XNYS:CVS)</v>
    <v>2</v>
    <v>3</v>
    <v>Finance</v>
    <v>4</v>
    <v>en-US</v>
    <v>a1qlnm</v>
    <v>268435456</v>
    <v>1</v>
    <v>Powered by Refinitiv</v>
    <v>85.15</v>
    <v>43.56</v>
    <v>0.47970000000000002</v>
    <v>-1</v>
    <v>-1.2829999999999999E-2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78.17</v>
    <v>Healthcare Providers &amp; Services</v>
    <v>Stock</v>
    <v>45980.620702731248</v>
    <v>25</v>
    <v>76.91</v>
    <v>98939570000</v>
    <v>CVS HEALTH CORPORATION</v>
    <v>CVS HEALTH CORPORATION</v>
    <v>77.905000000000001</v>
    <v>201.5719</v>
    <v>77.94</v>
    <v>76.94</v>
    <v>1269432000</v>
    <v>CVS</v>
    <v>CVS HEALTH CORPORATION (XNYS:CVS)</v>
    <v>407041</v>
    <v>7675262</v>
    <v>1996</v>
  </rv>
  <rv s="2">
    <v>26</v>
  </rv>
  <rv s="0">
    <v>https://www.bing.com/financeapi/forcetrigger?t=a1qlz2&amp;q=XNYS%3aCVX&amp;form=skydnc</v>
    <v>Learn more on Bing</v>
  </rv>
  <rv s="1">
    <v>0</v>
    <v>CHEVRON CORPORATION (XNYS:CVX)</v>
    <v>2</v>
    <v>3</v>
    <v>Finance</v>
    <v>4</v>
    <v>en-US</v>
    <v>a1qlz2</v>
    <v>268435456</v>
    <v>1</v>
    <v>Powered by Refinitiv</v>
    <v>168.96</v>
    <v>132.04</v>
    <v>0.67349999999999999</v>
    <v>-3.25</v>
    <v>-2.1156000000000001E-2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151.3612</v>
    <v>Oil &amp; Gas</v>
    <v>Stock</v>
    <v>45980.620690404685</v>
    <v>28</v>
    <v>150.29</v>
    <v>302773303140</v>
    <v>CHEVRON CORPORATION</v>
    <v>CHEVRON CORPORATION</v>
    <v>151.19999999999999</v>
    <v>21.233000000000001</v>
    <v>153.62</v>
    <v>150.37</v>
    <v>2013522000</v>
    <v>CVX</v>
    <v>CHEVRON CORPORATION (XNYS:CVX)</v>
    <v>749500</v>
    <v>7569834</v>
    <v>1926</v>
  </rv>
  <rv s="2">
    <v>29</v>
  </rv>
  <rv s="0">
    <v>https://www.bing.com/financeapi/forcetrigger?t=a1rxu2&amp;q=XNYS%3aEMN&amp;form=skydnc</v>
    <v>Learn more on Bing</v>
  </rv>
  <rv s="1">
    <v>0</v>
    <v>EASTMAN CHEMICAL COMPANY (XNYS:EMN)</v>
    <v>2</v>
    <v>3</v>
    <v>Finance</v>
    <v>4</v>
    <v>en-US</v>
    <v>a1rxu2</v>
    <v>268435456</v>
    <v>1</v>
    <v>Powered by Refinitiv</v>
    <v>107.5</v>
    <v>56.72</v>
    <v>1.2474000000000001</v>
    <v>-0.20499999999999999</v>
    <v>-3.565E-3</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57.734999999999999</v>
    <v>Chemicals</v>
    <v>Stock</v>
    <v>45980.620676099221</v>
    <v>31</v>
    <v>56.97</v>
    <v>6536769889</v>
    <v>EASTMAN CHEMICAL COMPANY</v>
    <v>EASTMAN CHEMICAL COMPANY</v>
    <v>57.66</v>
    <v>9.5474999999999994</v>
    <v>57.51</v>
    <v>57.305</v>
    <v>114069800</v>
    <v>EMN</v>
    <v>EASTMAN CHEMICAL COMPANY (XNYS:EMN)</v>
    <v>49782</v>
    <v>3086024</v>
    <v>1993</v>
  </rv>
  <rv s="2">
    <v>32</v>
  </rv>
  <rv s="0">
    <v>https://www.bing.com/financeapi/forcetrigger?t=a1ryw7&amp;q=ARCX%3aENFR&amp;form=skydnc</v>
    <v>Learn more on Bing</v>
  </rv>
  <rv s="3">
    <v>5</v>
    <v>ALPS Alerian Energy Infr (ARCX:ENFR)</v>
    <v>6</v>
    <v>7</v>
    <v>Finance</v>
    <v>8</v>
    <v>en-US</v>
    <v>a1ryw7</v>
    <v>268435456</v>
    <v>1</v>
    <v>Powered by Refinitiv</v>
    <v>34.28</v>
    <v>27.382999999999999</v>
    <v>0.76800000000000002</v>
    <v>-0.27</v>
    <v>-8.7150000000000005E-3</v>
    <v>USD</v>
    <v>NYSE Arca</v>
    <v>ARCX</v>
    <v>3.4999999999999996E-3</v>
    <v>30.75</v>
    <v>ETF</v>
    <v>45980.619201608592</v>
    <v>34</v>
    <v>30.71</v>
    <v>307474141.51999998</v>
    <v>ALPS Alerian Energy Infr</v>
    <v>30.718599999999999</v>
    <v>30.98</v>
    <v>30.71</v>
    <v>ENFR</v>
    <v>ALPS Alerian Energy Infr (ARCX:ENFR)</v>
    <v>5294</v>
    <v>63935</v>
  </rv>
  <rv s="2">
    <v>35</v>
  </rv>
  <rv s="0">
    <v>https://www.bing.com/financeapi/forcetrigger?t=a1tppr&amp;q=XNYS%3aGD&amp;form=skydnc</v>
    <v>Learn more on Bing</v>
  </rv>
  <rv s="1">
    <v>0</v>
    <v>GENERAL DYNAMICS CORPORATION (XNYS:GD)</v>
    <v>2</v>
    <v>3</v>
    <v>Finance</v>
    <v>4</v>
    <v>en-US</v>
    <v>a1tppr</v>
    <v>268435456</v>
    <v>1</v>
    <v>Powered by Refinitiv</v>
    <v>360.5</v>
    <v>239.2</v>
    <v>0.40679999999999999</v>
    <v>-1.41</v>
    <v>-4.1310000000000001E-3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340.88209999999998</v>
    <v>Aerospace &amp; Defense</v>
    <v>Stock</v>
    <v>45980.620702221873</v>
    <v>37</v>
    <v>336.29</v>
    <v>91808555540</v>
    <v>GENERAL DYNAMICS CORPORATION</v>
    <v>GENERAL DYNAMICS CORPORATION</v>
    <v>339.13</v>
    <v>22.035399999999999</v>
    <v>341.29</v>
    <v>339.88</v>
    <v>270120500</v>
    <v>GD</v>
    <v>GENERAL DYNAMICS CORPORATION (XNYS:GD)</v>
    <v>96212</v>
    <v>1144683</v>
    <v>1952</v>
  </rv>
  <rv s="2">
    <v>38</v>
  </rv>
  <rv s="0">
    <v>https://www.bing.com/financeapi/forcetrigger?t=a1uj52&amp;q=XNYS%3aHD&amp;form=skydnc</v>
    <v>Learn more on Bing</v>
  </rv>
  <rv s="1">
    <v>0</v>
    <v>THE HOME DEPOT, INC. (XNYS:HD)</v>
    <v>2</v>
    <v>3</v>
    <v>Finance</v>
    <v>4</v>
    <v>en-US</v>
    <v>a1uj52</v>
    <v>268435456</v>
    <v>1</v>
    <v>Powered by Refinitiv</v>
    <v>439.37</v>
    <v>326.31</v>
    <v>1.0714999999999999</v>
    <v>-3.4630000000000001</v>
    <v>-1.0291999999999999E-2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341.75</v>
    <v>Specialty Retailers</v>
    <v>Stock</v>
    <v>45980.620703564062</v>
    <v>40</v>
    <v>332.8</v>
    <v>331480692673</v>
    <v>THE HOME DEPOT, INC.</v>
    <v>THE HOME DEPOT, INC.</v>
    <v>340.87</v>
    <v>22.714300000000001</v>
    <v>336.48</v>
    <v>333.017</v>
    <v>995386700</v>
    <v>HD</v>
    <v>THE HOME DEPOT, INC. (XNYS:HD)</v>
    <v>1366752</v>
    <v>3359775</v>
    <v>1978</v>
  </rv>
  <rv s="2">
    <v>41</v>
  </rv>
  <rv s="0">
    <v>https://www.bing.com/financeapi/forcetrigger?t=a1uwu2&amp;q=XNYS%3aHSY&amp;form=skydnc</v>
    <v>Learn more on Bing</v>
  </rv>
  <rv s="1">
    <v>0</v>
    <v>THE HERSHEY COMPANY (XNYS:HSY)</v>
    <v>2</v>
    <v>3</v>
    <v>Finance</v>
    <v>4</v>
    <v>en-US</v>
    <v>a1uwu2</v>
    <v>268435456</v>
    <v>1</v>
    <v>Powered by Refinitiv</v>
    <v>208.03</v>
    <v>140.13</v>
    <v>0.16120000000000001</v>
    <v>-0.56999999999999995</v>
    <v>-3.1159999999999998E-3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Shaq-a-licious alongside salty snacks including SkinnyPop and Dot's Homestyle Pretzels.</v>
    <v>18540</v>
    <v>New York Stock Exchange</v>
    <v>XNYS</v>
    <v>XNYS</v>
    <v>19 East Chocolate Avenue, External Rptg &amp; Compliance, HERSHEY, PA, 17033 US</v>
    <v>182.66</v>
    <v>Food &amp; Tobacco</v>
    <v>Stock</v>
    <v>45980.620609443751</v>
    <v>43</v>
    <v>181.77</v>
    <v>36979890836</v>
    <v>THE HERSHEY COMPANY</v>
    <v>THE HERSHEY COMPANY</v>
    <v>181.85</v>
    <v>21.009699999999999</v>
    <v>182.93</v>
    <v>182.36</v>
    <v>202785100</v>
    <v>HSY</v>
    <v>THE HERSHEY COMPANY (XNYS:HSY)</v>
    <v>56554</v>
    <v>1990713</v>
    <v>1927</v>
  </rv>
  <rv s="2">
    <v>44</v>
  </rv>
  <rv s="0">
    <v>https://www.bing.com/financeapi/forcetrigger?t=a1w8ec&amp;q=XNYS%3aJNJ&amp;form=skydnc</v>
    <v>Learn more on Bing</v>
  </rv>
  <rv s="1">
    <v>0</v>
    <v>JOHNSON &amp; JOHNSON (XNYS:JNJ)</v>
    <v>2</v>
    <v>3</v>
    <v>Finance</v>
    <v>4</v>
    <v>en-US</v>
    <v>a1w8ec</v>
    <v>268435456</v>
    <v>1</v>
    <v>Powered by Refinitiv</v>
    <v>201.2799</v>
    <v>140.68</v>
    <v>0.3372</v>
    <v>0.59</v>
    <v>2.9499999999999999E-3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201.2799</v>
    <v>Pharmaceuticals</v>
    <v>Stock</v>
    <v>45980.620699432809</v>
    <v>46</v>
    <v>199.38</v>
    <v>483280484050</v>
    <v>JOHNSON &amp; JOHNSON</v>
    <v>JOHNSON &amp; JOHNSON</v>
    <v>200</v>
    <v>19.360800000000001</v>
    <v>200</v>
    <v>200.59</v>
    <v>2409295000</v>
    <v>JNJ</v>
    <v>JOHNSON &amp; JOHNSON (XNYS:JNJ)</v>
    <v>2014977</v>
    <v>8196127</v>
    <v>1887</v>
  </rv>
  <rv s="2">
    <v>47</v>
  </rv>
  <rv s="0">
    <v>https://www.bing.com/financeapi/forcetrigger?t=a1wzw7&amp;q=XNYS%3aLMT&amp;form=skydnc</v>
    <v>Learn more on Bing</v>
  </rv>
  <rv s="1">
    <v>0</v>
    <v>LOCKHEED MARTIN CORPORATION (XNYS:LMT)</v>
    <v>2</v>
    <v>3</v>
    <v>Finance</v>
    <v>4</v>
    <v>en-US</v>
    <v>a1wzw7</v>
    <v>268435456</v>
    <v>1</v>
    <v>Powered by Refinitiv</v>
    <v>546</v>
    <v>410.11</v>
    <v>0.24479999999999999</v>
    <v>-4.4349999999999996</v>
    <v>-9.3419999999999996E-3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472.38</v>
    <v>Aerospace &amp; Defense</v>
    <v>Stock</v>
    <v>45980.620711666408</v>
    <v>49</v>
    <v>468.3</v>
    <v>108822914373</v>
    <v>LOCKHEED MARTIN CORPORATION</v>
    <v>LOCKHEED MARTIN CORPORATION</v>
    <v>472.25</v>
    <v>26.197199999999999</v>
    <v>474.72</v>
    <v>470.28500000000003</v>
    <v>231397800</v>
    <v>LMT</v>
    <v>LOCKHEED MARTIN CORPORATION (XNYS:LMT)</v>
    <v>93199</v>
    <v>1428059</v>
    <v>1994</v>
  </rv>
  <rv s="2">
    <v>50</v>
  </rv>
  <rv s="0">
    <v>https://www.bing.com/financeapi/forcetrigger?t=a1x2ur&amp;q=XNYS%3aLOW&amp;form=skydnc</v>
    <v>Learn more on Bing</v>
  </rv>
  <rv s="1">
    <v>0</v>
    <v>LOWE'S COMPANIES, INC. (XNYS:LOW)</v>
    <v>2</v>
    <v>3</v>
    <v>Finance</v>
    <v>4</v>
    <v>en-US</v>
    <v>a1x2ur</v>
    <v>268435456</v>
    <v>1</v>
    <v>Powered by Refinitiv</v>
    <v>280.64</v>
    <v>206.38499999999999</v>
    <v>0.97399999999999998</v>
    <v>6.8150000000000004</v>
    <v>3.1038E-2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230.25</v>
    <v>Specialty Retailers</v>
    <v>Stock</v>
    <v>45980.620705543748</v>
    <v>52</v>
    <v>224.26</v>
    <v>126962344986</v>
    <v>LOWE'S COMPANIES, INC.</v>
    <v>LOWE'S COMPANIES, INC.</v>
    <v>229.48</v>
    <v>18.610299999999999</v>
    <v>219.57</v>
    <v>226.38499999999999</v>
    <v>560824900</v>
    <v>LOW</v>
    <v>LOWE'S COMPANIES, INC. (XNYS:LOW)</v>
    <v>1651779</v>
    <v>2676322</v>
    <v>1952</v>
  </rv>
  <rv s="2">
    <v>53</v>
  </rv>
  <rv s="0">
    <v>https://www.bing.com/financeapi/forcetrigger?t=a1x8c7&amp;q=XNYS%3aLYB&amp;form=skydnc</v>
    <v>Learn more on Bing</v>
  </rv>
  <rv s="1">
    <v>0</v>
    <v>LyondellBasell Industries NV (XNYS:LYB)</v>
    <v>2</v>
    <v>3</v>
    <v>Finance</v>
    <v>4</v>
    <v>en-US</v>
    <v>a1x8c7</v>
    <v>268435456</v>
    <v>1</v>
    <v>Powered by Refinitiv</v>
    <v>85.25</v>
    <v>41.58</v>
    <v>0.72670000000000001</v>
    <v>-0.81499999999999995</v>
    <v>-1.8633E-2</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43.763300000000001</v>
    <v>Chemicals</v>
    <v>Stock</v>
    <v>45980.620653251564</v>
    <v>55</v>
    <v>42.789499999999997</v>
    <v>14078720000</v>
    <v>LyondellBasell Industries NV</v>
    <v>LyondellBasell Industries NV</v>
    <v>43.55</v>
    <v>0</v>
    <v>43.74</v>
    <v>42.924999999999997</v>
    <v>321873000</v>
    <v>LYB</v>
    <v>LyondellBasell Industries NV (XNYS:LYB)</v>
    <v>411689</v>
    <v>5128309</v>
    <v>2009</v>
  </rv>
  <rv s="2">
    <v>56</v>
  </rv>
  <rv s="0">
    <v>https://www.bing.com/financeapi/forcetrigger?t=a1xg3m&amp;q=XNYS%3aMDT&amp;form=skydnc</v>
    <v>Learn more on Bing</v>
  </rv>
  <rv s="1">
    <v>0</v>
    <v>MEDTRONIC PUBLIC LIMITED COMPANY (XNYS:MDT)</v>
    <v>2</v>
    <v>3</v>
    <v>Finance</v>
    <v>4</v>
    <v>en-US</v>
    <v>a1xg3m</v>
    <v>268435456</v>
    <v>1</v>
    <v>Powered by Refinitiv</v>
    <v>102.59</v>
    <v>79.290000000000006</v>
    <v>0.69510000000000005</v>
    <v>0.39</v>
    <v>3.869E-3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DUBLIN, H91 4K49 IE</v>
    <v>102.59</v>
    <v>Healthcare Equipment &amp; Supplies</v>
    <v>Stock</v>
    <v>45980.620713228906</v>
    <v>58</v>
    <v>100.77</v>
    <v>129787913040</v>
    <v>MEDTRONIC PUBLIC LIMITED COMPANY</v>
    <v>MEDTRONIC PUBLIC LIMITED COMPANY</v>
    <v>100.95</v>
    <v>27.3597</v>
    <v>100.8</v>
    <v>101.19</v>
    <v>1282616000</v>
    <v>MDT</v>
    <v>MEDTRONIC PUBLIC LIMITED COMPANY (XNYS:MDT)</v>
    <v>1806755</v>
    <v>6872253</v>
    <v>2014</v>
  </rv>
  <rv s="2">
    <v>59</v>
  </rv>
  <rv s="0">
    <v>http://en.wikipedia.org/wiki/Public_domain</v>
    <v>Public domain</v>
  </rv>
  <rv s="0">
    <v>http://zh.wikipedia.org/wiki/味可美</v>
    <v>Wikipedia</v>
  </rv>
  <rv s="5">
    <v>61</v>
    <v>62</v>
  </rv>
  <rv s="6">
    <v>13</v>
    <v>https://www.bing.com/th?id=AMMS_8d96836a886471f7120ce0135f3ca8bd&amp;qlt=95</v>
    <v>63</v>
    <v>0</v>
    <v>https://www.bing.com/images/search?form=xlimg&amp;q=mccormick+%26+company</v>
    <v>Image of MCCORMICK &amp; COMPANY, INCORPORATED</v>
  </rv>
  <rv s="0">
    <v>https://www.bing.com/financeapi/forcetrigger?t=a1xof2&amp;q=XNYS%3aMKC.V&amp;form=skydnc</v>
    <v>Learn more on Bing</v>
  </rv>
  <rv s="7">
    <v>9</v>
    <v>MCCORMICK &amp; COMPANY, INCORPORATED (XNYS:MKC.V)</v>
    <v>11</v>
    <v>12</v>
    <v>Finance</v>
    <v>4</v>
    <v>en-US</v>
    <v>a1xof2</v>
    <v>268435456</v>
    <v>1</v>
    <v>Powered by Refinitiv</v>
    <v>85.5</v>
    <v>62.92</v>
    <v>0.61370000000000002</v>
    <v>0.83</v>
    <v>1.2894000000000001E-2</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65.209999999999994</v>
    <v>64</v>
    <v>Food &amp; Tobacco</v>
    <v>Stock</v>
    <v>45980.610426168751</v>
    <v>65</v>
    <v>65.12</v>
    <v>17460210000</v>
    <v>MCCORMICK &amp; COMPANY, INCORPORATED</v>
    <v>MCCORMICK &amp; COMPANY, INCORPORATED</v>
    <v>65.209999999999994</v>
    <v>0</v>
    <v>64.37</v>
    <v>65.2</v>
    <v>268375700</v>
    <v>MKC.V</v>
    <v>MCCORMICK &amp; COMPANY, INCORPORATED (XNYS:MKC.V)</v>
    <v>747</v>
    <v>4168</v>
    <v>1915</v>
  </rv>
  <rv s="2">
    <v>66</v>
  </rv>
  <rv s="0">
    <v>https://en.wikipedia.org/wiki/Microsoft</v>
    <v>Wikipedia</v>
  </rv>
  <rv s="5">
    <v>61</v>
    <v>68</v>
  </rv>
  <rv s="6">
    <v>13</v>
    <v>https://www.bing.com/th?id=AMMS_e6e837c7bf3a77408619758b7447855a&amp;qlt=95</v>
    <v>69</v>
    <v>0</v>
    <v>https://www.bing.com/images/search?form=xlimg&amp;q=microsoft</v>
    <v>Image of MICROSOFT CORPORATION</v>
  </rv>
  <rv s="0">
    <v>https://www.bing.com/financeapi/forcetrigger?t=a1xzim&amp;q=XNAS%3aMSFT&amp;form=skydnc</v>
    <v>Learn more on Bing</v>
  </rv>
  <rv s="7">
    <v>9</v>
    <v>MICROSOFT CORPORATION (XNAS:MSFT)</v>
    <v>11</v>
    <v>12</v>
    <v>Finance</v>
    <v>4</v>
    <v>en-US</v>
    <v>a1xzim</v>
    <v>268435456</v>
    <v>1</v>
    <v>Powered by Refinitiv</v>
    <v>555.45000000000005</v>
    <v>344.79</v>
    <v>1.0728</v>
    <v>-0.88</v>
    <v>-1.7819999999999999E-3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493.85</v>
    <v>70</v>
    <v>Software &amp; IT Services</v>
    <v>Stock</v>
    <v>45980.620701909378</v>
    <v>71</v>
    <v>488.95</v>
    <v>3663492947070</v>
    <v>MICROSOFT CORPORATION</v>
    <v>MICROSOFT CORPORATION</v>
    <v>489.46</v>
    <v>35.069099999999999</v>
    <v>493.79</v>
    <v>492.91</v>
    <v>7432377000</v>
    <v>MSFT</v>
    <v>MICROSOFT CORPORATION (XNAS:MSFT)</v>
    <v>2460841</v>
    <v>23351736</v>
    <v>1993</v>
  </rv>
  <rv s="2">
    <v>72</v>
  </rv>
  <rv s="0">
    <v>https://www.bing.com/financeapi/forcetrigger?t=a1yjxm&amp;q=XNYS%3aNKE&amp;form=skydnc</v>
    <v>Learn more on Bing</v>
  </rv>
  <rv s="1">
    <v>0</v>
    <v>NIKE, INC. (XNYS:NKE)</v>
    <v>2</v>
    <v>3</v>
    <v>Finance</v>
    <v>4</v>
    <v>en-US</v>
    <v>a1yjxm</v>
    <v>268435456</v>
    <v>1</v>
    <v>Powered by Refinitiv</v>
    <v>82.44</v>
    <v>52.28</v>
    <v>1.2855000000000001</v>
    <v>0.04</v>
    <v>6.401E-4</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62.61</v>
    <v>Textiles &amp; Apparel</v>
    <v>Stock</v>
    <v>45980.620670046097</v>
    <v>74</v>
    <v>62.01</v>
    <v>92431908530</v>
    <v>NIKE, INC.</v>
    <v>NIKE, INC.</v>
    <v>62.25</v>
    <v>32.046900000000001</v>
    <v>62.49</v>
    <v>62.53</v>
    <v>1478201000</v>
    <v>NKE</v>
    <v>NIKE, INC. (XNYS:NKE)</v>
    <v>681596</v>
    <v>14196497</v>
    <v>1969</v>
  </rv>
  <rv s="2">
    <v>75</v>
  </rv>
  <rv s="0">
    <v>https://www.bing.com/financeapi/forcetrigger?t=a1z11h&amp;q=XNYS%3aO&amp;form=skydnc</v>
    <v>Learn more on Bing</v>
  </rv>
  <rv s="1">
    <v>0</v>
    <v>REALTY INCOME CORPORATION (XNYS:O)</v>
    <v>2</v>
    <v>3</v>
    <v>Finance</v>
    <v>4</v>
    <v>en-US</v>
    <v>a1z11h</v>
    <v>268435456</v>
    <v>1</v>
    <v>Powered by Refinitiv</v>
    <v>61.085000000000001</v>
    <v>50.71</v>
    <v>0.79810000000000003</v>
    <v>-0.04</v>
    <v>-6.9760000000000004E-4</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57.41</v>
    <v>Residential &amp; Commercial REIT</v>
    <v>Stock</v>
    <v>45980.620662904686</v>
    <v>77</v>
    <v>57.25</v>
    <v>52710602340</v>
    <v>REALTY INCOME CORPORATION</v>
    <v>REALTY INCOME CORPORATION</v>
    <v>57.39</v>
    <v>53.526400000000002</v>
    <v>57.34</v>
    <v>57.3</v>
    <v>919905800</v>
    <v>O</v>
    <v>REALTY INCOME CORPORATION (XNYS:O)</v>
    <v>346974</v>
    <v>5844504</v>
    <v>1997</v>
  </rv>
  <rv s="2">
    <v>78</v>
  </rv>
  <rv s="0">
    <v>https://www.bing.com/financeapi/forcetrigger?t=axyhnm&amp;q=XNAS%3aPEP&amp;form=skydnc</v>
    <v>Learn more on Bing</v>
  </rv>
  <rv s="1">
    <v>0</v>
    <v>PEPSICO, INC. (XNAS:PEP)</v>
    <v>2</v>
    <v>3</v>
    <v>Finance</v>
    <v>4</v>
    <v>en-US</v>
    <v>axyhnm</v>
    <v>268435456</v>
    <v>1</v>
    <v>Powered by Refinitiv</v>
    <v>165.13</v>
    <v>127.6</v>
    <v>0.41299999999999998</v>
    <v>-0.66</v>
    <v>-4.4359999999999998E-3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148.66999999999999</v>
    <v>Beverages</v>
    <v>Stock</v>
    <v>45980.620674710153</v>
    <v>80</v>
    <v>147.76</v>
    <v>202516727400</v>
    <v>PEPSICO, INC.</v>
    <v>PEPSICO, INC.</v>
    <v>148.30000000000001</v>
    <v>28.1631</v>
    <v>148.77000000000001</v>
    <v>148.11000000000001</v>
    <v>1367340000</v>
    <v>PEP</v>
    <v>PEPSICO, INC. (XNAS:PEP)</v>
    <v>429546</v>
    <v>6664471</v>
    <v>1986</v>
  </rv>
  <rv s="2">
    <v>81</v>
  </rv>
  <rv s="0">
    <v>https://www.bing.com/financeapi/forcetrigger?t=a2319c&amp;q=XNYS%3aSJM&amp;form=skydnc</v>
    <v>Learn more on Bing</v>
  </rv>
  <rv s="1">
    <v>0</v>
    <v>THE J. M. SMUCKER COMPANY (XNYS:SJM)</v>
    <v>2</v>
    <v>3</v>
    <v>Finance</v>
    <v>4</v>
    <v>en-US</v>
    <v>a2319c</v>
    <v>268435456</v>
    <v>1</v>
    <v>Powered by Refinitiv</v>
    <v>125.41500000000001</v>
    <v>93.3</v>
    <v>0.19889999999999999</v>
    <v>-2.02</v>
    <v>-1.8932999999999998E-2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106.69</v>
    <v>Food &amp; Tobacco</v>
    <v>Stock</v>
    <v>45980.620597117966</v>
    <v>83</v>
    <v>104.67</v>
    <v>11382240000</v>
    <v>THE J. M. SMUCKER COMPANY</v>
    <v>THE J. M. SMUCKER COMPANY</v>
    <v>106.52</v>
    <v>0</v>
    <v>106.69</v>
    <v>104.67</v>
    <v>106685200</v>
    <v>SJM</v>
    <v>THE J. M. SMUCKER COMPANY (XNYS:SJM)</v>
    <v>79351</v>
    <v>1612215</v>
    <v>1921</v>
  </rv>
  <rv s="2">
    <v>84</v>
  </rv>
  <rv s="0">
    <v>https://www.bing.com/financeapi/forcetrigger?t=a23d6h&amp;q=XNYS%3aSPG&amp;form=skydnc</v>
    <v>Learn more on Bing</v>
  </rv>
  <rv s="1">
    <v>0</v>
    <v>SIMON PROPERTY GROUP, INC. (XNYS:SPG)</v>
    <v>2</v>
    <v>3</v>
    <v>Finance</v>
    <v>4</v>
    <v>en-US</v>
    <v>a23d6h</v>
    <v>268435456</v>
    <v>1</v>
    <v>Powered by Refinitiv</v>
    <v>190.13499999999999</v>
    <v>136.34</v>
    <v>1.3771</v>
    <v>-0.08</v>
    <v>-4.3970000000000001E-4</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182.58500000000001</v>
    <v>Residential &amp; Commercial REIT</v>
    <v>Stock</v>
    <v>45980.620699015628</v>
    <v>86</v>
    <v>181.19499999999999</v>
    <v>59368587685</v>
    <v>SIMON PROPERTY GROUP, INC.</v>
    <v>SIMON PROPERTY GROUP, INC.</v>
    <v>182.23500000000001</v>
    <v>21.289200000000001</v>
    <v>181.93</v>
    <v>181.85</v>
    <v>326470100</v>
    <v>SPG</v>
    <v>SIMON PROPERTY GROUP, INC. (XNYS:SPG)</v>
    <v>29913</v>
    <v>1331269</v>
    <v>1998</v>
  </rv>
  <rv s="2">
    <v>87</v>
  </rv>
  <rv s="0">
    <v>https://www.bing.com/financeapi/forcetrigger?t=a23www&amp;q=XNYS%3aT&amp;form=skydnc</v>
    <v>Learn more on Bing</v>
  </rv>
  <rv s="1">
    <v>0</v>
    <v>AT&amp;T INC. (XNYS:T)</v>
    <v>2</v>
    <v>3</v>
    <v>Finance</v>
    <v>4</v>
    <v>en-US</v>
    <v>a23www</v>
    <v>268435456</v>
    <v>1</v>
    <v>Powered by Refinitiv</v>
    <v>29.79</v>
    <v>21.38</v>
    <v>0.35470000000000002</v>
    <v>-0.155</v>
    <v>-6.0550000000000005E-3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135670</v>
    <v>New York Stock Exchange</v>
    <v>XNYS</v>
    <v>XNYS</v>
    <v>208 S. Akard St, DALLAS, TX, 75202 US</v>
    <v>25.67</v>
    <v>Telecommunications Services</v>
    <v>Stock</v>
    <v>45980.620700115622</v>
    <v>89</v>
    <v>25.44</v>
    <v>180391055250</v>
    <v>AT&amp;T INC.</v>
    <v>AT&amp;T INC.</v>
    <v>25.61</v>
    <v>8.2562999999999995</v>
    <v>25.6</v>
    <v>25.445</v>
    <v>7089450000</v>
    <v>T</v>
    <v>AT&amp;T INC. (XNYS:T)</v>
    <v>1948355</v>
    <v>67793689</v>
    <v>1983</v>
  </rv>
  <rv s="2">
    <v>90</v>
  </rv>
  <rv s="0">
    <v>http://it.wikipedia.org/wiki/T._Rowe_Price</v>
    <v>Wikipedia</v>
  </rv>
  <rv s="5">
    <v>61</v>
    <v>92</v>
  </rv>
  <rv s="6">
    <v>13</v>
    <v>https://www.bing.com/th?id=AMMS_4c600be848f66590834841f27e6f786d&amp;qlt=95</v>
    <v>93</v>
    <v>0</v>
    <v>https://www.bing.com/images/search?form=xlimg&amp;q=t.+rowe+price</v>
    <v>Image of T. ROWE PRICE GROUP, INC.</v>
  </rv>
  <rv s="0">
    <v>https://www.bing.com/financeapi/forcetrigger?t=a24i3m&amp;q=XNAS%3aTROW&amp;form=skydnc</v>
    <v>Learn more on Bing</v>
  </rv>
  <rv s="7">
    <v>9</v>
    <v>T. ROWE PRICE GROUP, INC. (XNAS:TROW)</v>
    <v>11</v>
    <v>12</v>
    <v>Finance</v>
    <v>4</v>
    <v>en-US</v>
    <v>a24i3m</v>
    <v>268435456</v>
    <v>1</v>
    <v>Powered by Refinitiv</v>
    <v>125.8078</v>
    <v>77.849999999999994</v>
    <v>1.5381</v>
    <v>0.153</v>
    <v>1.57E-3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97.834999999999994</v>
    <v>94</v>
    <v>Investment Banking &amp; Investment Services</v>
    <v>Stock</v>
    <v>45980.620627175784</v>
    <v>95</v>
    <v>97.217500000000001</v>
    <v>21307133021</v>
    <v>T. ROWE PRICE GROUP, INC.</v>
    <v>T. ROWE PRICE GROUP, INC.</v>
    <v>97.63</v>
    <v>10.634399999999999</v>
    <v>97.48</v>
    <v>97.632999999999996</v>
    <v>218237000</v>
    <v>TROW</v>
    <v>T. ROWE PRICE GROUP, INC. (XNAS:TROW)</v>
    <v>65405</v>
    <v>1646953</v>
    <v>2000</v>
  </rv>
  <rv s="2">
    <v>96</v>
  </rv>
  <rv s="0">
    <v>https://www.bing.com/financeapi/forcetrigger?t=a24km7&amp;q=XNYS%3aTSN&amp;form=skydnc</v>
    <v>Learn more on Bing</v>
  </rv>
  <rv s="1">
    <v>0</v>
    <v>TYSON FOODS, INCORPORATED (XNYS:TSN)</v>
    <v>2</v>
    <v>3</v>
    <v>Finance</v>
    <v>4</v>
    <v>en-US</v>
    <v>a24km7</v>
    <v>268435456</v>
    <v>1</v>
    <v>Powered by Refinitiv</v>
    <v>64.72</v>
    <v>50.56</v>
    <v>0.45590000000000003</v>
    <v>-0.12</v>
    <v>-2.2360000000000001E-3</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53.8703</v>
    <v>Food &amp; Tobacco</v>
    <v>Stock</v>
    <v>45980.620610335158</v>
    <v>98</v>
    <v>53.34</v>
    <v>18902516514</v>
    <v>TYSON FOODS, INCORPORATED</v>
    <v>TYSON FOODS, INCORPORATED</v>
    <v>53.66</v>
    <v>39.991</v>
    <v>53.66</v>
    <v>53.54</v>
    <v>353054100</v>
    <v>TSN</v>
    <v>TYSON FOODS, INCORPORATED (XNYS:TSN)</v>
    <v>113155</v>
    <v>2966288</v>
    <v>1986</v>
  </rv>
  <rv s="2">
    <v>99</v>
  </rv>
  <rv s="0">
    <v>https://www.bing.com/financeapi/forcetrigger?t=a24p1h&amp;q=XNAS%3aTXN&amp;form=skydnc</v>
    <v>Learn more on Bing</v>
  </rv>
  <rv s="1">
    <v>0</v>
    <v>TEXAS INSTRUMENTS INCORPORATED (XNAS:TXN)</v>
    <v>2</v>
    <v>3</v>
    <v>Finance</v>
    <v>4</v>
    <v>en-US</v>
    <v>a24p1h</v>
    <v>268435456</v>
    <v>1</v>
    <v>Powered by Refinitiv</v>
    <v>221.69</v>
    <v>139.94999999999999</v>
    <v>0.99119999999999997</v>
    <v>0.35</v>
    <v>2.225E-3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157.81</v>
    <v>Semiconductors &amp; Semiconductor Equipment</v>
    <v>Stock</v>
    <v>45980.620684120309</v>
    <v>101</v>
    <v>155.13</v>
    <v>143262588410</v>
    <v>TEXAS INSTRUMENTS INCORPORATED</v>
    <v>TEXAS INSTRUMENTS INCORPORATED</v>
    <v>156.57</v>
    <v>28.7714</v>
    <v>157.32</v>
    <v>157.66999999999999</v>
    <v>908623000</v>
    <v>TXN</v>
    <v>TEXAS INSTRUMENTS INCORPORATED (XNAS:TXN)</v>
    <v>567688</v>
    <v>8821948</v>
    <v>1938</v>
  </rv>
  <rv s="2">
    <v>102</v>
  </rv>
  <rv s="0">
    <v>https://www.bing.com/financeapi/forcetrigger?t=a24ynm&amp;q=XNYS%3aUPS&amp;form=skydnc</v>
    <v>Learn more on Bing</v>
  </rv>
  <rv s="1">
    <v>0</v>
    <v>UNITED PARCEL SERVICE, INC. (XNYS:UPS)</v>
    <v>2</v>
    <v>3</v>
    <v>Finance</v>
    <v>4</v>
    <v>en-US</v>
    <v>a24ynm</v>
    <v>268435456</v>
    <v>1</v>
    <v>Powered by Refinitiv</v>
    <v>138.66999999999999</v>
    <v>82</v>
    <v>1.0922000000000001</v>
    <v>-0.02</v>
    <v>-2.154E-4</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93.394999999999996</v>
    <v>Freight &amp; Logistics Services</v>
    <v>Stock</v>
    <v>45980.620627187498</v>
    <v>104</v>
    <v>92.375</v>
    <v>78738667536</v>
    <v>UNITED PARCEL SERVICE, INC.</v>
    <v>UNITED PARCEL SERVICE, INC.</v>
    <v>93.23</v>
    <v>14.341799999999999</v>
    <v>92.83</v>
    <v>92.81</v>
    <v>848385600</v>
    <v>UPS</v>
    <v>UNITED PARCEL SERVICE, INC. (XNYS:UPS)</v>
    <v>402204</v>
    <v>8085778</v>
    <v>1999</v>
  </rv>
  <rv s="2">
    <v>105</v>
  </rv>
  <rv s="0">
    <v>https://www.bing.com/financeapi/forcetrigger?t=a25obh&amp;q=XNYS%3aVZ&amp;form=skydnc</v>
    <v>Learn more on Bing</v>
  </rv>
  <rv s="1">
    <v>0</v>
    <v>VERIZON COMMUNICATIONS INC. (XNYS:VZ)</v>
    <v>2</v>
    <v>3</v>
    <v>Finance</v>
    <v>4</v>
    <v>en-US</v>
    <v>a25obh</v>
    <v>268435456</v>
    <v>1</v>
    <v>Powered by Refinitiv</v>
    <v>47.354999999999997</v>
    <v>37.585000000000001</v>
    <v>0.30480000000000002</v>
    <v>-0.17499999999999999</v>
    <v>-4.2189999999999997E-3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41.61</v>
    <v>Telecommunications Services</v>
    <v>Stock</v>
    <v>45980.620662789064</v>
    <v>107</v>
    <v>41.284999999999997</v>
    <v>174159434625</v>
    <v>VERIZON COMMUNICATIONS INC.</v>
    <v>VERIZON COMMUNICATIONS INC.</v>
    <v>41.49</v>
    <v>8.8056999999999999</v>
    <v>41.48</v>
    <v>41.305</v>
    <v>4216425000</v>
    <v>VZ</v>
    <v>VERIZON COMMUNICATIONS INC. (XNYS:VZ)</v>
    <v>2034597</v>
    <v>30521627</v>
    <v>1983</v>
  </rv>
  <rv s="2">
    <v>108</v>
  </rv>
  <rv s="0">
    <v>https://www.bing.com/financeapi/forcetrigger?t=a1x4f2&amp;q=XNAS%3aLRCX&amp;form=skydnc</v>
    <v>Learn more on Bing</v>
  </rv>
  <rv s="1">
    <v>0</v>
    <v>LAM RESEARCH CORPORATION (XNAS:LRCX)</v>
    <v>2</v>
    <v>3</v>
    <v>Finance</v>
    <v>4</v>
    <v>en-US</v>
    <v>a1x4f2</v>
    <v>268435456</v>
    <v>1</v>
    <v>Powered by Refinitiv</v>
    <v>167.15</v>
    <v>56.32</v>
    <v>1.7956000000000001</v>
    <v>6.0650000000000004</v>
    <v>4.2342000000000005E-2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149.33260000000001</v>
    <v>Semiconductors &amp; Semiconductor Equipment</v>
    <v>Stock</v>
    <v>45980.620707140624</v>
    <v>110</v>
    <v>145.57</v>
    <v>187531559150</v>
    <v>LAM RESEARCH CORPORATION</v>
    <v>LAM RESEARCH CORPORATION</v>
    <v>146.77000000000001</v>
    <v>32.8996</v>
    <v>143.24</v>
    <v>149.30500000000001</v>
    <v>1256030000</v>
    <v>LRCX</v>
    <v>LAM RESEARCH CORPORATION (XNAS:LRCX)</v>
    <v>1229907</v>
    <v>10875194</v>
    <v>1989</v>
  </rv>
  <rv s="2">
    <v>111</v>
  </rv>
  <rv s="0">
    <v>http://en.wikipedia.org/wiki/McDonald's</v>
    <v>Wikipedia</v>
  </rv>
  <rv s="5">
    <v>61</v>
    <v>113</v>
  </rv>
  <rv s="6">
    <v>13</v>
    <v>https://www.bing.com/th?id=AMMS_7d8255243964a8970376f8dd41121106&amp;qlt=95</v>
    <v>114</v>
    <v>0</v>
    <v>https://www.bing.com/images/search?form=xlimg&amp;q=mcdonald%27s</v>
    <v>Image of MCDONALD'S CORPORATION</v>
  </rv>
  <rv s="0">
    <v>https://www.bing.com/financeapi/forcetrigger?t=a1xdec&amp;q=XNYS%3aMCD&amp;form=skydnc</v>
    <v>Learn more on Bing</v>
  </rv>
  <rv s="7">
    <v>9</v>
    <v>MCDONALD'S CORPORATION (XNYS:MCD)</v>
    <v>11</v>
    <v>12</v>
    <v>Finance</v>
    <v>4</v>
    <v>en-US</v>
    <v>a1xdec</v>
    <v>268435456</v>
    <v>1</v>
    <v>Powered by Refinitiv</v>
    <v>326.32</v>
    <v>276.52999999999997</v>
    <v>0.51429999999999998</v>
    <v>-1.29</v>
    <v>-4.235E-3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304.58800000000002</v>
    <v>115</v>
    <v>Hotels &amp; Entertainment Services</v>
    <v>Stock</v>
    <v>45980.620688251562</v>
    <v>116</v>
    <v>303.25</v>
    <v>215996429520</v>
    <v>MCDONALD'S CORPORATION</v>
    <v>MCDONALD'S CORPORATION</v>
    <v>304.35000000000002</v>
    <v>25.8689</v>
    <v>304.58999999999997</v>
    <v>303.3</v>
    <v>712154400</v>
    <v>MCD</v>
    <v>MCDONALD'S CORPORATION (XNYS:MCD)</v>
    <v>126341</v>
    <v>2918477</v>
    <v>1964</v>
  </rv>
  <rv s="2">
    <v>117</v>
  </rv>
  <rv s="0">
    <v>https://www.bing.com/financeapi/forcetrigger?t=a1wjz2&amp;q=XNYS%3aKMB&amp;form=skydnc</v>
    <v>Learn more on Bing</v>
  </rv>
  <rv s="1">
    <v>0</v>
    <v>KIMBERLY-CLARK CORPORATION (XNAS:KMB)</v>
    <v>2</v>
    <v>3</v>
    <v>Finance</v>
    <v>4</v>
    <v>en-US</v>
    <v>a1wjz2</v>
    <v>268435456</v>
    <v>1</v>
    <v>Powered by Refinitiv</v>
    <v>150.44999999999999</v>
    <v>99.22</v>
    <v>0.2923</v>
    <v>-0.89</v>
    <v>-8.6199999999999992E-3</v>
    <v>USD</v>
    <v>Kimberly-Clark Corporation is engaged in the manufacturing and marketing of a wide range of products made from natural or synthetic fibers and materials using advanced technologies in fibers, nonwovens and absorbency. The Company’s segments include North America (NA), International Personal Care (IPC) and International Family Care and Professional (IFP). Its NA segment offers disposable diapers, training and youth pants, swim pants, baby wipes, and other products. These products are sold under the Huggies, Pull-Ups, GoodNites, Kotex, Poise, Depend, and other brand names. Its IPC segment consists of three categories, such as Baby &amp; Child Care, Adult Care and Feminine Care, including disposable diapers, and other products, and are sold under the Huggies, Kotex, Goodfeel, Intimus, Depend and other brand names. Its IFP segment consists of two categories-Family Care and Professional, including facial and bathroom tissue, and are sold under the Kleenex, Scottex, Wypall and other brand names.</v>
    <v>38000</v>
    <v>Nasdaq Stock Market</v>
    <v>XNAS</v>
    <v>XNAS</v>
    <v>351 Phelps Dr, IRVING, TX, 75038 US</v>
    <v>103.25</v>
    <v>Personal &amp; Household Products &amp; Services</v>
    <v>Stock</v>
    <v>45980.6206609375</v>
    <v>119</v>
    <v>102.18</v>
    <v>33969025824</v>
    <v>KIMBERLY-CLARK CORPORATION</v>
    <v>KIMBERLY-CLARK CORPORATION</v>
    <v>103.15</v>
    <v>19.0611</v>
    <v>103.25</v>
    <v>102.36</v>
    <v>331858400</v>
    <v>KMB</v>
    <v>KIMBERLY-CLARK CORPORATION (XNAS:KMB)</v>
    <v>398243</v>
    <v>6709487</v>
    <v>1928</v>
  </rv>
  <rv s="2">
    <v>120</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2</v>
      <v>1</v>
      <v>3</v>
      <v>1</v>
      <v>1</v>
      <v>1</v>
      <v>4</v>
      <v>5</v>
      <v>6</v>
      <v>1</v>
      <v>1</v>
      <v>5</v>
      <v>1</v>
      <v>4</v>
      <v>7</v>
      <v>9</v>
    </spb>
    <spb s="7">
      <v>Real-Time Nasdaq Last Sale</v>
      <v>from previous close</v>
      <v>Source: Nasdaq Last Sale</v>
      <v>from previous close</v>
      <v>GMT</v>
    </spb>
    <spb s="0">
      <v>2</v>
      <v>Name</v>
      <v>LearnMoreOnLink</v>
    </spb>
    <spb s="8">
      <v>0</v>
      <v>0</v>
    </spb>
    <spb s="9">
      <v>10</v>
      <v>1</v>
      <v>1</v>
      <v>1</v>
      <v>1</v>
    </spb>
    <spb s="10">
      <v>1</v>
      <v>2</v>
      <v>2</v>
      <v>1</v>
      <v>3</v>
      <v>1</v>
      <v>10</v>
      <v>1</v>
      <v>1</v>
      <v>4</v>
      <v>4</v>
      <v>5</v>
      <v>6</v>
      <v>1</v>
      <v>1</v>
      <v>1</v>
      <v>4</v>
      <v>7</v>
      <v>8</v>
      <v>9</v>
      <v>4</v>
    </spb>
    <spb s="11">
      <v>Powered by Refinitiv</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U37" totalsRowShown="0" headerRowDxfId="13">
  <autoFilter ref="A1:U37" xr:uid="{E0CA35FE-2F53-A347-8AD6-B5C0C701EF5E}"/>
  <tableColumns count="21">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0" xr3:uid="{ECF282BC-F9A9-2E44-934C-28F24BFD340E}" name="Type"/>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25" xr3:uid="{6BBE2141-9A2B-2642-BB97-BD8A4386DEC2}" name="Method"/>
    <tableColumn id="26" xr3:uid="{85DE2754-F5A4-EB49-A389-4F92D36846D6}" name="Theory"/>
    <tableColumn id="15" xr3:uid="{5CE60AD8-D2E2-824F-96BA-36B9112CF575}" name="Div"/>
    <tableColumn id="4" xr3:uid="{FFE5A046-78F8-1643-BE81-C614C0845FBA}" name="DivGro"/>
    <tableColumn id="6" xr3:uid="{E90EDA1C-8BB7-7F4E-BCAF-FAF9570B8A38}" name="Price" dataDxfId="12">
      <calculatedColumnFormula array="1">_FV(table1[[#This Row],[DataField]],"Price")</calculatedColumnFormula>
    </tableColumn>
    <tableColumn id="17" xr3:uid="{87A4EE6D-E7C3-CE41-BBA3-78EC20CDEBEE}" name="52Low" dataDxfId="11">
      <calculatedColumnFormula array="1">_FV(table1[[#This Row],[DataField]],"52 week low",TRUE)</calculatedColumnFormula>
    </tableColumn>
    <tableColumn id="18" xr3:uid="{D9B78892-8229-7243-8D05-F357BF8638BD}" name="52High" dataDxfId="10">
      <calculatedColumnFormula array="1">_FV(table1[[#This Row],[DataField]],"52 week high",TRUE)</calculatedColumnFormula>
    </tableColumn>
    <tableColumn id="20" xr3:uid="{78C713E7-4AD7-B542-970C-49F40A7186F4}" name="P/E" dataDxfId="9" dataCellStyle="Comma">
      <calculatedColumnFormula array="1">_FV(table1[[#This Row],[DataField]],"P/E",TRUE)</calculatedColumnFormula>
    </tableColumn>
    <tableColumn id="22" xr3:uid="{E4C0A9B5-EE77-584C-891E-3C3F027773E4}" name="LastDump" dataDxfId="8"/>
    <tableColumn id="23" xr3:uid="{7CC54F3F-E5AD-804B-9D12-23FD72A661FB}" name="Watch" dataDxfId="7">
      <calculatedColumnFormula>IF(table1[[#This Row],[Price]] &lt; (table1[[#This Row],[52Low]] * 0.25) + table1[[#This Row],[52Low]],  "TRUE", "FALSE")</calculatedColumnFormula>
    </tableColumn>
    <tableColumn id="24" xr3:uid="{8E6233F4-6662-6E46-AF2F-77ADB7B9257D}" name="Alert" dataDxfId="2">
      <calculatedColumnFormula>IF(table1[[#This Row],[Price]] &lt; (table1[[#This Row],[52Low]] * 0.1) + table1[[#This Row],[52Low]],  "TRUE", "FALSE")</calculatedColumnFormula>
    </tableColumn>
    <tableColumn id="28" xr3:uid="{0C4A33EE-ED89-2F4F-BCD3-9651E2BEED77}" name="MarketCap" dataDxfId="1">
      <calculatedColumnFormula array="1">_FV(table1[[#This Row],[DataField]],"Market cap",TRUE)</calculatedColumnFormula>
    </tableColumn>
    <tableColumn id="29" xr3:uid="{762F024A-D292-E849-9EE1-3ED9A762FAAE}" name="Markets" dataDxfId="0"/>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U37"/>
  <sheetViews>
    <sheetView tabSelected="1" workbookViewId="0">
      <selection activeCell="U2" sqref="U2"/>
    </sheetView>
  </sheetViews>
  <sheetFormatPr baseColWidth="10" defaultRowHeight="16" x14ac:dyDescent="0.2"/>
  <cols>
    <col min="1" max="1" width="51.83203125" bestFit="1" customWidth="1"/>
    <col min="2" max="2" width="8.6640625" bestFit="1" customWidth="1"/>
    <col min="3" max="3" width="9.33203125" bestFit="1" customWidth="1"/>
    <col min="4" max="4" width="7.33203125" bestFit="1" customWidth="1"/>
    <col min="5" max="5" width="21.6640625" bestFit="1" customWidth="1"/>
    <col min="6" max="6" width="7" bestFit="1" customWidth="1"/>
    <col min="7" max="7" width="8.5" bestFit="1" customWidth="1"/>
    <col min="9" max="9" width="9.83203125" bestFit="1" customWidth="1"/>
    <col min="10" max="10" width="9" bestFit="1" customWidth="1"/>
    <col min="11" max="11" width="6.33203125" bestFit="1" customWidth="1"/>
    <col min="12" max="12" width="9.33203125" bestFit="1" customWidth="1"/>
    <col min="14" max="14" width="9" bestFit="1" customWidth="1"/>
    <col min="15" max="15" width="10.5" bestFit="1" customWidth="1"/>
    <col min="16" max="16" width="7.83203125" style="4" bestFit="1" customWidth="1"/>
    <col min="17" max="17" width="12.33203125" bestFit="1" customWidth="1"/>
    <col min="18" max="18" width="9" bestFit="1" customWidth="1"/>
    <col min="19" max="19" width="7.6640625" bestFit="1" customWidth="1"/>
    <col min="20" max="20" width="18.6640625" style="6" bestFit="1" customWidth="1"/>
    <col min="21" max="21" width="10.5" bestFit="1" customWidth="1"/>
  </cols>
  <sheetData>
    <row r="1" spans="1:21" x14ac:dyDescent="0.2">
      <c r="A1" s="1" t="s">
        <v>3</v>
      </c>
      <c r="B1" s="1" t="s">
        <v>0</v>
      </c>
      <c r="C1" s="1" t="s">
        <v>4</v>
      </c>
      <c r="D1" s="1" t="s">
        <v>5</v>
      </c>
      <c r="E1" s="1" t="s">
        <v>1</v>
      </c>
      <c r="F1" s="1" t="s">
        <v>21</v>
      </c>
      <c r="G1" s="1" t="s">
        <v>20</v>
      </c>
      <c r="H1" s="1" t="s">
        <v>2</v>
      </c>
      <c r="I1" s="1" t="s">
        <v>32</v>
      </c>
      <c r="J1" s="1" t="s">
        <v>31</v>
      </c>
      <c r="K1" s="1" t="s">
        <v>18</v>
      </c>
      <c r="L1" s="1" t="s">
        <v>23</v>
      </c>
      <c r="M1" s="1" t="s">
        <v>24</v>
      </c>
      <c r="N1" s="1" t="s">
        <v>27</v>
      </c>
      <c r="O1" s="1" t="s">
        <v>26</v>
      </c>
      <c r="P1" s="3" t="s">
        <v>25</v>
      </c>
      <c r="Q1" s="1" t="s">
        <v>28</v>
      </c>
      <c r="R1" s="1" t="s">
        <v>29</v>
      </c>
      <c r="S1" s="1" t="s">
        <v>30</v>
      </c>
      <c r="T1" s="5" t="s">
        <v>33</v>
      </c>
      <c r="U1" s="1" t="s">
        <v>8</v>
      </c>
    </row>
    <row r="2" spans="1:21" x14ac:dyDescent="0.2">
      <c r="A2" t="e" vm="1">
        <v>#VALUE!</v>
      </c>
      <c r="B2" t="str" cm="1">
        <f t="array" aca="1" ref="B2" ca="1">_FV(table1[[#This Row],[DataField]],"Ticker symbol",TRUE)</f>
        <v>AAPL</v>
      </c>
      <c r="C2" t="b">
        <v>1</v>
      </c>
      <c r="D2" t="s">
        <v>6</v>
      </c>
      <c r="E2" t="s">
        <v>10</v>
      </c>
      <c r="F2" t="b">
        <v>1</v>
      </c>
      <c r="M2" s="2" cm="1">
        <f t="array" aca="1" ref="M2" ca="1">_FV(table1[[#This Row],[DataField]],"Price")</f>
        <v>269.505</v>
      </c>
      <c r="N2" s="2" cm="1">
        <f t="array" aca="1" ref="N2" ca="1">_FV(table1[[#This Row],[DataField]],"52 week low",TRUE)</f>
        <v>169.21010000000001</v>
      </c>
      <c r="O2" s="2" cm="1">
        <f t="array" aca="1" ref="O2" ca="1">_FV(table1[[#This Row],[DataField]],"52 week high",TRUE)</f>
        <v>277.32</v>
      </c>
      <c r="P2" s="4" cm="1">
        <f t="array" aca="1" ref="P2" ca="1">_FV(table1[[#This Row],[DataField]],"P/E",TRUE)</f>
        <v>36.289099999999998</v>
      </c>
      <c r="Q2" s="2"/>
      <c r="R2" s="2" t="str">
        <f ca="1">IF(table1[[#This Row],[Price]] &lt; (table1[[#This Row],[52Low]] * 0.25) + table1[[#This Row],[52Low]],  "TRUE", "FALSE")</f>
        <v>FALSE</v>
      </c>
      <c r="S2" s="2" t="str">
        <f ca="1">IF(table1[[#This Row],[Price]] &lt; (table1[[#This Row],[52Low]] * 0.1) + table1[[#This Row],[52Low]],  "TRUE", "FALSE")</f>
        <v>FALSE</v>
      </c>
      <c r="T2" s="6" cm="1">
        <f t="array" aca="1" ref="T2" ca="1">_FV(table1[[#This Row],[DataField]],"Market cap",TRUE)</f>
        <v>3982300206750</v>
      </c>
      <c r="U2" s="2"/>
    </row>
    <row r="3" spans="1:21" x14ac:dyDescent="0.2">
      <c r="A3" t="e" vm="2">
        <v>#VALUE!</v>
      </c>
      <c r="B3" t="str" cm="1">
        <f t="array" aca="1" ref="B3" ca="1">_FV(table1[[#This Row],[DataField]],"Ticker symbol",TRUE)</f>
        <v>ADM</v>
      </c>
      <c r="C3" t="b">
        <v>1</v>
      </c>
      <c r="D3" t="s">
        <v>6</v>
      </c>
      <c r="E3" t="s">
        <v>9</v>
      </c>
      <c r="F3" t="b">
        <v>1</v>
      </c>
      <c r="M3" s="2" cm="1">
        <f t="array" aca="1" ref="M3" ca="1">_FV(table1[[#This Row],[DataField]],"Price")</f>
        <v>59.545000000000002</v>
      </c>
      <c r="N3" s="2" cm="1">
        <f t="array" aca="1" ref="N3" ca="1">_FV(table1[[#This Row],[DataField]],"52 week low",TRUE)</f>
        <v>40.98</v>
      </c>
      <c r="O3" s="2" cm="1">
        <f t="array" aca="1" ref="O3" ca="1">_FV(table1[[#This Row],[DataField]],"52 week high",TRUE)</f>
        <v>65</v>
      </c>
      <c r="P3" s="4" cm="1">
        <f t="array" aca="1" ref="P3" ca="1">_FV(table1[[#This Row],[DataField]],"P/E",TRUE)</f>
        <v>24.154199999999999</v>
      </c>
      <c r="Q3" s="2"/>
      <c r="R3" s="2" t="str">
        <f ca="1">IF(table1[[#This Row],[Price]] &lt; (table1[[#This Row],[52Low]] * 0.25) + table1[[#This Row],[52Low]],  "TRUE", "FALSE")</f>
        <v>FALSE</v>
      </c>
      <c r="S3" s="2" t="str">
        <f ca="1">IF(table1[[#This Row],[Price]] &lt; (table1[[#This Row],[52Low]] * 0.1) + table1[[#This Row],[52Low]],  "TRUE", "FALSE")</f>
        <v>FALSE</v>
      </c>
      <c r="T3" s="6" cm="1">
        <f t="array" aca="1" ref="T3" ca="1">_FV(table1[[#This Row],[DataField]],"Market cap",TRUE)</f>
        <v>29329170000</v>
      </c>
      <c r="U3" s="2"/>
    </row>
    <row r="4" spans="1:21" x14ac:dyDescent="0.2">
      <c r="A4" t="e" vm="3">
        <v>#VALUE!</v>
      </c>
      <c r="B4" t="str" cm="1">
        <f t="array" aca="1" ref="B4" ca="1">_FV(table1[[#This Row],[DataField]],"Ticker symbol",TRUE)</f>
        <v>AMLP</v>
      </c>
      <c r="C4" t="b">
        <v>1</v>
      </c>
      <c r="D4" t="s">
        <v>7</v>
      </c>
      <c r="E4" t="s">
        <v>22</v>
      </c>
      <c r="F4" t="b">
        <v>0</v>
      </c>
      <c r="M4" s="2" cm="1">
        <f t="array" aca="1" ref="M4" ca="1">_FV(table1[[#This Row],[DataField]],"Price")</f>
        <v>46.37</v>
      </c>
      <c r="N4" s="2" cm="1">
        <f t="array" aca="1" ref="N4" ca="1">_FV(table1[[#This Row],[DataField]],"52 week low",TRUE)</f>
        <v>43.75</v>
      </c>
      <c r="O4" s="2" cm="1">
        <f t="array" aca="1" ref="O4" ca="1">_FV(table1[[#This Row],[DataField]],"52 week high",TRUE)</f>
        <v>53.24</v>
      </c>
      <c r="P4" s="4" t="e" cm="1" vm="4">
        <f t="array" ref="P4">_FV(table1[[#This Row],[DataField]],"P/E",TRUE)</f>
        <v>#VALUE!</v>
      </c>
      <c r="Q4" s="2"/>
      <c r="R4" s="2" t="str">
        <f ca="1">IF(table1[[#This Row],[Price]] &lt; (table1[[#This Row],[52Low]] * 0.25) + table1[[#This Row],[52Low]],  "TRUE", "FALSE")</f>
        <v>TRUE</v>
      </c>
      <c r="S4" s="2" t="str">
        <f ca="1">IF(table1[[#This Row],[Price]] &lt; (table1[[#This Row],[52Low]] * 0.1) + table1[[#This Row],[52Low]],  "TRUE", "FALSE")</f>
        <v>TRUE</v>
      </c>
      <c r="T4" s="6" cm="1">
        <f t="array" aca="1" ref="T4" ca="1">_FV(table1[[#This Row],[DataField]],"Market cap",TRUE)</f>
        <v>10304279272.74</v>
      </c>
      <c r="U4" s="2"/>
    </row>
    <row r="5" spans="1:21" x14ac:dyDescent="0.2">
      <c r="A5" t="e" vm="5">
        <v>#VALUE!</v>
      </c>
      <c r="B5" t="str" cm="1">
        <f t="array" aca="1" ref="B5" ca="1">_FV(table1[[#This Row],[DataField]],"Ticker symbol",TRUE)</f>
        <v>AMZN</v>
      </c>
      <c r="C5" t="b">
        <v>1</v>
      </c>
      <c r="D5" t="s">
        <v>6</v>
      </c>
      <c r="E5" t="s">
        <v>11</v>
      </c>
      <c r="F5" t="b">
        <v>1</v>
      </c>
      <c r="M5" s="2" cm="1">
        <f t="array" aca="1" ref="M5" ca="1">_FV(table1[[#This Row],[DataField]],"Price")</f>
        <v>219.44</v>
      </c>
      <c r="N5" s="2" cm="1">
        <f t="array" aca="1" ref="N5" ca="1">_FV(table1[[#This Row],[DataField]],"52 week low",TRUE)</f>
        <v>161.38</v>
      </c>
      <c r="O5" s="2" cm="1">
        <f t="array" aca="1" ref="O5" ca="1">_FV(table1[[#This Row],[DataField]],"52 week high",TRUE)</f>
        <v>258.60000000000002</v>
      </c>
      <c r="P5" s="4" cm="1">
        <f t="array" aca="1" ref="P5" ca="1">_FV(table1[[#This Row],[DataField]],"P/E",TRUE)</f>
        <v>30.998699999999999</v>
      </c>
      <c r="Q5" s="2"/>
      <c r="R5" s="2" t="str">
        <f ca="1">IF(table1[[#This Row],[Price]] &lt; (table1[[#This Row],[52Low]] * 0.25) + table1[[#This Row],[52Low]],  "TRUE", "FALSE")</f>
        <v>FALSE</v>
      </c>
      <c r="S5" s="2" t="str">
        <f ca="1">IF(table1[[#This Row],[Price]] &lt; (table1[[#This Row],[52Low]] * 0.1) + table1[[#This Row],[52Low]],  "TRUE", "FALSE")</f>
        <v>FALSE</v>
      </c>
      <c r="T5" s="6" cm="1">
        <f t="array" aca="1" ref="T5" ca="1">_FV(table1[[#This Row],[DataField]],"Market cap",TRUE)</f>
        <v>2345861876800</v>
      </c>
      <c r="U5" s="2"/>
    </row>
    <row r="6" spans="1:21" x14ac:dyDescent="0.2">
      <c r="A6" t="e" vm="6">
        <v>#VALUE!</v>
      </c>
      <c r="B6" t="str" cm="1">
        <f t="array" aca="1" ref="B6" ca="1">_FV(table1[[#This Row],[DataField]],"Ticker symbol",TRUE)</f>
        <v>BLK</v>
      </c>
      <c r="C6" t="b">
        <v>1</v>
      </c>
      <c r="D6" t="s">
        <v>6</v>
      </c>
      <c r="E6" t="s">
        <v>12</v>
      </c>
      <c r="F6" t="b">
        <v>1</v>
      </c>
      <c r="M6" s="2" cm="1">
        <f t="array" aca="1" ref="M6" ca="1">_FV(table1[[#This Row],[DataField]],"Price")</f>
        <v>1023.19</v>
      </c>
      <c r="N6" s="2" cm="1">
        <f t="array" aca="1" ref="N6" ca="1">_FV(table1[[#This Row],[DataField]],"52 week low",TRUE)</f>
        <v>773.74009999999998</v>
      </c>
      <c r="O6" s="2" cm="1">
        <f t="array" aca="1" ref="O6" ca="1">_FV(table1[[#This Row],[DataField]],"52 week high",TRUE)</f>
        <v>1219.9399000000001</v>
      </c>
      <c r="P6" s="4" cm="1">
        <f t="array" aca="1" ref="P6" ca="1">_FV(table1[[#This Row],[DataField]],"P/E",TRUE)</f>
        <v>26.590299999999999</v>
      </c>
      <c r="Q6" s="2"/>
      <c r="R6" s="2" t="str">
        <f ca="1">IF(table1[[#This Row],[Price]] &lt; (table1[[#This Row],[52Low]] * 0.25) + table1[[#This Row],[52Low]],  "TRUE", "FALSE")</f>
        <v>FALSE</v>
      </c>
      <c r="S6" s="2" t="str">
        <f ca="1">IF(table1[[#This Row],[Price]] &lt; (table1[[#This Row],[52Low]] * 0.1) + table1[[#This Row],[52Low]],  "TRUE", "FALSE")</f>
        <v>FALSE</v>
      </c>
      <c r="T6" s="6" cm="1">
        <f t="array" aca="1" ref="T6" ca="1">_FV(table1[[#This Row],[DataField]],"Market cap",TRUE)</f>
        <v>158748849371</v>
      </c>
      <c r="U6" s="2"/>
    </row>
    <row r="7" spans="1:21" x14ac:dyDescent="0.2">
      <c r="A7" t="e" vm="7">
        <v>#VALUE!</v>
      </c>
      <c r="B7" t="str" cm="1">
        <f t="array" aca="1" ref="B7" ca="1">_FV(table1[[#This Row],[DataField]],"Ticker symbol",TRUE)</f>
        <v>BMY</v>
      </c>
      <c r="C7" t="b">
        <v>1</v>
      </c>
      <c r="D7" t="s">
        <v>6</v>
      </c>
      <c r="E7" t="s">
        <v>13</v>
      </c>
      <c r="F7" t="b">
        <v>1</v>
      </c>
      <c r="M7" s="2" cm="1">
        <f t="array" aca="1" ref="M7" ca="1">_FV(table1[[#This Row],[DataField]],"Price")</f>
        <v>46.265000000000001</v>
      </c>
      <c r="N7" s="2" cm="1">
        <f t="array" aca="1" ref="N7" ca="1">_FV(table1[[#This Row],[DataField]],"52 week low",TRUE)</f>
        <v>42.52</v>
      </c>
      <c r="O7" s="2" cm="1">
        <f t="array" aca="1" ref="O7" ca="1">_FV(table1[[#This Row],[DataField]],"52 week high",TRUE)</f>
        <v>63.33</v>
      </c>
      <c r="P7" s="4" cm="1">
        <f t="array" aca="1" ref="P7" ca="1">_FV(table1[[#This Row],[DataField]],"P/E",TRUE)</f>
        <v>15.6539</v>
      </c>
      <c r="Q7" s="2"/>
      <c r="R7" s="2" t="str">
        <f ca="1">IF(table1[[#This Row],[Price]] &lt; (table1[[#This Row],[52Low]] * 0.25) + table1[[#This Row],[52Low]],  "TRUE", "FALSE")</f>
        <v>TRUE</v>
      </c>
      <c r="S7" s="2" t="str">
        <f ca="1">IF(table1[[#This Row],[Price]] &lt; (table1[[#This Row],[52Low]] * 0.1) + table1[[#This Row],[52Low]],  "TRUE", "FALSE")</f>
        <v>TRUE</v>
      </c>
      <c r="T7" s="6" cm="1">
        <f t="array" aca="1" ref="T7" ca="1">_FV(table1[[#This Row],[DataField]],"Market cap",TRUE)</f>
        <v>94184112545</v>
      </c>
      <c r="U7" s="2"/>
    </row>
    <row r="8" spans="1:21" x14ac:dyDescent="0.2">
      <c r="A8" t="e" vm="8">
        <v>#VALUE!</v>
      </c>
      <c r="B8" t="str" cm="1">
        <f t="array" aca="1" ref="B8" ca="1">_FV(table1[[#This Row],[DataField]],"Ticker symbol",TRUE)</f>
        <v>CLX</v>
      </c>
      <c r="C8" t="b">
        <v>1</v>
      </c>
      <c r="D8" t="s">
        <v>6</v>
      </c>
      <c r="E8" t="s">
        <v>9</v>
      </c>
      <c r="F8" t="b">
        <v>1</v>
      </c>
      <c r="M8" s="2" cm="1">
        <f t="array" aca="1" ref="M8" ca="1">_FV(table1[[#This Row],[DataField]],"Price")</f>
        <v>99.98</v>
      </c>
      <c r="N8" s="2" cm="1">
        <f t="array" aca="1" ref="N8" ca="1">_FV(table1[[#This Row],[DataField]],"52 week low",TRUE)</f>
        <v>99.55</v>
      </c>
      <c r="O8" s="2" cm="1">
        <f t="array" aca="1" ref="O8" ca="1">_FV(table1[[#This Row],[DataField]],"52 week high",TRUE)</f>
        <v>171.37</v>
      </c>
      <c r="P8" s="4" cm="1">
        <f t="array" aca="1" ref="P8" ca="1">_FV(table1[[#This Row],[DataField]],"P/E",TRUE)</f>
        <v>15.6691</v>
      </c>
      <c r="Q8" s="2"/>
      <c r="R8" s="2" t="str">
        <f ca="1">IF(table1[[#This Row],[Price]] &lt; (table1[[#This Row],[52Low]] * 0.25) + table1[[#This Row],[52Low]],  "TRUE", "FALSE")</f>
        <v>TRUE</v>
      </c>
      <c r="S8" s="2" t="str">
        <f ca="1">IF(table1[[#This Row],[Price]] &lt; (table1[[#This Row],[52Low]] * 0.1) + table1[[#This Row],[52Low]],  "TRUE", "FALSE")</f>
        <v>TRUE</v>
      </c>
      <c r="T8" s="6" cm="1">
        <f t="array" aca="1" ref="T8" ca="1">_FV(table1[[#This Row],[DataField]],"Market cap",TRUE)</f>
        <v>12195600392</v>
      </c>
      <c r="U8" s="2"/>
    </row>
    <row r="9" spans="1:21" x14ac:dyDescent="0.2">
      <c r="A9" t="e" vm="9">
        <v>#VALUE!</v>
      </c>
      <c r="B9" t="str" cm="1">
        <f t="array" aca="1" ref="B9" ca="1">_FV(table1[[#This Row],[DataField]],"Ticker symbol",TRUE)</f>
        <v>CMCSA</v>
      </c>
      <c r="C9" t="b">
        <v>1</v>
      </c>
      <c r="D9" t="s">
        <v>6</v>
      </c>
      <c r="E9" t="s">
        <v>14</v>
      </c>
      <c r="F9" t="b">
        <v>1</v>
      </c>
      <c r="M9" s="2" cm="1">
        <f t="array" aca="1" ref="M9" ca="1">_FV(table1[[#This Row],[DataField]],"Price")</f>
        <v>27.094999999999999</v>
      </c>
      <c r="N9" s="2" cm="1">
        <f t="array" aca="1" ref="N9" ca="1">_FV(table1[[#This Row],[DataField]],"52 week low",TRUE)</f>
        <v>25.75</v>
      </c>
      <c r="O9" s="2" cm="1">
        <f t="array" aca="1" ref="O9" ca="1">_FV(table1[[#This Row],[DataField]],"52 week high",TRUE)</f>
        <v>44.03</v>
      </c>
      <c r="P9" s="4" cm="1">
        <f t="array" aca="1" ref="P9" ca="1">_FV(table1[[#This Row],[DataField]],"P/E",TRUE)</f>
        <v>4.4987000000000004</v>
      </c>
      <c r="Q9" s="2"/>
      <c r="R9" s="2" t="str">
        <f ca="1">IF(table1[[#This Row],[Price]] &lt; (table1[[#This Row],[52Low]] * 0.25) + table1[[#This Row],[52Low]],  "TRUE", "FALSE")</f>
        <v>TRUE</v>
      </c>
      <c r="S9" s="2" t="str">
        <f ca="1">IF(table1[[#This Row],[Price]] &lt; (table1[[#This Row],[52Low]] * 0.1) + table1[[#This Row],[52Low]],  "TRUE", "FALSE")</f>
        <v>TRUE</v>
      </c>
      <c r="T9" s="6" cm="1">
        <f t="array" aca="1" ref="T9" ca="1">_FV(table1[[#This Row],[DataField]],"Market cap",TRUE)</f>
        <v>98731335025</v>
      </c>
      <c r="U9" s="2"/>
    </row>
    <row r="10" spans="1:21" x14ac:dyDescent="0.2">
      <c r="A10" t="e" vm="10">
        <v>#VALUE!</v>
      </c>
      <c r="B10" t="str" cm="1">
        <f t="array" aca="1" ref="B10" ca="1">_FV(table1[[#This Row],[DataField]],"Ticker symbol",TRUE)</f>
        <v>CVS</v>
      </c>
      <c r="C10" t="b">
        <v>1</v>
      </c>
      <c r="D10" t="s">
        <v>6</v>
      </c>
      <c r="E10" t="s">
        <v>13</v>
      </c>
      <c r="F10" t="b">
        <v>1</v>
      </c>
      <c r="M10" s="2" cm="1">
        <f t="array" aca="1" ref="M10" ca="1">_FV(table1[[#This Row],[DataField]],"Price")</f>
        <v>76.94</v>
      </c>
      <c r="N10" s="2" cm="1">
        <f t="array" aca="1" ref="N10" ca="1">_FV(table1[[#This Row],[DataField]],"52 week low",TRUE)</f>
        <v>43.56</v>
      </c>
      <c r="O10" s="2" cm="1">
        <f t="array" aca="1" ref="O10" ca="1">_FV(table1[[#This Row],[DataField]],"52 week high",TRUE)</f>
        <v>85.15</v>
      </c>
      <c r="P10" s="4" cm="1">
        <f t="array" aca="1" ref="P10" ca="1">_FV(table1[[#This Row],[DataField]],"P/E",TRUE)</f>
        <v>201.5719</v>
      </c>
      <c r="Q10" s="2"/>
      <c r="R10" s="2" t="str">
        <f ca="1">IF(table1[[#This Row],[Price]] &lt; (table1[[#This Row],[52Low]] * 0.25) + table1[[#This Row],[52Low]],  "TRUE", "FALSE")</f>
        <v>FALSE</v>
      </c>
      <c r="S10" s="2" t="str">
        <f ca="1">IF(table1[[#This Row],[Price]] &lt; (table1[[#This Row],[52Low]] * 0.1) + table1[[#This Row],[52Low]],  "TRUE", "FALSE")</f>
        <v>FALSE</v>
      </c>
      <c r="T10" s="6" cm="1">
        <f t="array" aca="1" ref="T10" ca="1">_FV(table1[[#This Row],[DataField]],"Market cap",TRUE)</f>
        <v>98939570000</v>
      </c>
      <c r="U10" s="2"/>
    </row>
    <row r="11" spans="1:21" x14ac:dyDescent="0.2">
      <c r="A11" t="e" vm="11">
        <v>#VALUE!</v>
      </c>
      <c r="B11" t="str" cm="1">
        <f t="array" aca="1" ref="B11" ca="1">_FV(table1[[#This Row],[DataField]],"Ticker symbol",TRUE)</f>
        <v>CVX</v>
      </c>
      <c r="C11" t="b">
        <v>1</v>
      </c>
      <c r="D11" t="s">
        <v>6</v>
      </c>
      <c r="E11" t="s">
        <v>15</v>
      </c>
      <c r="F11" t="b">
        <v>1</v>
      </c>
      <c r="M11" s="2" cm="1">
        <f t="array" aca="1" ref="M11" ca="1">_FV(table1[[#This Row],[DataField]],"Price")</f>
        <v>150.37</v>
      </c>
      <c r="N11" s="2" cm="1">
        <f t="array" aca="1" ref="N11" ca="1">_FV(table1[[#This Row],[DataField]],"52 week low",TRUE)</f>
        <v>132.04</v>
      </c>
      <c r="O11" s="2" cm="1">
        <f t="array" aca="1" ref="O11" ca="1">_FV(table1[[#This Row],[DataField]],"52 week high",TRUE)</f>
        <v>168.96</v>
      </c>
      <c r="P11" s="4" cm="1">
        <f t="array" aca="1" ref="P11" ca="1">_FV(table1[[#This Row],[DataField]],"P/E",TRUE)</f>
        <v>21.233000000000001</v>
      </c>
      <c r="Q11" s="2"/>
      <c r="R11" s="2" t="str">
        <f ca="1">IF(table1[[#This Row],[Price]] &lt; (table1[[#This Row],[52Low]] * 0.25) + table1[[#This Row],[52Low]],  "TRUE", "FALSE")</f>
        <v>TRUE</v>
      </c>
      <c r="S11" s="2" t="str">
        <f ca="1">IF(table1[[#This Row],[Price]] &lt; (table1[[#This Row],[52Low]] * 0.1) + table1[[#This Row],[52Low]],  "TRUE", "FALSE")</f>
        <v>FALSE</v>
      </c>
      <c r="T11" s="6" cm="1">
        <f t="array" aca="1" ref="T11" ca="1">_FV(table1[[#This Row],[DataField]],"Market cap",TRUE)</f>
        <v>302773303140</v>
      </c>
      <c r="U11" s="2"/>
    </row>
    <row r="12" spans="1:21" x14ac:dyDescent="0.2">
      <c r="A12" t="e" vm="12">
        <v>#VALUE!</v>
      </c>
      <c r="B12" t="str" cm="1">
        <f t="array" aca="1" ref="B12" ca="1">_FV(table1[[#This Row],[DataField]],"Ticker symbol",TRUE)</f>
        <v>EMN</v>
      </c>
      <c r="C12" t="b">
        <v>1</v>
      </c>
      <c r="D12" t="s">
        <v>6</v>
      </c>
      <c r="E12" t="s">
        <v>17</v>
      </c>
      <c r="F12" t="b">
        <v>0</v>
      </c>
      <c r="M12" s="2" cm="1">
        <f t="array" aca="1" ref="M12" ca="1">_FV(table1[[#This Row],[DataField]],"Price")</f>
        <v>57.305</v>
      </c>
      <c r="N12" s="2" cm="1">
        <f t="array" aca="1" ref="N12" ca="1">_FV(table1[[#This Row],[DataField]],"52 week low",TRUE)</f>
        <v>56.72</v>
      </c>
      <c r="O12" s="2" cm="1">
        <f t="array" aca="1" ref="O12" ca="1">_FV(table1[[#This Row],[DataField]],"52 week high",TRUE)</f>
        <v>107.5</v>
      </c>
      <c r="P12" s="4" cm="1">
        <f t="array" aca="1" ref="P12" ca="1">_FV(table1[[#This Row],[DataField]],"P/E",TRUE)</f>
        <v>9.5474999999999994</v>
      </c>
      <c r="Q12" s="2"/>
      <c r="R12" s="2" t="str">
        <f ca="1">IF(table1[[#This Row],[Price]] &lt; (table1[[#This Row],[52Low]] * 0.25) + table1[[#This Row],[52Low]],  "TRUE", "FALSE")</f>
        <v>TRUE</v>
      </c>
      <c r="S12" s="2" t="str">
        <f ca="1">IF(table1[[#This Row],[Price]] &lt; (table1[[#This Row],[52Low]] * 0.1) + table1[[#This Row],[52Low]],  "TRUE", "FALSE")</f>
        <v>TRUE</v>
      </c>
      <c r="T12" s="6" cm="1">
        <f t="array" aca="1" ref="T12" ca="1">_FV(table1[[#This Row],[DataField]],"Market cap",TRUE)</f>
        <v>6536769889</v>
      </c>
      <c r="U12" s="2"/>
    </row>
    <row r="13" spans="1:21" x14ac:dyDescent="0.2">
      <c r="A13" t="e" vm="13">
        <v>#VALUE!</v>
      </c>
      <c r="B13" t="str" cm="1">
        <f t="array" aca="1" ref="B13" ca="1">_FV(table1[[#This Row],[DataField]],"Ticker symbol",TRUE)</f>
        <v>ENFR</v>
      </c>
      <c r="C13" t="b">
        <v>1</v>
      </c>
      <c r="D13" t="s">
        <v>7</v>
      </c>
      <c r="E13" t="s">
        <v>22</v>
      </c>
      <c r="F13" t="b">
        <v>0</v>
      </c>
      <c r="M13" s="2" cm="1">
        <f t="array" aca="1" ref="M13" ca="1">_FV(table1[[#This Row],[DataField]],"Price")</f>
        <v>30.71</v>
      </c>
      <c r="N13" s="2" cm="1">
        <f t="array" aca="1" ref="N13" ca="1">_FV(table1[[#This Row],[DataField]],"52 week low",TRUE)</f>
        <v>27.382999999999999</v>
      </c>
      <c r="O13" s="2" cm="1">
        <f t="array" aca="1" ref="O13" ca="1">_FV(table1[[#This Row],[DataField]],"52 week high",TRUE)</f>
        <v>34.28</v>
      </c>
      <c r="P13" s="4" t="e" cm="1" vm="4">
        <f t="array" ref="P13">_FV(table1[[#This Row],[DataField]],"P/E",TRUE)</f>
        <v>#VALUE!</v>
      </c>
      <c r="Q13" s="2"/>
      <c r="R13" s="2" t="str">
        <f ca="1">IF(table1[[#This Row],[Price]] &lt; (table1[[#This Row],[52Low]] * 0.25) + table1[[#This Row],[52Low]],  "TRUE", "FALSE")</f>
        <v>TRUE</v>
      </c>
      <c r="S13" s="2" t="str">
        <f ca="1">IF(table1[[#This Row],[Price]] &lt; (table1[[#This Row],[52Low]] * 0.1) + table1[[#This Row],[52Low]],  "TRUE", "FALSE")</f>
        <v>FALSE</v>
      </c>
      <c r="T13" s="6" cm="1">
        <f t="array" aca="1" ref="T13" ca="1">_FV(table1[[#This Row],[DataField]],"Market cap",TRUE)</f>
        <v>307474141.51999998</v>
      </c>
      <c r="U13" s="2"/>
    </row>
    <row r="14" spans="1:21" x14ac:dyDescent="0.2">
      <c r="A14" t="e" vm="14">
        <v>#VALUE!</v>
      </c>
      <c r="B14" t="str" cm="1">
        <f t="array" aca="1" ref="B14" ca="1">_FV(table1[[#This Row],[DataField]],"Ticker symbol",TRUE)</f>
        <v>GD</v>
      </c>
      <c r="C14" t="b">
        <v>1</v>
      </c>
      <c r="D14" t="s">
        <v>6</v>
      </c>
      <c r="E14" t="s">
        <v>16</v>
      </c>
      <c r="F14" t="b">
        <v>1</v>
      </c>
      <c r="M14" s="2" cm="1">
        <f t="array" aca="1" ref="M14" ca="1">_FV(table1[[#This Row],[DataField]],"Price")</f>
        <v>339.88</v>
      </c>
      <c r="N14" s="2" cm="1">
        <f t="array" aca="1" ref="N14" ca="1">_FV(table1[[#This Row],[DataField]],"52 week low",TRUE)</f>
        <v>239.2</v>
      </c>
      <c r="O14" s="2" cm="1">
        <f t="array" aca="1" ref="O14" ca="1">_FV(table1[[#This Row],[DataField]],"52 week high",TRUE)</f>
        <v>360.5</v>
      </c>
      <c r="P14" s="4" cm="1">
        <f t="array" aca="1" ref="P14" ca="1">_FV(table1[[#This Row],[DataField]],"P/E",TRUE)</f>
        <v>22.035399999999999</v>
      </c>
      <c r="Q14" s="2"/>
      <c r="R14" s="2" t="str">
        <f ca="1">IF(table1[[#This Row],[Price]] &lt; (table1[[#This Row],[52Low]] * 0.25) + table1[[#This Row],[52Low]],  "TRUE", "FALSE")</f>
        <v>FALSE</v>
      </c>
      <c r="S14" s="2" t="str">
        <f ca="1">IF(table1[[#This Row],[Price]] &lt; (table1[[#This Row],[52Low]] * 0.1) + table1[[#This Row],[52Low]],  "TRUE", "FALSE")</f>
        <v>FALSE</v>
      </c>
      <c r="T14" s="6" cm="1">
        <f t="array" aca="1" ref="T14" ca="1">_FV(table1[[#This Row],[DataField]],"Market cap",TRUE)</f>
        <v>91808555540</v>
      </c>
      <c r="U14" s="2"/>
    </row>
    <row r="15" spans="1:21" x14ac:dyDescent="0.2">
      <c r="A15" t="e" vm="15">
        <v>#VALUE!</v>
      </c>
      <c r="B15" t="str" cm="1">
        <f t="array" aca="1" ref="B15" ca="1">_FV(table1[[#This Row],[DataField]],"Ticker symbol",TRUE)</f>
        <v>HD</v>
      </c>
      <c r="C15" t="b">
        <v>1</v>
      </c>
      <c r="D15" t="s">
        <v>6</v>
      </c>
      <c r="E15" t="s">
        <v>11</v>
      </c>
      <c r="F15" t="b">
        <v>1</v>
      </c>
      <c r="M15" s="2" cm="1">
        <f t="array" aca="1" ref="M15" ca="1">_FV(table1[[#This Row],[DataField]],"Price")</f>
        <v>333.017</v>
      </c>
      <c r="N15" s="2" cm="1">
        <f t="array" aca="1" ref="N15" ca="1">_FV(table1[[#This Row],[DataField]],"52 week low",TRUE)</f>
        <v>326.31</v>
      </c>
      <c r="O15" s="2" cm="1">
        <f t="array" aca="1" ref="O15" ca="1">_FV(table1[[#This Row],[DataField]],"52 week high",TRUE)</f>
        <v>439.37</v>
      </c>
      <c r="P15" s="4" cm="1">
        <f t="array" aca="1" ref="P15" ca="1">_FV(table1[[#This Row],[DataField]],"P/E",TRUE)</f>
        <v>22.714300000000001</v>
      </c>
      <c r="Q15" s="2"/>
      <c r="R15" s="2" t="str">
        <f ca="1">IF(table1[[#This Row],[Price]] &lt; (table1[[#This Row],[52Low]] * 0.25) + table1[[#This Row],[52Low]],  "TRUE", "FALSE")</f>
        <v>TRUE</v>
      </c>
      <c r="S15" s="2" t="str">
        <f ca="1">IF(table1[[#This Row],[Price]] &lt; (table1[[#This Row],[52Low]] * 0.1) + table1[[#This Row],[52Low]],  "TRUE", "FALSE")</f>
        <v>TRUE</v>
      </c>
      <c r="T15" s="6" cm="1">
        <f t="array" aca="1" ref="T15" ca="1">_FV(table1[[#This Row],[DataField]],"Market cap",TRUE)</f>
        <v>331480692673</v>
      </c>
      <c r="U15" s="2"/>
    </row>
    <row r="16" spans="1:21" x14ac:dyDescent="0.2">
      <c r="A16" t="e" vm="16">
        <v>#VALUE!</v>
      </c>
      <c r="B16" t="str" cm="1">
        <f t="array" aca="1" ref="B16" ca="1">_FV(table1[[#This Row],[DataField]],"Ticker symbol",TRUE)</f>
        <v>HSY</v>
      </c>
      <c r="C16" t="b">
        <v>1</v>
      </c>
      <c r="D16" t="s">
        <v>6</v>
      </c>
      <c r="E16" t="s">
        <v>9</v>
      </c>
      <c r="F16" t="b">
        <v>1</v>
      </c>
      <c r="M16" s="2" cm="1">
        <f t="array" aca="1" ref="M16" ca="1">_FV(table1[[#This Row],[DataField]],"Price")</f>
        <v>182.36</v>
      </c>
      <c r="N16" s="2" cm="1">
        <f t="array" aca="1" ref="N16" ca="1">_FV(table1[[#This Row],[DataField]],"52 week low",TRUE)</f>
        <v>140.13</v>
      </c>
      <c r="O16" s="2" cm="1">
        <f t="array" aca="1" ref="O16" ca="1">_FV(table1[[#This Row],[DataField]],"52 week high",TRUE)</f>
        <v>208.03</v>
      </c>
      <c r="P16" s="4" cm="1">
        <f t="array" aca="1" ref="P16" ca="1">_FV(table1[[#This Row],[DataField]],"P/E",TRUE)</f>
        <v>21.009699999999999</v>
      </c>
      <c r="Q16" s="2"/>
      <c r="R16" s="2" t="str">
        <f ca="1">IF(table1[[#This Row],[Price]] &lt; (table1[[#This Row],[52Low]] * 0.25) + table1[[#This Row],[52Low]],  "TRUE", "FALSE")</f>
        <v>FALSE</v>
      </c>
      <c r="S16" s="2" t="str">
        <f ca="1">IF(table1[[#This Row],[Price]] &lt; (table1[[#This Row],[52Low]] * 0.1) + table1[[#This Row],[52Low]],  "TRUE", "FALSE")</f>
        <v>FALSE</v>
      </c>
      <c r="T16" s="6" cm="1">
        <f t="array" aca="1" ref="T16" ca="1">_FV(table1[[#This Row],[DataField]],"Market cap",TRUE)</f>
        <v>36979890836</v>
      </c>
      <c r="U16" s="2"/>
    </row>
    <row r="17" spans="1:21" x14ac:dyDescent="0.2">
      <c r="A17" t="e" vm="17">
        <v>#VALUE!</v>
      </c>
      <c r="B17" t="str" cm="1">
        <f t="array" aca="1" ref="B17" ca="1">_FV(table1[[#This Row],[DataField]],"Ticker symbol",TRUE)</f>
        <v>JNJ</v>
      </c>
      <c r="C17" t="b">
        <v>1</v>
      </c>
      <c r="D17" t="s">
        <v>6</v>
      </c>
      <c r="E17" t="s">
        <v>13</v>
      </c>
      <c r="F17" t="b">
        <v>1</v>
      </c>
      <c r="M17" s="2" cm="1">
        <f t="array" aca="1" ref="M17" ca="1">_FV(table1[[#This Row],[DataField]],"Price")</f>
        <v>200.59</v>
      </c>
      <c r="N17" s="2" cm="1">
        <f t="array" aca="1" ref="N17" ca="1">_FV(table1[[#This Row],[DataField]],"52 week low",TRUE)</f>
        <v>140.68</v>
      </c>
      <c r="O17" s="2" cm="1">
        <f t="array" aca="1" ref="O17" ca="1">_FV(table1[[#This Row],[DataField]],"52 week high",TRUE)</f>
        <v>201.2799</v>
      </c>
      <c r="P17" s="4" cm="1">
        <f t="array" aca="1" ref="P17" ca="1">_FV(table1[[#This Row],[DataField]],"P/E",TRUE)</f>
        <v>19.360800000000001</v>
      </c>
      <c r="Q17" s="2"/>
      <c r="R17" s="2" t="str">
        <f ca="1">IF(table1[[#This Row],[Price]] &lt; (table1[[#This Row],[52Low]] * 0.25) + table1[[#This Row],[52Low]],  "TRUE", "FALSE")</f>
        <v>FALSE</v>
      </c>
      <c r="S17" s="2" t="str">
        <f ca="1">IF(table1[[#This Row],[Price]] &lt; (table1[[#This Row],[52Low]] * 0.1) + table1[[#This Row],[52Low]],  "TRUE", "FALSE")</f>
        <v>FALSE</v>
      </c>
      <c r="T17" s="6" cm="1">
        <f t="array" aca="1" ref="T17" ca="1">_FV(table1[[#This Row],[DataField]],"Market cap",TRUE)</f>
        <v>483280484050</v>
      </c>
      <c r="U17" s="2"/>
    </row>
    <row r="18" spans="1:21" x14ac:dyDescent="0.2">
      <c r="A18" t="e" vm="18">
        <v>#VALUE!</v>
      </c>
      <c r="B18" t="str" cm="1">
        <f t="array" aca="1" ref="B18" ca="1">_FV(table1[[#This Row],[DataField]],"Ticker symbol",TRUE)</f>
        <v>LMT</v>
      </c>
      <c r="C18" t="b">
        <v>1</v>
      </c>
      <c r="D18" t="s">
        <v>6</v>
      </c>
      <c r="E18" t="s">
        <v>16</v>
      </c>
      <c r="F18" t="b">
        <v>1</v>
      </c>
      <c r="M18" s="2" cm="1">
        <f t="array" aca="1" ref="M18" ca="1">_FV(table1[[#This Row],[DataField]],"Price")</f>
        <v>470.28500000000003</v>
      </c>
      <c r="N18" s="2" cm="1">
        <f t="array" aca="1" ref="N18" ca="1">_FV(table1[[#This Row],[DataField]],"52 week low",TRUE)</f>
        <v>410.11</v>
      </c>
      <c r="O18" s="2" cm="1">
        <f t="array" aca="1" ref="O18" ca="1">_FV(table1[[#This Row],[DataField]],"52 week high",TRUE)</f>
        <v>546</v>
      </c>
      <c r="P18" s="4" cm="1">
        <f t="array" aca="1" ref="P18" ca="1">_FV(table1[[#This Row],[DataField]],"P/E",TRUE)</f>
        <v>26.197199999999999</v>
      </c>
      <c r="Q18" s="2"/>
      <c r="R18" s="2" t="str">
        <f ca="1">IF(table1[[#This Row],[Price]] &lt; (table1[[#This Row],[52Low]] * 0.25) + table1[[#This Row],[52Low]],  "TRUE", "FALSE")</f>
        <v>TRUE</v>
      </c>
      <c r="S18" s="2" t="str">
        <f ca="1">IF(table1[[#This Row],[Price]] &lt; (table1[[#This Row],[52Low]] * 0.1) + table1[[#This Row],[52Low]],  "TRUE", "FALSE")</f>
        <v>FALSE</v>
      </c>
      <c r="T18" s="6" cm="1">
        <f t="array" aca="1" ref="T18" ca="1">_FV(table1[[#This Row],[DataField]],"Market cap",TRUE)</f>
        <v>108822914373</v>
      </c>
      <c r="U18" s="2"/>
    </row>
    <row r="19" spans="1:21" x14ac:dyDescent="0.2">
      <c r="A19" t="e" vm="19">
        <v>#VALUE!</v>
      </c>
      <c r="B19" t="str" cm="1">
        <f t="array" aca="1" ref="B19" ca="1">_FV(table1[[#This Row],[DataField]],"Ticker symbol",TRUE)</f>
        <v>LOW</v>
      </c>
      <c r="C19" t="b">
        <v>1</v>
      </c>
      <c r="D19" t="s">
        <v>6</v>
      </c>
      <c r="E19" t="s">
        <v>11</v>
      </c>
      <c r="F19" t="b">
        <v>1</v>
      </c>
      <c r="M19" s="2" cm="1">
        <f t="array" aca="1" ref="M19" ca="1">_FV(table1[[#This Row],[DataField]],"Price")</f>
        <v>226.38499999999999</v>
      </c>
      <c r="N19" s="2" cm="1">
        <f t="array" aca="1" ref="N19" ca="1">_FV(table1[[#This Row],[DataField]],"52 week low",TRUE)</f>
        <v>206.38499999999999</v>
      </c>
      <c r="O19" s="2" cm="1">
        <f t="array" aca="1" ref="O19" ca="1">_FV(table1[[#This Row],[DataField]],"52 week high",TRUE)</f>
        <v>280.64</v>
      </c>
      <c r="P19" s="4" cm="1">
        <f t="array" aca="1" ref="P19" ca="1">_FV(table1[[#This Row],[DataField]],"P/E",TRUE)</f>
        <v>18.610299999999999</v>
      </c>
      <c r="Q19" s="2"/>
      <c r="R19" s="2" t="str">
        <f ca="1">IF(table1[[#This Row],[Price]] &lt; (table1[[#This Row],[52Low]] * 0.25) + table1[[#This Row],[52Low]],  "TRUE", "FALSE")</f>
        <v>TRUE</v>
      </c>
      <c r="S19" s="2" t="str">
        <f ca="1">IF(table1[[#This Row],[Price]] &lt; (table1[[#This Row],[52Low]] * 0.1) + table1[[#This Row],[52Low]],  "TRUE", "FALSE")</f>
        <v>TRUE</v>
      </c>
      <c r="T19" s="6" cm="1">
        <f t="array" aca="1" ref="T19" ca="1">_FV(table1[[#This Row],[DataField]],"Market cap",TRUE)</f>
        <v>126962344986</v>
      </c>
      <c r="U19" s="2"/>
    </row>
    <row r="20" spans="1:21" x14ac:dyDescent="0.2">
      <c r="A20" t="e" vm="20">
        <v>#VALUE!</v>
      </c>
      <c r="B20" t="str" cm="1">
        <f t="array" aca="1" ref="B20" ca="1">_FV(table1[[#This Row],[DataField]],"Ticker symbol",TRUE)</f>
        <v>LYB</v>
      </c>
      <c r="C20" t="b">
        <v>1</v>
      </c>
      <c r="D20" t="s">
        <v>6</v>
      </c>
      <c r="E20" t="s">
        <v>17</v>
      </c>
      <c r="F20" t="b">
        <v>1</v>
      </c>
      <c r="M20" s="2" cm="1">
        <f t="array" aca="1" ref="M20" ca="1">_FV(table1[[#This Row],[DataField]],"Price")</f>
        <v>42.924999999999997</v>
      </c>
      <c r="N20" s="2" cm="1">
        <f t="array" aca="1" ref="N20" ca="1">_FV(table1[[#This Row],[DataField]],"52 week low",TRUE)</f>
        <v>41.58</v>
      </c>
      <c r="O20" s="2" cm="1">
        <f t="array" aca="1" ref="O20" ca="1">_FV(table1[[#This Row],[DataField]],"52 week high",TRUE)</f>
        <v>85.25</v>
      </c>
      <c r="P20" s="4" cm="1">
        <f t="array" aca="1" ref="P20" ca="1">_FV(table1[[#This Row],[DataField]],"P/E",TRUE)</f>
        <v>0</v>
      </c>
      <c r="Q20" s="2"/>
      <c r="R20" s="2" t="str">
        <f ca="1">IF(table1[[#This Row],[Price]] &lt; (table1[[#This Row],[52Low]] * 0.25) + table1[[#This Row],[52Low]],  "TRUE", "FALSE")</f>
        <v>TRUE</v>
      </c>
      <c r="S20" s="2" t="str">
        <f ca="1">IF(table1[[#This Row],[Price]] &lt; (table1[[#This Row],[52Low]] * 0.1) + table1[[#This Row],[52Low]],  "TRUE", "FALSE")</f>
        <v>TRUE</v>
      </c>
      <c r="T20" s="6" cm="1">
        <f t="array" aca="1" ref="T20" ca="1">_FV(table1[[#This Row],[DataField]],"Market cap",TRUE)</f>
        <v>14078720000</v>
      </c>
      <c r="U20" s="2"/>
    </row>
    <row r="21" spans="1:21" x14ac:dyDescent="0.2">
      <c r="A21" t="e" vm="21">
        <v>#VALUE!</v>
      </c>
      <c r="B21" t="str" cm="1">
        <f t="array" aca="1" ref="B21" ca="1">_FV(table1[[#This Row],[DataField]],"Ticker symbol",TRUE)</f>
        <v>MDT</v>
      </c>
      <c r="C21" t="b">
        <v>1</v>
      </c>
      <c r="D21" t="s">
        <v>6</v>
      </c>
      <c r="E21" t="s">
        <v>13</v>
      </c>
      <c r="F21" t="b">
        <v>1</v>
      </c>
      <c r="M21" s="2" cm="1">
        <f t="array" aca="1" ref="M21" ca="1">_FV(table1[[#This Row],[DataField]],"Price")</f>
        <v>101.19</v>
      </c>
      <c r="N21" s="2" cm="1">
        <f t="array" aca="1" ref="N21" ca="1">_FV(table1[[#This Row],[DataField]],"52 week low",TRUE)</f>
        <v>79.290000000000006</v>
      </c>
      <c r="O21" s="2" cm="1">
        <f t="array" aca="1" ref="O21" ca="1">_FV(table1[[#This Row],[DataField]],"52 week high",TRUE)</f>
        <v>102.59</v>
      </c>
      <c r="P21" s="4" cm="1">
        <f t="array" aca="1" ref="P21" ca="1">_FV(table1[[#This Row],[DataField]],"P/E",TRUE)</f>
        <v>27.3597</v>
      </c>
      <c r="Q21" s="2"/>
      <c r="R21" s="2" t="str">
        <f ca="1">IF(table1[[#This Row],[Price]] &lt; (table1[[#This Row],[52Low]] * 0.25) + table1[[#This Row],[52Low]],  "TRUE", "FALSE")</f>
        <v>FALSE</v>
      </c>
      <c r="S21" s="2" t="str">
        <f ca="1">IF(table1[[#This Row],[Price]] &lt; (table1[[#This Row],[52Low]] * 0.1) + table1[[#This Row],[52Low]],  "TRUE", "FALSE")</f>
        <v>FALSE</v>
      </c>
      <c r="T21" s="6" cm="1">
        <f t="array" aca="1" ref="T21" ca="1">_FV(table1[[#This Row],[DataField]],"Market cap",TRUE)</f>
        <v>129787913040</v>
      </c>
      <c r="U21" s="2"/>
    </row>
    <row r="22" spans="1:21" x14ac:dyDescent="0.2">
      <c r="A22" t="e" vm="22">
        <v>#VALUE!</v>
      </c>
      <c r="B22" t="str" cm="1">
        <f t="array" aca="1" ref="B22" ca="1">_FV(table1[[#This Row],[DataField]],"Ticker symbol",TRUE)</f>
        <v>MKC.V</v>
      </c>
      <c r="C22" t="b">
        <v>1</v>
      </c>
      <c r="D22" t="s">
        <v>6</v>
      </c>
      <c r="E22" t="s">
        <v>9</v>
      </c>
      <c r="F22" t="b">
        <v>1</v>
      </c>
      <c r="M22" s="2" cm="1">
        <f t="array" aca="1" ref="M22" ca="1">_FV(table1[[#This Row],[DataField]],"Price")</f>
        <v>65.2</v>
      </c>
      <c r="N22" s="2" cm="1">
        <f t="array" aca="1" ref="N22" ca="1">_FV(table1[[#This Row],[DataField]],"52 week low",TRUE)</f>
        <v>62.92</v>
      </c>
      <c r="O22" s="2" cm="1">
        <f t="array" aca="1" ref="O22" ca="1">_FV(table1[[#This Row],[DataField]],"52 week high",TRUE)</f>
        <v>85.5</v>
      </c>
      <c r="P22" s="4" cm="1">
        <f t="array" aca="1" ref="P22" ca="1">_FV(table1[[#This Row],[DataField]],"P/E",TRUE)</f>
        <v>0</v>
      </c>
      <c r="Q22" s="2"/>
      <c r="R22" s="2" t="str">
        <f ca="1">IF(table1[[#This Row],[Price]] &lt; (table1[[#This Row],[52Low]] * 0.25) + table1[[#This Row],[52Low]],  "TRUE", "FALSE")</f>
        <v>TRUE</v>
      </c>
      <c r="S22" s="2" t="str">
        <f ca="1">IF(table1[[#This Row],[Price]] &lt; (table1[[#This Row],[52Low]] * 0.1) + table1[[#This Row],[52Low]],  "TRUE", "FALSE")</f>
        <v>TRUE</v>
      </c>
      <c r="T22" s="6" cm="1">
        <f t="array" aca="1" ref="T22" ca="1">_FV(table1[[#This Row],[DataField]],"Market cap",TRUE)</f>
        <v>17460210000</v>
      </c>
      <c r="U22" s="2"/>
    </row>
    <row r="23" spans="1:21" x14ac:dyDescent="0.2">
      <c r="A23" t="e" vm="23">
        <v>#VALUE!</v>
      </c>
      <c r="B23" t="str" cm="1">
        <f t="array" aca="1" ref="B23" ca="1">_FV(table1[[#This Row],[DataField]],"Ticker symbol",TRUE)</f>
        <v>MSFT</v>
      </c>
      <c r="C23" t="b">
        <v>1</v>
      </c>
      <c r="D23" t="s">
        <v>6</v>
      </c>
      <c r="E23" t="s">
        <v>10</v>
      </c>
      <c r="F23" t="b">
        <v>1</v>
      </c>
      <c r="M23" s="2" cm="1">
        <f t="array" aca="1" ref="M23" ca="1">_FV(table1[[#This Row],[DataField]],"Price")</f>
        <v>492.91</v>
      </c>
      <c r="N23" s="2" cm="1">
        <f t="array" aca="1" ref="N23" ca="1">_FV(table1[[#This Row],[DataField]],"52 week low",TRUE)</f>
        <v>344.79</v>
      </c>
      <c r="O23" s="2" cm="1">
        <f t="array" aca="1" ref="O23" ca="1">_FV(table1[[#This Row],[DataField]],"52 week high",TRUE)</f>
        <v>555.45000000000005</v>
      </c>
      <c r="P23" s="4" cm="1">
        <f t="array" aca="1" ref="P23" ca="1">_FV(table1[[#This Row],[DataField]],"P/E",TRUE)</f>
        <v>35.069099999999999</v>
      </c>
      <c r="Q23" s="2"/>
      <c r="R23" s="2" t="str">
        <f ca="1">IF(table1[[#This Row],[Price]] &lt; (table1[[#This Row],[52Low]] * 0.25) + table1[[#This Row],[52Low]],  "TRUE", "FALSE")</f>
        <v>FALSE</v>
      </c>
      <c r="S23" s="2" t="str">
        <f ca="1">IF(table1[[#This Row],[Price]] &lt; (table1[[#This Row],[52Low]] * 0.1) + table1[[#This Row],[52Low]],  "TRUE", "FALSE")</f>
        <v>FALSE</v>
      </c>
      <c r="T23" s="6" cm="1">
        <f t="array" aca="1" ref="T23" ca="1">_FV(table1[[#This Row],[DataField]],"Market cap",TRUE)</f>
        <v>3663492947070</v>
      </c>
      <c r="U23" s="2"/>
    </row>
    <row r="24" spans="1:21" x14ac:dyDescent="0.2">
      <c r="A24" t="e" vm="24">
        <v>#VALUE!</v>
      </c>
      <c r="B24" t="str" cm="1">
        <f t="array" aca="1" ref="B24" ca="1">_FV(table1[[#This Row],[DataField]],"Ticker symbol",TRUE)</f>
        <v>NKE</v>
      </c>
      <c r="C24" t="b">
        <v>1</v>
      </c>
      <c r="D24" t="s">
        <v>6</v>
      </c>
      <c r="E24" t="s">
        <v>11</v>
      </c>
      <c r="F24" t="b">
        <v>1</v>
      </c>
      <c r="M24" s="2" cm="1">
        <f t="array" aca="1" ref="M24" ca="1">_FV(table1[[#This Row],[DataField]],"Price")</f>
        <v>62.53</v>
      </c>
      <c r="N24" cm="1">
        <f t="array" aca="1" ref="N24" ca="1">_FV(table1[[#This Row],[DataField]],"52 week low",TRUE)</f>
        <v>52.28</v>
      </c>
      <c r="O24" cm="1">
        <f t="array" aca="1" ref="O24" ca="1">_FV(table1[[#This Row],[DataField]],"52 week high",TRUE)</f>
        <v>82.44</v>
      </c>
      <c r="P24" s="4" cm="1">
        <f t="array" aca="1" ref="P24" ca="1">_FV(table1[[#This Row],[DataField]],"P/E",TRUE)</f>
        <v>32.046900000000001</v>
      </c>
      <c r="Q24" s="2"/>
      <c r="R24" s="2" t="str">
        <f ca="1">IF(table1[[#This Row],[Price]] &lt; (table1[[#This Row],[52Low]] * 0.25) + table1[[#This Row],[52Low]],  "TRUE", "FALSE")</f>
        <v>TRUE</v>
      </c>
      <c r="S24" s="2" t="str">
        <f ca="1">IF(table1[[#This Row],[Price]] &lt; (table1[[#This Row],[52Low]] * 0.1) + table1[[#This Row],[52Low]],  "TRUE", "FALSE")</f>
        <v>FALSE</v>
      </c>
      <c r="T24" s="6" cm="1">
        <f t="array" aca="1" ref="T24" ca="1">_FV(table1[[#This Row],[DataField]],"Market cap",TRUE)</f>
        <v>92431908530</v>
      </c>
      <c r="U24" s="2"/>
    </row>
    <row r="25" spans="1:21" x14ac:dyDescent="0.2">
      <c r="A25" t="e" vm="25">
        <v>#VALUE!</v>
      </c>
      <c r="B25" t="str" cm="1">
        <f t="array" aca="1" ref="B25" ca="1">_FV(table1[[#This Row],[DataField]],"Ticker symbol",TRUE)</f>
        <v>O</v>
      </c>
      <c r="C25" t="b">
        <v>1</v>
      </c>
      <c r="D25" t="s">
        <v>6</v>
      </c>
      <c r="E25" t="s">
        <v>19</v>
      </c>
      <c r="F25" t="b">
        <v>1</v>
      </c>
      <c r="M25" s="2" cm="1">
        <f t="array" aca="1" ref="M25" ca="1">_FV(table1[[#This Row],[DataField]],"Price")</f>
        <v>57.3</v>
      </c>
      <c r="N25" s="2" cm="1">
        <f t="array" aca="1" ref="N25" ca="1">_FV(table1[[#This Row],[DataField]],"52 week low",TRUE)</f>
        <v>50.71</v>
      </c>
      <c r="O25" s="2" cm="1">
        <f t="array" aca="1" ref="O25" ca="1">_FV(table1[[#This Row],[DataField]],"52 week high",TRUE)</f>
        <v>61.085000000000001</v>
      </c>
      <c r="P25" s="4" cm="1">
        <f t="array" aca="1" ref="P25" ca="1">_FV(table1[[#This Row],[DataField]],"P/E",TRUE)</f>
        <v>53.526400000000002</v>
      </c>
      <c r="Q25" s="2"/>
      <c r="R25" s="2" t="str">
        <f ca="1">IF(table1[[#This Row],[Price]] &lt; (table1[[#This Row],[52Low]] * 0.25) + table1[[#This Row],[52Low]],  "TRUE", "FALSE")</f>
        <v>TRUE</v>
      </c>
      <c r="S25" s="2" t="str">
        <f ca="1">IF(table1[[#This Row],[Price]] &lt; (table1[[#This Row],[52Low]] * 0.1) + table1[[#This Row],[52Low]],  "TRUE", "FALSE")</f>
        <v>FALSE</v>
      </c>
      <c r="T25" s="6" cm="1">
        <f t="array" aca="1" ref="T25" ca="1">_FV(table1[[#This Row],[DataField]],"Market cap",TRUE)</f>
        <v>52710602340</v>
      </c>
      <c r="U25" s="2"/>
    </row>
    <row r="26" spans="1:21" x14ac:dyDescent="0.2">
      <c r="A26" t="e" vm="26">
        <v>#VALUE!</v>
      </c>
      <c r="B26" t="str" cm="1">
        <f t="array" aca="1" ref="B26" ca="1">_FV(table1[[#This Row],[DataField]],"Ticker symbol",TRUE)</f>
        <v>PEP</v>
      </c>
      <c r="C26" t="b">
        <v>1</v>
      </c>
      <c r="D26" t="s">
        <v>6</v>
      </c>
      <c r="E26" t="s">
        <v>9</v>
      </c>
      <c r="F26" t="b">
        <v>1</v>
      </c>
      <c r="M26" s="2" cm="1">
        <f t="array" aca="1" ref="M26" ca="1">_FV(table1[[#This Row],[DataField]],"Price")</f>
        <v>148.11000000000001</v>
      </c>
      <c r="N26" s="2" cm="1">
        <f t="array" aca="1" ref="N26" ca="1">_FV(table1[[#This Row],[DataField]],"52 week low",TRUE)</f>
        <v>127.6</v>
      </c>
      <c r="O26" s="2" cm="1">
        <f t="array" aca="1" ref="O26" ca="1">_FV(table1[[#This Row],[DataField]],"52 week high",TRUE)</f>
        <v>165.13</v>
      </c>
      <c r="P26" s="4" cm="1">
        <f t="array" aca="1" ref="P26" ca="1">_FV(table1[[#This Row],[DataField]],"P/E",TRUE)</f>
        <v>28.1631</v>
      </c>
      <c r="Q26" s="2"/>
      <c r="R26" s="2" t="str">
        <f ca="1">IF(table1[[#This Row],[Price]] &lt; (table1[[#This Row],[52Low]] * 0.25) + table1[[#This Row],[52Low]],  "TRUE", "FALSE")</f>
        <v>TRUE</v>
      </c>
      <c r="S26" s="2" t="str">
        <f ca="1">IF(table1[[#This Row],[Price]] &lt; (table1[[#This Row],[52Low]] * 0.1) + table1[[#This Row],[52Low]],  "TRUE", "FALSE")</f>
        <v>FALSE</v>
      </c>
      <c r="T26" s="6" cm="1">
        <f t="array" aca="1" ref="T26" ca="1">_FV(table1[[#This Row],[DataField]],"Market cap",TRUE)</f>
        <v>202516727400</v>
      </c>
      <c r="U26" s="2"/>
    </row>
    <row r="27" spans="1:21" x14ac:dyDescent="0.2">
      <c r="A27" t="e" vm="27">
        <v>#VALUE!</v>
      </c>
      <c r="B27" t="str" cm="1">
        <f t="array" aca="1" ref="B27" ca="1">_FV(table1[[#This Row],[DataField]],"Ticker symbol",TRUE)</f>
        <v>SJM</v>
      </c>
      <c r="C27" t="b">
        <v>1</v>
      </c>
      <c r="D27" t="s">
        <v>6</v>
      </c>
      <c r="E27" t="s">
        <v>9</v>
      </c>
      <c r="F27" t="b">
        <v>0</v>
      </c>
      <c r="M27" s="2" cm="1">
        <f t="array" aca="1" ref="M27" ca="1">_FV(table1[[#This Row],[DataField]],"Price")</f>
        <v>104.67</v>
      </c>
      <c r="N27" s="2" cm="1">
        <f t="array" aca="1" ref="N27" ca="1">_FV(table1[[#This Row],[DataField]],"52 week low",TRUE)</f>
        <v>93.3</v>
      </c>
      <c r="O27" s="2" cm="1">
        <f t="array" aca="1" ref="O27" ca="1">_FV(table1[[#This Row],[DataField]],"52 week high",TRUE)</f>
        <v>125.41500000000001</v>
      </c>
      <c r="P27" s="4" cm="1">
        <f t="array" aca="1" ref="P27" ca="1">_FV(table1[[#This Row],[DataField]],"P/E",TRUE)</f>
        <v>0</v>
      </c>
      <c r="Q27" s="2"/>
      <c r="R27" s="2" t="str">
        <f ca="1">IF(table1[[#This Row],[Price]] &lt; (table1[[#This Row],[52Low]] * 0.25) + table1[[#This Row],[52Low]],  "TRUE", "FALSE")</f>
        <v>TRUE</v>
      </c>
      <c r="S27" s="2" t="str">
        <f ca="1">IF(table1[[#This Row],[Price]] &lt; (table1[[#This Row],[52Low]] * 0.1) + table1[[#This Row],[52Low]],  "TRUE", "FALSE")</f>
        <v>FALSE</v>
      </c>
      <c r="T27" s="6" cm="1">
        <f t="array" aca="1" ref="T27" ca="1">_FV(table1[[#This Row],[DataField]],"Market cap",TRUE)</f>
        <v>11382240000</v>
      </c>
      <c r="U27" s="2"/>
    </row>
    <row r="28" spans="1:21" x14ac:dyDescent="0.2">
      <c r="A28" t="e" vm="28">
        <v>#VALUE!</v>
      </c>
      <c r="B28" t="str" cm="1">
        <f t="array" aca="1" ref="B28" ca="1">_FV(table1[[#This Row],[DataField]],"Ticker symbol",TRUE)</f>
        <v>SPG</v>
      </c>
      <c r="C28" t="b">
        <v>1</v>
      </c>
      <c r="D28" t="s">
        <v>6</v>
      </c>
      <c r="E28" t="s">
        <v>19</v>
      </c>
      <c r="F28" t="b">
        <v>1</v>
      </c>
      <c r="M28" s="2" cm="1">
        <f t="array" aca="1" ref="M28" ca="1">_FV(table1[[#This Row],[DataField]],"Price")</f>
        <v>181.85</v>
      </c>
      <c r="N28" s="2" cm="1">
        <f t="array" aca="1" ref="N28" ca="1">_FV(table1[[#This Row],[DataField]],"52 week low",TRUE)</f>
        <v>136.34</v>
      </c>
      <c r="O28" s="2" cm="1">
        <f t="array" aca="1" ref="O28" ca="1">_FV(table1[[#This Row],[DataField]],"52 week high",TRUE)</f>
        <v>190.13499999999999</v>
      </c>
      <c r="P28" s="4" cm="1">
        <f t="array" aca="1" ref="P28" ca="1">_FV(table1[[#This Row],[DataField]],"P/E",TRUE)</f>
        <v>21.289200000000001</v>
      </c>
      <c r="Q28" s="2"/>
      <c r="R28" s="2" t="str">
        <f ca="1">IF(table1[[#This Row],[Price]] &lt; (table1[[#This Row],[52Low]] * 0.25) + table1[[#This Row],[52Low]],  "TRUE", "FALSE")</f>
        <v>FALSE</v>
      </c>
      <c r="S28" s="2" t="str">
        <f ca="1">IF(table1[[#This Row],[Price]] &lt; (table1[[#This Row],[52Low]] * 0.1) + table1[[#This Row],[52Low]],  "TRUE", "FALSE")</f>
        <v>FALSE</v>
      </c>
      <c r="T28" s="6" cm="1">
        <f t="array" aca="1" ref="T28" ca="1">_FV(table1[[#This Row],[DataField]],"Market cap",TRUE)</f>
        <v>59368587685</v>
      </c>
      <c r="U28" s="2"/>
    </row>
    <row r="29" spans="1:21" x14ac:dyDescent="0.2">
      <c r="A29" t="e" vm="29">
        <v>#VALUE!</v>
      </c>
      <c r="B29" t="str" cm="1">
        <f t="array" aca="1" ref="B29" ca="1">_FV(table1[[#This Row],[DataField]],"Ticker symbol",TRUE)</f>
        <v>T</v>
      </c>
      <c r="C29" t="b">
        <v>1</v>
      </c>
      <c r="D29" t="s">
        <v>6</v>
      </c>
      <c r="E29" t="s">
        <v>14</v>
      </c>
      <c r="F29" t="b">
        <v>1</v>
      </c>
      <c r="M29" s="2" cm="1">
        <f t="array" aca="1" ref="M29" ca="1">_FV(table1[[#This Row],[DataField]],"Price")</f>
        <v>25.445</v>
      </c>
      <c r="N29" s="2" cm="1">
        <f t="array" aca="1" ref="N29" ca="1">_FV(table1[[#This Row],[DataField]],"52 week low",TRUE)</f>
        <v>21.38</v>
      </c>
      <c r="O29" s="2" cm="1">
        <f t="array" aca="1" ref="O29" ca="1">_FV(table1[[#This Row],[DataField]],"52 week high",TRUE)</f>
        <v>29.79</v>
      </c>
      <c r="P29" s="4" cm="1">
        <f t="array" aca="1" ref="P29" ca="1">_FV(table1[[#This Row],[DataField]],"P/E",TRUE)</f>
        <v>8.2562999999999995</v>
      </c>
      <c r="Q29" s="2"/>
      <c r="R29" s="2" t="str">
        <f ca="1">IF(table1[[#This Row],[Price]] &lt; (table1[[#This Row],[52Low]] * 0.25) + table1[[#This Row],[52Low]],  "TRUE", "FALSE")</f>
        <v>TRUE</v>
      </c>
      <c r="S29" s="2" t="str">
        <f ca="1">IF(table1[[#This Row],[Price]] &lt; (table1[[#This Row],[52Low]] * 0.1) + table1[[#This Row],[52Low]],  "TRUE", "FALSE")</f>
        <v>FALSE</v>
      </c>
      <c r="T29" s="6" cm="1">
        <f t="array" aca="1" ref="T29" ca="1">_FV(table1[[#This Row],[DataField]],"Market cap",TRUE)</f>
        <v>180391055250</v>
      </c>
      <c r="U29" s="2"/>
    </row>
    <row r="30" spans="1:21" x14ac:dyDescent="0.2">
      <c r="A30" t="e" vm="30">
        <v>#VALUE!</v>
      </c>
      <c r="B30" t="str" cm="1">
        <f t="array" aca="1" ref="B30" ca="1">_FV(table1[[#This Row],[DataField]],"Ticker symbol",TRUE)</f>
        <v>TROW</v>
      </c>
      <c r="C30" t="b">
        <v>1</v>
      </c>
      <c r="D30" t="s">
        <v>6</v>
      </c>
      <c r="E30" t="s">
        <v>12</v>
      </c>
      <c r="F30" t="b">
        <v>1</v>
      </c>
      <c r="M30" s="2" cm="1">
        <f t="array" aca="1" ref="M30" ca="1">_FV(table1[[#This Row],[DataField]],"Price")</f>
        <v>97.632999999999996</v>
      </c>
      <c r="N30" s="2" cm="1">
        <f t="array" aca="1" ref="N30" ca="1">_FV(table1[[#This Row],[DataField]],"52 week low",TRUE)</f>
        <v>77.849999999999994</v>
      </c>
      <c r="O30" s="2" cm="1">
        <f t="array" aca="1" ref="O30" ca="1">_FV(table1[[#This Row],[DataField]],"52 week high",TRUE)</f>
        <v>125.8078</v>
      </c>
      <c r="P30" s="4" cm="1">
        <f t="array" aca="1" ref="P30" ca="1">_FV(table1[[#This Row],[DataField]],"P/E",TRUE)</f>
        <v>10.634399999999999</v>
      </c>
      <c r="Q30" s="2"/>
      <c r="R30" s="2" t="str">
        <f ca="1">IF(table1[[#This Row],[Price]] &lt; (table1[[#This Row],[52Low]] * 0.25) + table1[[#This Row],[52Low]],  "TRUE", "FALSE")</f>
        <v>FALSE</v>
      </c>
      <c r="S30" s="2" t="str">
        <f ca="1">IF(table1[[#This Row],[Price]] &lt; (table1[[#This Row],[52Low]] * 0.1) + table1[[#This Row],[52Low]],  "TRUE", "FALSE")</f>
        <v>FALSE</v>
      </c>
      <c r="T30" s="6" cm="1">
        <f t="array" aca="1" ref="T30" ca="1">_FV(table1[[#This Row],[DataField]],"Market cap",TRUE)</f>
        <v>21307133021</v>
      </c>
      <c r="U30" s="2"/>
    </row>
    <row r="31" spans="1:21" x14ac:dyDescent="0.2">
      <c r="A31" t="e" vm="31">
        <v>#VALUE!</v>
      </c>
      <c r="B31" t="str" cm="1">
        <f t="array" aca="1" ref="B31" ca="1">_FV(table1[[#This Row],[DataField]],"Ticker symbol",TRUE)</f>
        <v>TSN</v>
      </c>
      <c r="C31" t="b">
        <v>1</v>
      </c>
      <c r="D31" t="s">
        <v>6</v>
      </c>
      <c r="E31" t="s">
        <v>9</v>
      </c>
      <c r="F31" t="b">
        <v>1</v>
      </c>
      <c r="M31" s="2" cm="1">
        <f t="array" aca="1" ref="M31" ca="1">_FV(table1[[#This Row],[DataField]],"Price")</f>
        <v>53.54</v>
      </c>
      <c r="N31" s="2" cm="1">
        <f t="array" aca="1" ref="N31" ca="1">_FV(table1[[#This Row],[DataField]],"52 week low",TRUE)</f>
        <v>50.56</v>
      </c>
      <c r="O31" s="2" cm="1">
        <f t="array" aca="1" ref="O31" ca="1">_FV(table1[[#This Row],[DataField]],"52 week high",TRUE)</f>
        <v>64.72</v>
      </c>
      <c r="P31" s="4" cm="1">
        <f t="array" aca="1" ref="P31" ca="1">_FV(table1[[#This Row],[DataField]],"P/E",TRUE)</f>
        <v>39.991</v>
      </c>
      <c r="Q31" s="2"/>
      <c r="R31" s="2" t="str">
        <f ca="1">IF(table1[[#This Row],[Price]] &lt; (table1[[#This Row],[52Low]] * 0.25) + table1[[#This Row],[52Low]],  "TRUE", "FALSE")</f>
        <v>TRUE</v>
      </c>
      <c r="S31" s="2" t="str">
        <f ca="1">IF(table1[[#This Row],[Price]] &lt; (table1[[#This Row],[52Low]] * 0.1) + table1[[#This Row],[52Low]],  "TRUE", "FALSE")</f>
        <v>TRUE</v>
      </c>
      <c r="T31" s="6" cm="1">
        <f t="array" aca="1" ref="T31" ca="1">_FV(table1[[#This Row],[DataField]],"Market cap",TRUE)</f>
        <v>18902516514</v>
      </c>
      <c r="U31" s="2"/>
    </row>
    <row r="32" spans="1:21" x14ac:dyDescent="0.2">
      <c r="A32" t="e" vm="32">
        <v>#VALUE!</v>
      </c>
      <c r="B32" t="str" cm="1">
        <f t="array" aca="1" ref="B32" ca="1">_FV(table1[[#This Row],[DataField]],"Ticker symbol",TRUE)</f>
        <v>TXN</v>
      </c>
      <c r="C32" t="b">
        <v>1</v>
      </c>
      <c r="D32" t="s">
        <v>6</v>
      </c>
      <c r="E32" t="s">
        <v>10</v>
      </c>
      <c r="F32" t="b">
        <v>1</v>
      </c>
      <c r="M32" s="2" cm="1">
        <f t="array" aca="1" ref="M32" ca="1">_FV(table1[[#This Row],[DataField]],"Price")</f>
        <v>157.66999999999999</v>
      </c>
      <c r="N32" s="2" cm="1">
        <f t="array" aca="1" ref="N32" ca="1">_FV(table1[[#This Row],[DataField]],"52 week low",TRUE)</f>
        <v>139.94999999999999</v>
      </c>
      <c r="O32" s="2" cm="1">
        <f t="array" aca="1" ref="O32" ca="1">_FV(table1[[#This Row],[DataField]],"52 week high",TRUE)</f>
        <v>221.69</v>
      </c>
      <c r="P32" s="4" cm="1">
        <f t="array" aca="1" ref="P32" ca="1">_FV(table1[[#This Row],[DataField]],"P/E",TRUE)</f>
        <v>28.7714</v>
      </c>
      <c r="Q32" s="2"/>
      <c r="R32" s="2" t="str">
        <f ca="1">IF(table1[[#This Row],[Price]] &lt; (table1[[#This Row],[52Low]] * 0.25) + table1[[#This Row],[52Low]],  "TRUE", "FALSE")</f>
        <v>TRUE</v>
      </c>
      <c r="S32" s="2" t="str">
        <f ca="1">IF(table1[[#This Row],[Price]] &lt; (table1[[#This Row],[52Low]] * 0.1) + table1[[#This Row],[52Low]],  "TRUE", "FALSE")</f>
        <v>FALSE</v>
      </c>
      <c r="T32" s="6" cm="1">
        <f t="array" aca="1" ref="T32" ca="1">_FV(table1[[#This Row],[DataField]],"Market cap",TRUE)</f>
        <v>143262588410</v>
      </c>
      <c r="U32" s="2"/>
    </row>
    <row r="33" spans="1:21" x14ac:dyDescent="0.2">
      <c r="A33" t="e" vm="33">
        <v>#VALUE!</v>
      </c>
      <c r="B33" t="str" cm="1">
        <f t="array" aca="1" ref="B33" ca="1">_FV(table1[[#This Row],[DataField]],"Ticker symbol",TRUE)</f>
        <v>UPS</v>
      </c>
      <c r="C33" t="b">
        <v>1</v>
      </c>
      <c r="D33" t="s">
        <v>6</v>
      </c>
      <c r="E33" t="s">
        <v>16</v>
      </c>
      <c r="F33" t="b">
        <v>1</v>
      </c>
      <c r="M33" s="2" cm="1">
        <f t="array" aca="1" ref="M33" ca="1">_FV(table1[[#This Row],[DataField]],"Price")</f>
        <v>92.81</v>
      </c>
      <c r="N33" s="2" cm="1">
        <f t="array" aca="1" ref="N33" ca="1">_FV(table1[[#This Row],[DataField]],"52 week low",TRUE)</f>
        <v>82</v>
      </c>
      <c r="O33" s="2" cm="1">
        <f t="array" aca="1" ref="O33" ca="1">_FV(table1[[#This Row],[DataField]],"52 week high",TRUE)</f>
        <v>138.66999999999999</v>
      </c>
      <c r="P33" s="4" cm="1">
        <f t="array" aca="1" ref="P33" ca="1">_FV(table1[[#This Row],[DataField]],"P/E",TRUE)</f>
        <v>14.341799999999999</v>
      </c>
      <c r="Q33" s="2"/>
      <c r="R33" s="2" t="str">
        <f ca="1">IF(table1[[#This Row],[Price]] &lt; (table1[[#This Row],[52Low]] * 0.25) + table1[[#This Row],[52Low]],  "TRUE", "FALSE")</f>
        <v>TRUE</v>
      </c>
      <c r="S33" s="2" t="str">
        <f ca="1">IF(table1[[#This Row],[Price]] &lt; (table1[[#This Row],[52Low]] * 0.1) + table1[[#This Row],[52Low]],  "TRUE", "FALSE")</f>
        <v>FALSE</v>
      </c>
      <c r="T33" s="6" cm="1">
        <f t="array" aca="1" ref="T33" ca="1">_FV(table1[[#This Row],[DataField]],"Market cap",TRUE)</f>
        <v>78738667536</v>
      </c>
      <c r="U33" s="2"/>
    </row>
    <row r="34" spans="1:21" x14ac:dyDescent="0.2">
      <c r="A34" t="e" vm="34">
        <v>#VALUE!</v>
      </c>
      <c r="B34" t="str" cm="1">
        <f t="array" aca="1" ref="B34" ca="1">_FV(table1[[#This Row],[DataField]],"Ticker symbol",TRUE)</f>
        <v>VZ</v>
      </c>
      <c r="C34" t="b">
        <v>1</v>
      </c>
      <c r="D34" t="s">
        <v>6</v>
      </c>
      <c r="E34" t="s">
        <v>14</v>
      </c>
      <c r="F34" t="b">
        <v>1</v>
      </c>
      <c r="M34" s="2" cm="1">
        <f t="array" aca="1" ref="M34" ca="1">_FV(table1[[#This Row],[DataField]],"Price")</f>
        <v>41.305</v>
      </c>
      <c r="N34" s="2" cm="1">
        <f t="array" aca="1" ref="N34" ca="1">_FV(table1[[#This Row],[DataField]],"52 week low",TRUE)</f>
        <v>37.585000000000001</v>
      </c>
      <c r="O34" s="2" cm="1">
        <f t="array" aca="1" ref="O34" ca="1">_FV(table1[[#This Row],[DataField]],"52 week high",TRUE)</f>
        <v>47.354999999999997</v>
      </c>
      <c r="P34" s="4" cm="1">
        <f t="array" aca="1" ref="P34" ca="1">_FV(table1[[#This Row],[DataField]],"P/E",TRUE)</f>
        <v>8.8056999999999999</v>
      </c>
      <c r="Q34" s="2"/>
      <c r="R34" s="2" t="str">
        <f ca="1">IF(table1[[#This Row],[Price]] &lt; (table1[[#This Row],[52Low]] * 0.25) + table1[[#This Row],[52Low]],  "TRUE", "FALSE")</f>
        <v>TRUE</v>
      </c>
      <c r="S34" s="2" t="str">
        <f ca="1">IF(table1[[#This Row],[Price]] &lt; (table1[[#This Row],[52Low]] * 0.1) + table1[[#This Row],[52Low]],  "TRUE", "FALSE")</f>
        <v>TRUE</v>
      </c>
      <c r="T34" s="6" cm="1">
        <f t="array" aca="1" ref="T34" ca="1">_FV(table1[[#This Row],[DataField]],"Market cap",TRUE)</f>
        <v>174159434625</v>
      </c>
      <c r="U34" s="2"/>
    </row>
    <row r="35" spans="1:21" x14ac:dyDescent="0.2">
      <c r="A35" t="e" vm="35">
        <v>#VALUE!</v>
      </c>
      <c r="B35" t="str" cm="1">
        <f t="array" aca="1" ref="B35" ca="1">_FV(table1[[#This Row],[DataField]],"Ticker symbol",TRUE)</f>
        <v>LRCX</v>
      </c>
      <c r="C35" t="b">
        <v>0</v>
      </c>
      <c r="D35" t="s">
        <v>6</v>
      </c>
      <c r="E35" t="s">
        <v>10</v>
      </c>
      <c r="F35" t="b">
        <v>1</v>
      </c>
      <c r="M35" s="2" cm="1">
        <f t="array" aca="1" ref="M35" ca="1">_FV(table1[[#This Row],[DataField]],"Price")</f>
        <v>149.30500000000001</v>
      </c>
      <c r="N35" s="2" cm="1">
        <f t="array" aca="1" ref="N35" ca="1">_FV(table1[[#This Row],[DataField]],"52 week low",TRUE)</f>
        <v>56.32</v>
      </c>
      <c r="O35" s="2" cm="1">
        <f t="array" aca="1" ref="O35" ca="1">_FV(table1[[#This Row],[DataField]],"52 week high",TRUE)</f>
        <v>167.15</v>
      </c>
      <c r="P35" s="4" cm="1">
        <f t="array" aca="1" ref="P35" ca="1">_FV(table1[[#This Row],[DataField]],"P/E",TRUE)</f>
        <v>32.8996</v>
      </c>
      <c r="Q35" s="2"/>
      <c r="R35" s="2" t="str">
        <f ca="1">IF(table1[[#This Row],[Price]] &lt; (table1[[#This Row],[52Low]] * 0.25) + table1[[#This Row],[52Low]],  "TRUE", "FALSE")</f>
        <v>FALSE</v>
      </c>
      <c r="S35" s="2" t="str">
        <f ca="1">IF(table1[[#This Row],[Price]] &lt; (table1[[#This Row],[52Low]] * 0.1) + table1[[#This Row],[52Low]],  "TRUE", "FALSE")</f>
        <v>FALSE</v>
      </c>
      <c r="T35" s="6" cm="1">
        <f t="array" aca="1" ref="T35" ca="1">_FV(table1[[#This Row],[DataField]],"Market cap",TRUE)</f>
        <v>187531559150</v>
      </c>
      <c r="U35" s="2"/>
    </row>
    <row r="36" spans="1:21" x14ac:dyDescent="0.2">
      <c r="A36" t="e" vm="36">
        <v>#VALUE!</v>
      </c>
      <c r="B36" t="str" cm="1">
        <f t="array" aca="1" ref="B36" ca="1">_FV(table1[[#This Row],[DataField]],"Ticker symbol",TRUE)</f>
        <v>MCD</v>
      </c>
      <c r="C36" t="b">
        <v>0</v>
      </c>
      <c r="D36" t="s">
        <v>6</v>
      </c>
      <c r="E36" t="s">
        <v>11</v>
      </c>
      <c r="F36" t="b">
        <v>1</v>
      </c>
      <c r="M36" s="2" cm="1">
        <f t="array" aca="1" ref="M36" ca="1">_FV(table1[[#This Row],[DataField]],"Price")</f>
        <v>303.3</v>
      </c>
      <c r="N36" s="2" cm="1">
        <f t="array" aca="1" ref="N36" ca="1">_FV(table1[[#This Row],[DataField]],"52 week low",TRUE)</f>
        <v>276.52999999999997</v>
      </c>
      <c r="O36" s="2" cm="1">
        <f t="array" aca="1" ref="O36" ca="1">_FV(table1[[#This Row],[DataField]],"52 week high",TRUE)</f>
        <v>326.32</v>
      </c>
      <c r="P36" s="4" cm="1">
        <f t="array" aca="1" ref="P36" ca="1">_FV(table1[[#This Row],[DataField]],"P/E",TRUE)</f>
        <v>25.8689</v>
      </c>
      <c r="Q36" s="2"/>
      <c r="R36" s="2" t="str">
        <f ca="1">IF(table1[[#This Row],[Price]] &lt; (table1[[#This Row],[52Low]] * 0.25) + table1[[#This Row],[52Low]],  "TRUE", "FALSE")</f>
        <v>TRUE</v>
      </c>
      <c r="S36" s="2" t="str">
        <f ca="1">IF(table1[[#This Row],[Price]] &lt; (table1[[#This Row],[52Low]] * 0.1) + table1[[#This Row],[52Low]],  "TRUE", "FALSE")</f>
        <v>TRUE</v>
      </c>
      <c r="T36" s="6" cm="1">
        <f t="array" aca="1" ref="T36" ca="1">_FV(table1[[#This Row],[DataField]],"Market cap",TRUE)</f>
        <v>215996429520</v>
      </c>
      <c r="U36" s="2"/>
    </row>
    <row r="37" spans="1:21" x14ac:dyDescent="0.2">
      <c r="A37" t="e" vm="37">
        <v>#VALUE!</v>
      </c>
      <c r="B37" t="str" cm="1">
        <f t="array" aca="1" ref="B37" ca="1">_FV(table1[[#This Row],[DataField]],"Ticker symbol",TRUE)</f>
        <v>KMB</v>
      </c>
      <c r="C37" t="b">
        <v>0</v>
      </c>
      <c r="D37" t="s">
        <v>6</v>
      </c>
      <c r="E37" t="s">
        <v>9</v>
      </c>
      <c r="F37" t="b">
        <v>1</v>
      </c>
      <c r="M37" s="2" cm="1">
        <f t="array" aca="1" ref="M37" ca="1">_FV(table1[[#This Row],[DataField]],"Price")</f>
        <v>102.36</v>
      </c>
      <c r="N37" s="2" cm="1">
        <f t="array" aca="1" ref="N37" ca="1">_FV(table1[[#This Row],[DataField]],"52 week low",TRUE)</f>
        <v>99.22</v>
      </c>
      <c r="O37" s="2" cm="1">
        <f t="array" aca="1" ref="O37" ca="1">_FV(table1[[#This Row],[DataField]],"52 week high",TRUE)</f>
        <v>150.44999999999999</v>
      </c>
      <c r="P37" s="4" cm="1">
        <f t="array" aca="1" ref="P37" ca="1">_FV(table1[[#This Row],[DataField]],"P/E",TRUE)</f>
        <v>19.0611</v>
      </c>
      <c r="Q37" s="2"/>
      <c r="R37" s="2" t="str">
        <f ca="1">IF(table1[[#This Row],[Price]] &lt; (table1[[#This Row],[52Low]] * 0.25) + table1[[#This Row],[52Low]],  "TRUE", "FALSE")</f>
        <v>TRUE</v>
      </c>
      <c r="S37" s="2" t="str">
        <f ca="1">IF(table1[[#This Row],[Price]] &lt; (table1[[#This Row],[52Low]] * 0.1) + table1[[#This Row],[52Low]],  "TRUE", "FALSE")</f>
        <v>TRUE</v>
      </c>
      <c r="T37" s="6" cm="1">
        <f t="array" aca="1" ref="T37" ca="1">_FV(table1[[#This Row],[DataField]],"Market cap",TRUE)</f>
        <v>33969025824</v>
      </c>
      <c r="U37" s="2"/>
    </row>
  </sheetData>
  <phoneticPr fontId="2" type="noConversion"/>
  <conditionalFormatting sqref="R1:R1048576">
    <cfRule type="cellIs" dxfId="4" priority="2" operator="equal">
      <formula>"TRUE"</formula>
    </cfRule>
  </conditionalFormatting>
  <conditionalFormatting sqref="S1:S1048576">
    <cfRule type="cellIs" dxfId="3" priority="1" operator="equal">
      <formula>"TRUE"</formula>
    </cfRule>
  </conditionalFormatting>
  <pageMargins left="0.7" right="0.7" top="0.75" bottom="0.75" header="0.3" footer="0.3"/>
  <ignoredErrors>
    <ignoredError sqref="B2" calculatedColumn="1"/>
  </ignoredErrors>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2025-11-19T14:54:05Z</dcterms:modified>
</cp:coreProperties>
</file>