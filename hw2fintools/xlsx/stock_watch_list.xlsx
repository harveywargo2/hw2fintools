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FBEB09A2-8BD7-CD48-BDB8-86DD2B596535}" xr6:coauthVersionLast="47" xr6:coauthVersionMax="47" xr10:uidLastSave="{00000000-0000-0000-0000-000000000000}"/>
  <bookViews>
    <workbookView xWindow="0" yWindow="760" windowWidth="34560" windowHeight="215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4" i="1" l="1" a="1"/>
  <c r="B94" i="1" s="1"/>
  <c r="H94" i="1" a="1"/>
  <c r="H94" i="1" s="1"/>
  <c r="I94" i="1" a="1"/>
  <c r="I94" i="1" s="1"/>
  <c r="J94" i="1" a="1"/>
  <c r="J94" i="1" s="1"/>
  <c r="K94" i="1" a="1"/>
  <c r="K94" i="1" s="1"/>
  <c r="N94" i="1" a="1"/>
  <c r="N94" i="1" s="1"/>
  <c r="B93" i="1" a="1"/>
  <c r="B93" i="1" s="1"/>
  <c r="H93" i="1" a="1"/>
  <c r="H93" i="1" s="1"/>
  <c r="I93" i="1" a="1"/>
  <c r="I93" i="1" s="1"/>
  <c r="J93" i="1" a="1"/>
  <c r="J93" i="1" s="1"/>
  <c r="K93" i="1" a="1"/>
  <c r="K93" i="1" s="1"/>
  <c r="N93" i="1" a="1"/>
  <c r="N93" i="1" s="1"/>
  <c r="B92" i="1" a="1"/>
  <c r="B92" i="1" s="1"/>
  <c r="H92" i="1" a="1"/>
  <c r="H92" i="1" s="1"/>
  <c r="I92" i="1" a="1"/>
  <c r="I92" i="1" s="1"/>
  <c r="J92" i="1" a="1"/>
  <c r="J92" i="1" s="1"/>
  <c r="K92" i="1" a="1"/>
  <c r="K92" i="1" s="1"/>
  <c r="N92" i="1" a="1"/>
  <c r="N92" i="1" s="1"/>
  <c r="B89" i="1" a="1"/>
  <c r="B89" i="1" s="1"/>
  <c r="H89" i="1" a="1"/>
  <c r="H89" i="1" s="1"/>
  <c r="I89" i="1" a="1"/>
  <c r="I89" i="1" s="1"/>
  <c r="J89" i="1" a="1"/>
  <c r="J89" i="1" s="1"/>
  <c r="K89" i="1" a="1"/>
  <c r="K89" i="1" s="1"/>
  <c r="N89" i="1" a="1"/>
  <c r="N89" i="1" s="1"/>
  <c r="B69" i="1" a="1"/>
  <c r="B69" i="1" s="1"/>
  <c r="H69" i="1" a="1"/>
  <c r="H69" i="1" s="1"/>
  <c r="I69" i="1" a="1"/>
  <c r="I69" i="1" s="1"/>
  <c r="J69" i="1" a="1"/>
  <c r="J69" i="1" s="1"/>
  <c r="K69" i="1" a="1"/>
  <c r="K69" i="1" s="1"/>
  <c r="N69" i="1" a="1"/>
  <c r="N69" i="1" s="1"/>
  <c r="B18" i="1" a="1"/>
  <c r="B18" i="1" s="1"/>
  <c r="H18" i="1" a="1"/>
  <c r="H18" i="1" s="1"/>
  <c r="I18" i="1" a="1"/>
  <c r="I18" i="1" s="1"/>
  <c r="J18" i="1" a="1"/>
  <c r="J18" i="1" s="1"/>
  <c r="K18" i="1" a="1"/>
  <c r="K18" i="1" s="1"/>
  <c r="N18" i="1" a="1"/>
  <c r="N18" i="1" s="1"/>
  <c r="B7" i="1" a="1"/>
  <c r="B7" i="1" s="1"/>
  <c r="H7" i="1" a="1"/>
  <c r="H7" i="1" s="1"/>
  <c r="I7" i="1" a="1"/>
  <c r="I7" i="1" s="1"/>
  <c r="J7" i="1" a="1"/>
  <c r="J7" i="1" s="1"/>
  <c r="K7" i="1" a="1"/>
  <c r="K7" i="1" s="1"/>
  <c r="N7" i="1" a="1"/>
  <c r="N7" i="1" s="1"/>
  <c r="B81" i="1" a="1"/>
  <c r="B81" i="1" s="1"/>
  <c r="H81" i="1" a="1"/>
  <c r="H81" i="1" s="1"/>
  <c r="I81" i="1" a="1"/>
  <c r="I81" i="1" s="1"/>
  <c r="J81" i="1" a="1"/>
  <c r="J81" i="1" s="1"/>
  <c r="K81" i="1" a="1"/>
  <c r="K81" i="1" s="1"/>
  <c r="N81" i="1" a="1"/>
  <c r="N81" i="1" s="1"/>
  <c r="B77" i="1" a="1"/>
  <c r="B77" i="1" s="1"/>
  <c r="H77" i="1" a="1"/>
  <c r="H77" i="1" s="1"/>
  <c r="I77" i="1" a="1"/>
  <c r="I77" i="1" s="1"/>
  <c r="J77" i="1" a="1"/>
  <c r="J77" i="1" s="1"/>
  <c r="K77" i="1" a="1"/>
  <c r="K77" i="1" s="1"/>
  <c r="N77" i="1" a="1"/>
  <c r="N77" i="1" s="1"/>
  <c r="B12" i="1" a="1"/>
  <c r="B12" i="1" s="1"/>
  <c r="H12" i="1" a="1"/>
  <c r="H12" i="1" s="1"/>
  <c r="I12" i="1" a="1"/>
  <c r="I12" i="1" s="1"/>
  <c r="J12" i="1" a="1"/>
  <c r="J12" i="1" s="1"/>
  <c r="K12" i="1" a="1"/>
  <c r="K12" i="1" s="1"/>
  <c r="N12" i="1" a="1"/>
  <c r="N12" i="1" s="1"/>
  <c r="B56" i="1" a="1"/>
  <c r="B56" i="1" s="1"/>
  <c r="H56" i="1" a="1"/>
  <c r="H56" i="1" s="1"/>
  <c r="I56" i="1" a="1"/>
  <c r="I56" i="1" s="1"/>
  <c r="J56" i="1" a="1"/>
  <c r="J56" i="1" s="1"/>
  <c r="K56" i="1" a="1"/>
  <c r="K56" i="1" s="1"/>
  <c r="N56" i="1" a="1"/>
  <c r="N56" i="1" s="1"/>
  <c r="B91" i="1" a="1"/>
  <c r="B91" i="1" s="1"/>
  <c r="H91" i="1" a="1"/>
  <c r="H91" i="1" s="1"/>
  <c r="I91" i="1" a="1"/>
  <c r="I91" i="1" s="1"/>
  <c r="J91" i="1" a="1"/>
  <c r="J91" i="1" s="1"/>
  <c r="K91" i="1" a="1"/>
  <c r="K91" i="1" s="1"/>
  <c r="N91" i="1" a="1"/>
  <c r="N91" i="1" s="1"/>
  <c r="B62" i="1" a="1"/>
  <c r="B62" i="1" s="1"/>
  <c r="H62" i="1" a="1"/>
  <c r="H62" i="1" s="1"/>
  <c r="I62" i="1" a="1"/>
  <c r="I62" i="1" s="1"/>
  <c r="J62" i="1" a="1"/>
  <c r="J62" i="1" s="1"/>
  <c r="K62" i="1" a="1"/>
  <c r="K62" i="1" s="1"/>
  <c r="N62" i="1" a="1"/>
  <c r="N62" i="1" s="1"/>
  <c r="B6" i="1" a="1"/>
  <c r="B6" i="1" s="1"/>
  <c r="H6" i="1" a="1"/>
  <c r="H6" i="1" s="1"/>
  <c r="I6" i="1" a="1"/>
  <c r="I6" i="1" s="1"/>
  <c r="J6" i="1" a="1"/>
  <c r="J6" i="1" s="1"/>
  <c r="K6" i="1" a="1"/>
  <c r="K6" i="1" s="1"/>
  <c r="N6" i="1" a="1"/>
  <c r="N6" i="1" s="1"/>
  <c r="B60" i="1" a="1"/>
  <c r="B60" i="1" s="1"/>
  <c r="H60" i="1" a="1"/>
  <c r="H60" i="1" s="1"/>
  <c r="I60" i="1" a="1"/>
  <c r="I60" i="1" s="1"/>
  <c r="J60" i="1" a="1"/>
  <c r="J60" i="1" s="1"/>
  <c r="K60" i="1" a="1"/>
  <c r="K60" i="1" s="1"/>
  <c r="N60" i="1" a="1"/>
  <c r="N60" i="1" s="1"/>
  <c r="B10" i="1" a="1"/>
  <c r="B10" i="1" s="1"/>
  <c r="H10" i="1" a="1"/>
  <c r="H10" i="1" s="1"/>
  <c r="I10" i="1" a="1"/>
  <c r="I10" i="1" s="1"/>
  <c r="J10" i="1" a="1"/>
  <c r="J10" i="1" s="1"/>
  <c r="K10" i="1" a="1"/>
  <c r="K10" i="1" s="1"/>
  <c r="N10" i="1" a="1"/>
  <c r="N10" i="1" s="1"/>
  <c r="B90" i="1" a="1"/>
  <c r="B90" i="1" s="1"/>
  <c r="H90" i="1" a="1"/>
  <c r="H90" i="1" s="1"/>
  <c r="I90" i="1" a="1"/>
  <c r="I90" i="1" s="1"/>
  <c r="J90" i="1" a="1"/>
  <c r="J90" i="1" s="1"/>
  <c r="K90" i="1" a="1"/>
  <c r="K90" i="1" s="1"/>
  <c r="N90" i="1" a="1"/>
  <c r="N90" i="1" s="1"/>
  <c r="B87" i="1" a="1"/>
  <c r="B87" i="1" s="1"/>
  <c r="H87" i="1" a="1"/>
  <c r="H87" i="1" s="1"/>
  <c r="I87" i="1" a="1"/>
  <c r="I87" i="1" s="1"/>
  <c r="J87" i="1" a="1"/>
  <c r="J87" i="1" s="1"/>
  <c r="K87" i="1" a="1"/>
  <c r="K87" i="1" s="1"/>
  <c r="N87" i="1" a="1"/>
  <c r="N87" i="1" s="1"/>
  <c r="B84" i="1" a="1"/>
  <c r="B84" i="1" s="1"/>
  <c r="H84" i="1" a="1"/>
  <c r="H84" i="1" s="1"/>
  <c r="I84" i="1" a="1"/>
  <c r="I84" i="1" s="1"/>
  <c r="J84" i="1" a="1"/>
  <c r="J84" i="1" s="1"/>
  <c r="K84" i="1" a="1"/>
  <c r="K84" i="1" s="1"/>
  <c r="N84" i="1" a="1"/>
  <c r="N84" i="1" s="1"/>
  <c r="B85" i="1" a="1"/>
  <c r="B85" i="1" s="1"/>
  <c r="H85" i="1" a="1"/>
  <c r="H85" i="1" s="1"/>
  <c r="I85" i="1" a="1"/>
  <c r="I85" i="1" s="1"/>
  <c r="J85" i="1" a="1"/>
  <c r="J85" i="1" s="1"/>
  <c r="K85" i="1" a="1"/>
  <c r="K85" i="1" s="1"/>
  <c r="N85" i="1" a="1"/>
  <c r="N85" i="1" s="1"/>
  <c r="B79" i="1" a="1"/>
  <c r="B79" i="1" s="1"/>
  <c r="H79" i="1" a="1"/>
  <c r="H79" i="1" s="1"/>
  <c r="I79" i="1" a="1"/>
  <c r="I79" i="1" s="1"/>
  <c r="J79" i="1" a="1"/>
  <c r="J79" i="1" s="1"/>
  <c r="K79" i="1" a="1"/>
  <c r="K79" i="1" s="1"/>
  <c r="N79" i="1" a="1"/>
  <c r="N79" i="1" s="1"/>
  <c r="B75" i="1" a="1"/>
  <c r="B75" i="1" s="1"/>
  <c r="H75" i="1" a="1"/>
  <c r="H75" i="1" s="1"/>
  <c r="I75" i="1" a="1"/>
  <c r="I75" i="1" s="1"/>
  <c r="J75" i="1" a="1"/>
  <c r="J75" i="1" s="1"/>
  <c r="K75" i="1" a="1"/>
  <c r="K75" i="1" s="1"/>
  <c r="N75" i="1" a="1"/>
  <c r="N75" i="1" s="1"/>
  <c r="B74" i="1" a="1"/>
  <c r="B74" i="1" s="1"/>
  <c r="H74" i="1" a="1"/>
  <c r="H74" i="1" s="1"/>
  <c r="I74" i="1" a="1"/>
  <c r="I74" i="1" s="1"/>
  <c r="J74" i="1" a="1"/>
  <c r="J74" i="1" s="1"/>
  <c r="K74" i="1" a="1"/>
  <c r="K74" i="1" s="1"/>
  <c r="N74" i="1" a="1"/>
  <c r="N74" i="1" s="1"/>
  <c r="B72" i="1" a="1"/>
  <c r="B72" i="1" s="1"/>
  <c r="H72" i="1" a="1"/>
  <c r="H72" i="1" s="1"/>
  <c r="I72" i="1" a="1"/>
  <c r="I72" i="1" s="1"/>
  <c r="J72" i="1" a="1"/>
  <c r="J72" i="1" s="1"/>
  <c r="K72" i="1" a="1"/>
  <c r="K72" i="1" s="1"/>
  <c r="N72" i="1" a="1"/>
  <c r="N72" i="1" s="1"/>
  <c r="B71" i="1" a="1"/>
  <c r="B71" i="1" s="1"/>
  <c r="H71" i="1" a="1"/>
  <c r="H71" i="1" s="1"/>
  <c r="I71" i="1" a="1"/>
  <c r="I71" i="1" s="1"/>
  <c r="J71" i="1" a="1"/>
  <c r="J71" i="1" s="1"/>
  <c r="K71" i="1" a="1"/>
  <c r="K71" i="1" s="1"/>
  <c r="N71" i="1" a="1"/>
  <c r="N71" i="1" s="1"/>
  <c r="B70" i="1" a="1"/>
  <c r="B70" i="1" s="1"/>
  <c r="H70" i="1" a="1"/>
  <c r="H70" i="1" s="1"/>
  <c r="I70" i="1" a="1"/>
  <c r="I70" i="1" s="1"/>
  <c r="J70" i="1" a="1"/>
  <c r="J70" i="1" s="1"/>
  <c r="K70" i="1" a="1"/>
  <c r="K70" i="1" s="1"/>
  <c r="N70" i="1" a="1"/>
  <c r="N70" i="1" s="1"/>
  <c r="B65" i="1" a="1"/>
  <c r="B65" i="1" s="1"/>
  <c r="H65" i="1" a="1"/>
  <c r="H65" i="1" s="1"/>
  <c r="I65" i="1" a="1"/>
  <c r="I65" i="1" s="1"/>
  <c r="J65" i="1" a="1"/>
  <c r="J65" i="1" s="1"/>
  <c r="K65" i="1" a="1"/>
  <c r="K65" i="1" s="1"/>
  <c r="N65" i="1" a="1"/>
  <c r="N65" i="1" s="1"/>
  <c r="B61" i="1" a="1"/>
  <c r="B61" i="1" s="1"/>
  <c r="H61" i="1" a="1"/>
  <c r="H61" i="1" s="1"/>
  <c r="I61" i="1" a="1"/>
  <c r="I61" i="1" s="1"/>
  <c r="J61" i="1" a="1"/>
  <c r="J61" i="1" s="1"/>
  <c r="K61" i="1" a="1"/>
  <c r="K61" i="1" s="1"/>
  <c r="N61" i="1" a="1"/>
  <c r="N61" i="1" s="1"/>
  <c r="B54" i="1" a="1"/>
  <c r="B54" i="1" s="1"/>
  <c r="H54" i="1" a="1"/>
  <c r="H54" i="1" s="1"/>
  <c r="I54" i="1" a="1"/>
  <c r="I54" i="1" s="1"/>
  <c r="J54" i="1" a="1"/>
  <c r="J54" i="1" s="1"/>
  <c r="K54" i="1" a="1"/>
  <c r="K54" i="1" s="1"/>
  <c r="N54" i="1" a="1"/>
  <c r="N54" i="1" s="1"/>
  <c r="B49" i="1" a="1"/>
  <c r="B49" i="1" s="1"/>
  <c r="H49" i="1" a="1"/>
  <c r="H49" i="1" s="1"/>
  <c r="I49" i="1" a="1"/>
  <c r="I49" i="1" s="1"/>
  <c r="J49" i="1" a="1"/>
  <c r="J49" i="1" s="1"/>
  <c r="K49" i="1" a="1"/>
  <c r="K49" i="1" s="1"/>
  <c r="N49" i="1" a="1"/>
  <c r="N49" i="1" s="1"/>
  <c r="B48" i="1" a="1"/>
  <c r="B48" i="1" s="1"/>
  <c r="H48" i="1" a="1"/>
  <c r="H48" i="1" s="1"/>
  <c r="I48" i="1" a="1"/>
  <c r="I48" i="1" s="1"/>
  <c r="J48" i="1" a="1"/>
  <c r="J48" i="1" s="1"/>
  <c r="K48" i="1" a="1"/>
  <c r="K48" i="1" s="1"/>
  <c r="N48" i="1" a="1"/>
  <c r="N48" i="1" s="1"/>
  <c r="B45" i="1" a="1"/>
  <c r="B45" i="1" s="1"/>
  <c r="H45" i="1" a="1"/>
  <c r="H45" i="1" s="1"/>
  <c r="I45" i="1" a="1"/>
  <c r="I45" i="1" s="1"/>
  <c r="J45" i="1" a="1"/>
  <c r="J45" i="1" s="1"/>
  <c r="K45" i="1" a="1"/>
  <c r="K45" i="1" s="1"/>
  <c r="N45" i="1" a="1"/>
  <c r="N45" i="1" s="1"/>
  <c r="B44" i="1" a="1"/>
  <c r="B44" i="1" s="1"/>
  <c r="H44" i="1" a="1"/>
  <c r="H44" i="1" s="1"/>
  <c r="I44" i="1" a="1"/>
  <c r="I44" i="1" s="1"/>
  <c r="J44" i="1" a="1"/>
  <c r="J44" i="1" s="1"/>
  <c r="K44" i="1" a="1"/>
  <c r="K44" i="1" s="1"/>
  <c r="N44" i="1" a="1"/>
  <c r="N44" i="1" s="1"/>
  <c r="B42" i="1" a="1"/>
  <c r="B42" i="1" s="1"/>
  <c r="H42" i="1" a="1"/>
  <c r="H42" i="1" s="1"/>
  <c r="I42" i="1" a="1"/>
  <c r="I42" i="1" s="1"/>
  <c r="J42" i="1" a="1"/>
  <c r="J42" i="1" s="1"/>
  <c r="K42" i="1" a="1"/>
  <c r="K42" i="1" s="1"/>
  <c r="N42" i="1" a="1"/>
  <c r="N42" i="1" s="1"/>
  <c r="B39" i="1" a="1"/>
  <c r="B39" i="1" s="1"/>
  <c r="H39" i="1" a="1"/>
  <c r="H39" i="1" s="1"/>
  <c r="I39" i="1" a="1"/>
  <c r="I39" i="1" s="1"/>
  <c r="J39" i="1" a="1"/>
  <c r="J39" i="1" s="1"/>
  <c r="K39" i="1" a="1"/>
  <c r="K39" i="1" s="1"/>
  <c r="N39" i="1" a="1"/>
  <c r="N39" i="1" s="1"/>
  <c r="B37" i="1" a="1"/>
  <c r="B37" i="1" s="1"/>
  <c r="H37" i="1" a="1"/>
  <c r="H37" i="1" s="1"/>
  <c r="I37" i="1" a="1"/>
  <c r="I37" i="1" s="1"/>
  <c r="J37" i="1" a="1"/>
  <c r="J37" i="1" s="1"/>
  <c r="K37" i="1" a="1"/>
  <c r="K37" i="1" s="1"/>
  <c r="N37" i="1" a="1"/>
  <c r="N37" i="1" s="1"/>
  <c r="B36" i="1" a="1"/>
  <c r="B36" i="1" s="1"/>
  <c r="H36" i="1" a="1"/>
  <c r="H36" i="1" s="1"/>
  <c r="I36" i="1" a="1"/>
  <c r="I36" i="1" s="1"/>
  <c r="J36" i="1" a="1"/>
  <c r="J36" i="1" s="1"/>
  <c r="K36" i="1" a="1"/>
  <c r="K36" i="1" s="1"/>
  <c r="N36" i="1" a="1"/>
  <c r="N36" i="1" s="1"/>
  <c r="B35" i="1" a="1"/>
  <c r="B35" i="1" s="1"/>
  <c r="H35" i="1" a="1"/>
  <c r="H35" i="1" s="1"/>
  <c r="I35" i="1" a="1"/>
  <c r="I35" i="1" s="1"/>
  <c r="J35" i="1" a="1"/>
  <c r="J35" i="1" s="1"/>
  <c r="K35" i="1" a="1"/>
  <c r="K35" i="1" s="1"/>
  <c r="N35" i="1" a="1"/>
  <c r="N35" i="1" s="1"/>
  <c r="B34" i="1" a="1"/>
  <c r="B34" i="1" s="1"/>
  <c r="H34" i="1" a="1"/>
  <c r="H34" i="1" s="1"/>
  <c r="I34" i="1" a="1"/>
  <c r="I34" i="1" s="1"/>
  <c r="J34" i="1" a="1"/>
  <c r="J34" i="1" s="1"/>
  <c r="K34" i="1" a="1"/>
  <c r="K34" i="1" s="1"/>
  <c r="N34" i="1" a="1"/>
  <c r="N34" i="1" s="1"/>
  <c r="B30" i="1" a="1"/>
  <c r="B30" i="1" s="1"/>
  <c r="H30" i="1" a="1"/>
  <c r="H30" i="1" s="1"/>
  <c r="I30" i="1" a="1"/>
  <c r="I30" i="1" s="1"/>
  <c r="J30" i="1" a="1"/>
  <c r="J30" i="1" s="1"/>
  <c r="K30" i="1" a="1"/>
  <c r="K30" i="1" s="1"/>
  <c r="N30" i="1" a="1"/>
  <c r="N30" i="1" s="1"/>
  <c r="B29" i="1" a="1"/>
  <c r="B29" i="1" s="1"/>
  <c r="H29" i="1" a="1"/>
  <c r="H29" i="1" s="1"/>
  <c r="I29" i="1" a="1"/>
  <c r="I29" i="1" s="1"/>
  <c r="J29" i="1" a="1"/>
  <c r="J29" i="1" s="1"/>
  <c r="K29" i="1" a="1"/>
  <c r="K29" i="1" s="1"/>
  <c r="N29" i="1" a="1"/>
  <c r="N29" i="1" s="1"/>
  <c r="B32" i="1" a="1"/>
  <c r="B32" i="1" s="1"/>
  <c r="H32" i="1" a="1"/>
  <c r="H32" i="1" s="1"/>
  <c r="I32" i="1" a="1"/>
  <c r="I32" i="1" s="1"/>
  <c r="J32" i="1" a="1"/>
  <c r="J32" i="1" s="1"/>
  <c r="K32" i="1" a="1"/>
  <c r="K32" i="1" s="1"/>
  <c r="N32" i="1" a="1"/>
  <c r="N32" i="1" s="1"/>
  <c r="B31" i="1" a="1"/>
  <c r="B31" i="1" s="1"/>
  <c r="H31" i="1" a="1"/>
  <c r="H31" i="1" s="1"/>
  <c r="I31" i="1" a="1"/>
  <c r="I31" i="1" s="1"/>
  <c r="J31" i="1" a="1"/>
  <c r="J31" i="1" s="1"/>
  <c r="K31" i="1" a="1"/>
  <c r="K31" i="1" s="1"/>
  <c r="N31" i="1" a="1"/>
  <c r="N31" i="1" s="1"/>
  <c r="B28" i="1" a="1"/>
  <c r="B28" i="1" s="1"/>
  <c r="H28" i="1" a="1"/>
  <c r="H28" i="1" s="1"/>
  <c r="I28" i="1" a="1"/>
  <c r="I28" i="1" s="1"/>
  <c r="J28" i="1" a="1"/>
  <c r="J28" i="1" s="1"/>
  <c r="K28" i="1" a="1"/>
  <c r="K28" i="1" s="1"/>
  <c r="N28" i="1" a="1"/>
  <c r="N28" i="1" s="1"/>
  <c r="B27" i="1" a="1"/>
  <c r="B27" i="1" s="1"/>
  <c r="H27" i="1" a="1"/>
  <c r="H27" i="1" s="1"/>
  <c r="I27" i="1" a="1"/>
  <c r="I27" i="1" s="1"/>
  <c r="J27" i="1" a="1"/>
  <c r="J27" i="1" s="1"/>
  <c r="K27" i="1" a="1"/>
  <c r="K27" i="1" s="1"/>
  <c r="N27" i="1" a="1"/>
  <c r="N27" i="1" s="1"/>
  <c r="B24" i="1" a="1"/>
  <c r="B24" i="1" s="1"/>
  <c r="H24" i="1" a="1"/>
  <c r="H24" i="1" s="1"/>
  <c r="I24" i="1" a="1"/>
  <c r="I24" i="1" s="1"/>
  <c r="J24" i="1" a="1"/>
  <c r="J24" i="1" s="1"/>
  <c r="K24" i="1" a="1"/>
  <c r="K24" i="1" s="1"/>
  <c r="N24" i="1" a="1"/>
  <c r="N24" i="1" s="1"/>
  <c r="B23" i="1" a="1"/>
  <c r="B23" i="1" s="1"/>
  <c r="H23" i="1" a="1"/>
  <c r="H23" i="1" s="1"/>
  <c r="I23" i="1" a="1"/>
  <c r="I23" i="1" s="1"/>
  <c r="J23" i="1" a="1"/>
  <c r="J23" i="1" s="1"/>
  <c r="K23" i="1" a="1"/>
  <c r="K23" i="1" s="1"/>
  <c r="N23" i="1" a="1"/>
  <c r="N23" i="1" s="1"/>
  <c r="B22" i="1" a="1"/>
  <c r="B22" i="1" s="1"/>
  <c r="H22" i="1" a="1"/>
  <c r="H22" i="1" s="1"/>
  <c r="I22" i="1" a="1"/>
  <c r="I22" i="1" s="1"/>
  <c r="J22" i="1" a="1"/>
  <c r="J22" i="1" s="1"/>
  <c r="K22" i="1" a="1"/>
  <c r="K22" i="1" s="1"/>
  <c r="N22" i="1" a="1"/>
  <c r="N22" i="1" s="1"/>
  <c r="B19" i="1" a="1"/>
  <c r="B19" i="1" s="1"/>
  <c r="H19" i="1" a="1"/>
  <c r="H19" i="1" s="1"/>
  <c r="I19" i="1" a="1"/>
  <c r="I19" i="1" s="1"/>
  <c r="J19" i="1" a="1"/>
  <c r="J19" i="1" s="1"/>
  <c r="K19" i="1" a="1"/>
  <c r="K19" i="1" s="1"/>
  <c r="N19" i="1" a="1"/>
  <c r="N19" i="1" s="1"/>
  <c r="B17" i="1" a="1"/>
  <c r="B17" i="1" s="1"/>
  <c r="H17" i="1" a="1"/>
  <c r="H17" i="1" s="1"/>
  <c r="I17" i="1" a="1"/>
  <c r="I17" i="1" s="1"/>
  <c r="J17" i="1" a="1"/>
  <c r="J17" i="1" s="1"/>
  <c r="K17" i="1" a="1"/>
  <c r="K17" i="1" s="1"/>
  <c r="N17" i="1" a="1"/>
  <c r="N17" i="1" s="1"/>
  <c r="B14" i="1" a="1"/>
  <c r="B14" i="1" s="1"/>
  <c r="H14" i="1" a="1"/>
  <c r="H14" i="1" s="1"/>
  <c r="I14" i="1" a="1"/>
  <c r="I14" i="1" s="1"/>
  <c r="J14" i="1" a="1"/>
  <c r="J14" i="1" s="1"/>
  <c r="K14" i="1" a="1"/>
  <c r="K14" i="1" s="1"/>
  <c r="N14" i="1" a="1"/>
  <c r="N14" i="1" s="1"/>
  <c r="B13" i="1" a="1"/>
  <c r="B13" i="1" s="1"/>
  <c r="H13" i="1" a="1"/>
  <c r="H13" i="1" s="1"/>
  <c r="I13" i="1" a="1"/>
  <c r="I13" i="1" s="1"/>
  <c r="J13" i="1" a="1"/>
  <c r="J13" i="1" s="1"/>
  <c r="K13" i="1" a="1"/>
  <c r="K13" i="1" s="1"/>
  <c r="N13" i="1" a="1"/>
  <c r="N13" i="1" s="1"/>
  <c r="B11" i="1" a="1"/>
  <c r="B11" i="1" s="1"/>
  <c r="H11" i="1" a="1"/>
  <c r="H11" i="1" s="1"/>
  <c r="I11" i="1" a="1"/>
  <c r="I11" i="1" s="1"/>
  <c r="J11" i="1" a="1"/>
  <c r="J11" i="1" s="1"/>
  <c r="K11" i="1" a="1"/>
  <c r="K11" i="1" s="1"/>
  <c r="N11" i="1" a="1"/>
  <c r="N11" i="1" s="1"/>
  <c r="B9" i="1" a="1"/>
  <c r="B9" i="1" s="1"/>
  <c r="H9" i="1" a="1"/>
  <c r="H9" i="1" s="1"/>
  <c r="I9" i="1" a="1"/>
  <c r="I9" i="1" s="1"/>
  <c r="J9" i="1" a="1"/>
  <c r="J9" i="1" s="1"/>
  <c r="K9" i="1" a="1"/>
  <c r="K9" i="1" s="1"/>
  <c r="N9" i="1" a="1"/>
  <c r="N9" i="1" s="1"/>
  <c r="B5" i="1" a="1"/>
  <c r="B5" i="1" s="1"/>
  <c r="H5" i="1" a="1"/>
  <c r="H5" i="1" s="1"/>
  <c r="I5" i="1" a="1"/>
  <c r="I5" i="1" s="1"/>
  <c r="J5" i="1" a="1"/>
  <c r="J5" i="1" s="1"/>
  <c r="K5" i="1" a="1"/>
  <c r="K5" i="1" s="1"/>
  <c r="N5" i="1" a="1"/>
  <c r="N5" i="1" s="1"/>
  <c r="B3" i="1" a="1"/>
  <c r="B3" i="1" s="1"/>
  <c r="H3" i="1" a="1"/>
  <c r="H3" i="1" s="1"/>
  <c r="I3" i="1" a="1"/>
  <c r="I3" i="1" s="1"/>
  <c r="J3" i="1" a="1"/>
  <c r="J3" i="1" s="1"/>
  <c r="K3" i="1" a="1"/>
  <c r="K3" i="1" s="1"/>
  <c r="N3" i="1" a="1"/>
  <c r="N3" i="1" s="1"/>
  <c r="L94" i="1" l="1"/>
  <c r="M94" i="1"/>
  <c r="L93" i="1"/>
  <c r="L92" i="1"/>
  <c r="M93" i="1"/>
  <c r="M92" i="1"/>
  <c r="L89" i="1"/>
  <c r="M89" i="1"/>
  <c r="L69" i="1"/>
  <c r="M69" i="1"/>
  <c r="L18" i="1"/>
  <c r="M18" i="1"/>
  <c r="L7" i="1"/>
  <c r="M81" i="1"/>
  <c r="M7" i="1"/>
  <c r="L81" i="1"/>
  <c r="L77" i="1"/>
  <c r="M77" i="1"/>
  <c r="L12" i="1"/>
  <c r="L56" i="1"/>
  <c r="M12" i="1"/>
  <c r="L91" i="1"/>
  <c r="M56" i="1"/>
  <c r="L62" i="1"/>
  <c r="M91" i="1"/>
  <c r="M62" i="1"/>
  <c r="L6" i="1"/>
  <c r="L60" i="1"/>
  <c r="M6" i="1"/>
  <c r="L10" i="1"/>
  <c r="M60" i="1"/>
  <c r="M10" i="1"/>
  <c r="M87" i="1"/>
  <c r="L90" i="1"/>
  <c r="M90" i="1"/>
  <c r="L87" i="1"/>
  <c r="L84" i="1"/>
  <c r="M84" i="1"/>
  <c r="L85" i="1"/>
  <c r="L79" i="1"/>
  <c r="M85" i="1"/>
  <c r="L75" i="1"/>
  <c r="M79" i="1"/>
  <c r="L74" i="1"/>
  <c r="M75" i="1"/>
  <c r="L72" i="1"/>
  <c r="M74" i="1"/>
  <c r="L71" i="1"/>
  <c r="M72" i="1"/>
  <c r="M71" i="1"/>
  <c r="L70" i="1"/>
  <c r="L65" i="1"/>
  <c r="M70" i="1"/>
  <c r="L61" i="1"/>
  <c r="M65" i="1"/>
  <c r="M61" i="1"/>
  <c r="L54" i="1"/>
  <c r="M54" i="1"/>
  <c r="L49" i="1"/>
  <c r="M48" i="1"/>
  <c r="M49" i="1"/>
  <c r="L48" i="1"/>
  <c r="L45" i="1"/>
  <c r="L44" i="1"/>
  <c r="M45" i="1"/>
  <c r="M44" i="1"/>
  <c r="L42" i="1"/>
  <c r="M42" i="1"/>
  <c r="L39" i="1"/>
  <c r="M39" i="1"/>
  <c r="L37" i="1"/>
  <c r="M36" i="1"/>
  <c r="M37" i="1"/>
  <c r="L36" i="1"/>
  <c r="L35" i="1"/>
  <c r="M35" i="1"/>
  <c r="L34" i="1"/>
  <c r="M34" i="1"/>
  <c r="L30" i="1"/>
  <c r="M30" i="1"/>
  <c r="L32" i="1"/>
  <c r="L29" i="1"/>
  <c r="M29" i="1"/>
  <c r="L31" i="1"/>
  <c r="M32" i="1"/>
  <c r="L28" i="1"/>
  <c r="M31" i="1"/>
  <c r="M28" i="1"/>
  <c r="L27" i="1"/>
  <c r="M27" i="1"/>
  <c r="M24" i="1"/>
  <c r="L24" i="1"/>
  <c r="L23" i="1"/>
  <c r="M23" i="1"/>
  <c r="L22" i="1"/>
  <c r="M22" i="1"/>
  <c r="L19" i="1"/>
  <c r="M19" i="1"/>
  <c r="L17" i="1"/>
  <c r="M17" i="1"/>
  <c r="L14" i="1"/>
  <c r="L13" i="1"/>
  <c r="M14" i="1"/>
  <c r="M13" i="1"/>
  <c r="L11" i="1"/>
  <c r="L9" i="1"/>
  <c r="M11" i="1"/>
  <c r="M9" i="1"/>
  <c r="L5" i="1"/>
  <c r="M5" i="1"/>
  <c r="M3" i="1"/>
  <c r="L3" i="1"/>
  <c r="B58" i="1" l="1" a="1"/>
  <c r="B58" i="1" s="1"/>
  <c r="H58" i="1" a="1"/>
  <c r="H58" i="1" s="1"/>
  <c r="I58" i="1" a="1"/>
  <c r="I58" i="1" s="1"/>
  <c r="J58" i="1" a="1"/>
  <c r="J58" i="1" s="1"/>
  <c r="K58" i="1" a="1"/>
  <c r="K58" i="1" s="1"/>
  <c r="N58" i="1" a="1"/>
  <c r="N58" i="1" s="1"/>
  <c r="B66" i="1" a="1"/>
  <c r="B66" i="1" s="1"/>
  <c r="H66" i="1" a="1"/>
  <c r="H66" i="1" s="1"/>
  <c r="I66" i="1" a="1"/>
  <c r="I66" i="1" s="1"/>
  <c r="J66" i="1" a="1"/>
  <c r="J66" i="1" s="1"/>
  <c r="K66" i="1" a="1"/>
  <c r="K66" i="1" s="1"/>
  <c r="N66" i="1" a="1"/>
  <c r="N66" i="1" s="1"/>
  <c r="B40" i="1" a="1"/>
  <c r="B40" i="1" s="1"/>
  <c r="H40" i="1" a="1"/>
  <c r="H40" i="1" s="1"/>
  <c r="I40" i="1" a="1"/>
  <c r="I40" i="1" s="1"/>
  <c r="J40" i="1" a="1"/>
  <c r="J40" i="1" s="1"/>
  <c r="K40" i="1" a="1"/>
  <c r="K40" i="1" s="1"/>
  <c r="N40" i="1" a="1"/>
  <c r="N40" i="1" s="1"/>
  <c r="H64" i="1" a="1"/>
  <c r="H64" i="1" s="1"/>
  <c r="H67" i="1" a="1"/>
  <c r="H67" i="1" s="1"/>
  <c r="H68" i="1" a="1"/>
  <c r="H68" i="1" s="1"/>
  <c r="H73" i="1" a="1"/>
  <c r="H73" i="1" s="1"/>
  <c r="H76" i="1" a="1"/>
  <c r="H76" i="1" s="1"/>
  <c r="H78" i="1" a="1"/>
  <c r="H78" i="1" s="1"/>
  <c r="H80" i="1" a="1"/>
  <c r="H80" i="1" s="1"/>
  <c r="H82" i="1" a="1"/>
  <c r="H82" i="1" s="1"/>
  <c r="H83" i="1" a="1"/>
  <c r="H83" i="1" s="1"/>
  <c r="H86" i="1" a="1"/>
  <c r="H86" i="1" s="1"/>
  <c r="H88" i="1" a="1"/>
  <c r="H88" i="1" s="1"/>
  <c r="H52" i="1" a="1"/>
  <c r="H52" i="1" s="1"/>
  <c r="H55" i="1" a="1"/>
  <c r="H55" i="1" s="1"/>
  <c r="H47" i="1" a="1"/>
  <c r="H47" i="1" s="1"/>
  <c r="N2" i="1" a="1"/>
  <c r="N2" i="1" s="1"/>
  <c r="N4" i="1" a="1"/>
  <c r="N4" i="1" s="1"/>
  <c r="N8" i="1" a="1"/>
  <c r="N8" i="1" s="1"/>
  <c r="N15" i="1" a="1"/>
  <c r="N15" i="1" s="1"/>
  <c r="N16" i="1" a="1"/>
  <c r="N16" i="1" s="1"/>
  <c r="N20" i="1" a="1"/>
  <c r="N20" i="1" s="1"/>
  <c r="N21" i="1" a="1"/>
  <c r="N21" i="1" s="1"/>
  <c r="N25" i="1" a="1"/>
  <c r="N25" i="1" s="1"/>
  <c r="N26" i="1" a="1"/>
  <c r="N26" i="1" s="1"/>
  <c r="N33" i="1" a="1"/>
  <c r="N33" i="1" s="1"/>
  <c r="N38" i="1" a="1"/>
  <c r="N38" i="1" s="1"/>
  <c r="N41" i="1" a="1"/>
  <c r="N41" i="1" s="1"/>
  <c r="N43" i="1" a="1"/>
  <c r="N43" i="1" s="1"/>
  <c r="N46" i="1" a="1"/>
  <c r="N46" i="1" s="1"/>
  <c r="N50" i="1" a="1"/>
  <c r="N50" i="1" s="1"/>
  <c r="N51" i="1" a="1"/>
  <c r="N51" i="1" s="1"/>
  <c r="N53" i="1" a="1"/>
  <c r="N53" i="1" s="1"/>
  <c r="N57" i="1" a="1"/>
  <c r="N57" i="1" s="1"/>
  <c r="N59" i="1" a="1"/>
  <c r="N59" i="1" s="1"/>
  <c r="N63" i="1" a="1"/>
  <c r="N63" i="1" s="1"/>
  <c r="N64" i="1" a="1"/>
  <c r="N64" i="1" s="1"/>
  <c r="N67" i="1" a="1"/>
  <c r="N67" i="1" s="1"/>
  <c r="N68" i="1" a="1"/>
  <c r="N68" i="1" s="1"/>
  <c r="N73" i="1" a="1"/>
  <c r="N73" i="1" s="1"/>
  <c r="N76" i="1" a="1"/>
  <c r="N76" i="1" s="1"/>
  <c r="N78" i="1" a="1"/>
  <c r="N78" i="1" s="1"/>
  <c r="N80" i="1" a="1"/>
  <c r="N80" i="1" s="1"/>
  <c r="N82" i="1" a="1"/>
  <c r="N82" i="1" s="1"/>
  <c r="N83" i="1" a="1"/>
  <c r="N83" i="1" s="1"/>
  <c r="N86" i="1" a="1"/>
  <c r="N86" i="1" s="1"/>
  <c r="N88" i="1" a="1"/>
  <c r="N88" i="1" s="1"/>
  <c r="N52" i="1" a="1"/>
  <c r="N52" i="1" s="1"/>
  <c r="N55" i="1" a="1"/>
  <c r="N55" i="1" s="1"/>
  <c r="N47" i="1" a="1"/>
  <c r="N47" i="1" s="1"/>
  <c r="K2" i="1" a="1"/>
  <c r="K2" i="1" s="1"/>
  <c r="K4" i="1" a="1"/>
  <c r="K4" i="1" s="1"/>
  <c r="K8" i="1" a="1"/>
  <c r="K8" i="1" s="1"/>
  <c r="K15" i="1" a="1"/>
  <c r="K15" i="1" s="1"/>
  <c r="K16" i="1" a="1"/>
  <c r="K16" i="1" s="1"/>
  <c r="K20" i="1" a="1"/>
  <c r="K20" i="1" s="1"/>
  <c r="K21" i="1" a="1"/>
  <c r="K21" i="1" s="1"/>
  <c r="K25" i="1" a="1"/>
  <c r="K25" i="1" s="1"/>
  <c r="K26" i="1" a="1"/>
  <c r="K26" i="1" s="1"/>
  <c r="K33" i="1" a="1"/>
  <c r="K33" i="1" s="1"/>
  <c r="K38" i="1" a="1"/>
  <c r="K38" i="1" s="1"/>
  <c r="K41" i="1" a="1"/>
  <c r="K41" i="1" s="1"/>
  <c r="K43" i="1" a="1"/>
  <c r="K43" i="1" s="1"/>
  <c r="K46" i="1" a="1"/>
  <c r="K46" i="1" s="1"/>
  <c r="K50" i="1" a="1"/>
  <c r="K50" i="1" s="1"/>
  <c r="K51" i="1" a="1"/>
  <c r="K51" i="1" s="1"/>
  <c r="K53" i="1" a="1"/>
  <c r="K53" i="1" s="1"/>
  <c r="K57" i="1" a="1"/>
  <c r="K57" i="1" s="1"/>
  <c r="K59" i="1" a="1"/>
  <c r="K59" i="1" s="1"/>
  <c r="K63" i="1" a="1"/>
  <c r="K63" i="1" s="1"/>
  <c r="K64" i="1" a="1"/>
  <c r="K64" i="1" s="1"/>
  <c r="K67" i="1" a="1"/>
  <c r="K67" i="1" s="1"/>
  <c r="K68" i="1" a="1"/>
  <c r="K68" i="1" s="1"/>
  <c r="K73" i="1" a="1"/>
  <c r="K73" i="1" s="1"/>
  <c r="K76" i="1" a="1"/>
  <c r="K76" i="1" s="1"/>
  <c r="K78" i="1" a="1"/>
  <c r="K78" i="1" s="1"/>
  <c r="K80" i="1" a="1"/>
  <c r="K80" i="1" s="1"/>
  <c r="K82" i="1" a="1"/>
  <c r="K82" i="1" s="1"/>
  <c r="K83" i="1" a="1"/>
  <c r="K83" i="1" s="1"/>
  <c r="K86" i="1" a="1"/>
  <c r="K86" i="1" s="1"/>
  <c r="K88" i="1" a="1"/>
  <c r="K88" i="1" s="1"/>
  <c r="K52" i="1" a="1"/>
  <c r="K52" i="1" s="1"/>
  <c r="K55" i="1" a="1"/>
  <c r="K55" i="1" s="1"/>
  <c r="K47" i="1" a="1"/>
  <c r="K47" i="1" s="1"/>
  <c r="J2" i="1" a="1"/>
  <c r="J2" i="1" s="1"/>
  <c r="J4" i="1" a="1"/>
  <c r="J4" i="1" s="1"/>
  <c r="J8" i="1" a="1"/>
  <c r="J8" i="1" s="1"/>
  <c r="J15" i="1" a="1"/>
  <c r="J15" i="1" s="1"/>
  <c r="J16" i="1" a="1"/>
  <c r="J16" i="1" s="1"/>
  <c r="J20" i="1" a="1"/>
  <c r="J20" i="1" s="1"/>
  <c r="J21" i="1" a="1"/>
  <c r="J21" i="1" s="1"/>
  <c r="J25" i="1" a="1"/>
  <c r="J25" i="1" s="1"/>
  <c r="J26" i="1" a="1"/>
  <c r="J26" i="1" s="1"/>
  <c r="J33" i="1" a="1"/>
  <c r="J33" i="1" s="1"/>
  <c r="J38" i="1" a="1"/>
  <c r="J38" i="1" s="1"/>
  <c r="J41" i="1" a="1"/>
  <c r="J41" i="1" s="1"/>
  <c r="J43" i="1" a="1"/>
  <c r="J43" i="1" s="1"/>
  <c r="J46" i="1" a="1"/>
  <c r="J46" i="1" s="1"/>
  <c r="J50" i="1" a="1"/>
  <c r="J50" i="1" s="1"/>
  <c r="J51" i="1" a="1"/>
  <c r="J51" i="1" s="1"/>
  <c r="J53" i="1" a="1"/>
  <c r="J53" i="1" s="1"/>
  <c r="J57" i="1" a="1"/>
  <c r="J57" i="1" s="1"/>
  <c r="J59" i="1" a="1"/>
  <c r="J59" i="1" s="1"/>
  <c r="J63" i="1" a="1"/>
  <c r="J63" i="1" s="1"/>
  <c r="J64" i="1" a="1"/>
  <c r="J64" i="1" s="1"/>
  <c r="J67" i="1" a="1"/>
  <c r="J67" i="1" s="1"/>
  <c r="J68" i="1" a="1"/>
  <c r="J68" i="1" s="1"/>
  <c r="J73" i="1" a="1"/>
  <c r="J73" i="1" s="1"/>
  <c r="J76" i="1" a="1"/>
  <c r="J76" i="1" s="1"/>
  <c r="J78" i="1" a="1"/>
  <c r="J78" i="1" s="1"/>
  <c r="J80" i="1" a="1"/>
  <c r="J80" i="1" s="1"/>
  <c r="J82" i="1" a="1"/>
  <c r="J82" i="1" s="1"/>
  <c r="J83" i="1" a="1"/>
  <c r="J83" i="1" s="1"/>
  <c r="J86" i="1" a="1"/>
  <c r="J86" i="1" s="1"/>
  <c r="J88" i="1" a="1"/>
  <c r="J88" i="1" s="1"/>
  <c r="J52" i="1" a="1"/>
  <c r="J52" i="1" s="1"/>
  <c r="J55" i="1" a="1"/>
  <c r="J55" i="1" s="1"/>
  <c r="J47" i="1" a="1"/>
  <c r="J47" i="1" s="1"/>
  <c r="I2" i="1" a="1"/>
  <c r="I2" i="1" s="1"/>
  <c r="I4" i="1" a="1"/>
  <c r="I4" i="1" s="1"/>
  <c r="I8" i="1" a="1"/>
  <c r="I8" i="1" s="1"/>
  <c r="I15" i="1" a="1"/>
  <c r="I15" i="1" s="1"/>
  <c r="I16" i="1" a="1"/>
  <c r="I16" i="1" s="1"/>
  <c r="I20" i="1" a="1"/>
  <c r="I20" i="1" s="1"/>
  <c r="I21" i="1" a="1"/>
  <c r="I21" i="1" s="1"/>
  <c r="I25" i="1" a="1"/>
  <c r="I25" i="1" s="1"/>
  <c r="I26" i="1" a="1"/>
  <c r="I26" i="1" s="1"/>
  <c r="I33" i="1" a="1"/>
  <c r="I33" i="1" s="1"/>
  <c r="I38" i="1" a="1"/>
  <c r="I38" i="1" s="1"/>
  <c r="I41" i="1" a="1"/>
  <c r="I41" i="1" s="1"/>
  <c r="I43" i="1" a="1"/>
  <c r="I43" i="1" s="1"/>
  <c r="I46" i="1" a="1"/>
  <c r="I46" i="1" s="1"/>
  <c r="I50" i="1" a="1"/>
  <c r="I50" i="1" s="1"/>
  <c r="I51" i="1" a="1"/>
  <c r="I51" i="1" s="1"/>
  <c r="I53" i="1" a="1"/>
  <c r="I53" i="1" s="1"/>
  <c r="I57" i="1" a="1"/>
  <c r="I57" i="1" s="1"/>
  <c r="I59" i="1" a="1"/>
  <c r="I59" i="1" s="1"/>
  <c r="I63" i="1" a="1"/>
  <c r="I63" i="1" s="1"/>
  <c r="I64" i="1" a="1"/>
  <c r="I64" i="1" s="1"/>
  <c r="I67" i="1" a="1"/>
  <c r="I67" i="1" s="1"/>
  <c r="I68" i="1" a="1"/>
  <c r="I68" i="1" s="1"/>
  <c r="I73" i="1" a="1"/>
  <c r="I73" i="1" s="1"/>
  <c r="I76" i="1" a="1"/>
  <c r="I76" i="1" s="1"/>
  <c r="I78" i="1" a="1"/>
  <c r="I78" i="1" s="1"/>
  <c r="I80" i="1" a="1"/>
  <c r="I80" i="1" s="1"/>
  <c r="I82" i="1" a="1"/>
  <c r="I82" i="1" s="1"/>
  <c r="I83" i="1" a="1"/>
  <c r="I83" i="1" s="1"/>
  <c r="I86" i="1" a="1"/>
  <c r="I86" i="1" s="1"/>
  <c r="I88" i="1" a="1"/>
  <c r="I88" i="1" s="1"/>
  <c r="I52" i="1" a="1"/>
  <c r="I52" i="1" s="1"/>
  <c r="I55" i="1" a="1"/>
  <c r="I55" i="1" s="1"/>
  <c r="I47" i="1" a="1"/>
  <c r="I47" i="1" s="1"/>
  <c r="H2" i="1" a="1"/>
  <c r="H2" i="1" s="1"/>
  <c r="H4" i="1" a="1"/>
  <c r="H4" i="1" s="1"/>
  <c r="H8" i="1" a="1"/>
  <c r="H8" i="1" s="1"/>
  <c r="H15" i="1" a="1"/>
  <c r="H15" i="1" s="1"/>
  <c r="H16" i="1" a="1"/>
  <c r="H16" i="1" s="1"/>
  <c r="H20" i="1" a="1"/>
  <c r="H20" i="1" s="1"/>
  <c r="H21" i="1" a="1"/>
  <c r="H21" i="1" s="1"/>
  <c r="H25" i="1" a="1"/>
  <c r="H25" i="1" s="1"/>
  <c r="H26" i="1" a="1"/>
  <c r="H26" i="1" s="1"/>
  <c r="H33" i="1" a="1"/>
  <c r="H33" i="1" s="1"/>
  <c r="H38" i="1" a="1"/>
  <c r="H38" i="1" s="1"/>
  <c r="H41" i="1" a="1"/>
  <c r="H41" i="1" s="1"/>
  <c r="H43" i="1" a="1"/>
  <c r="H43" i="1" s="1"/>
  <c r="H46" i="1" a="1"/>
  <c r="H46" i="1" s="1"/>
  <c r="H50" i="1" a="1"/>
  <c r="H50" i="1" s="1"/>
  <c r="H51" i="1" a="1"/>
  <c r="H51" i="1" s="1"/>
  <c r="H53" i="1" a="1"/>
  <c r="H53" i="1" s="1"/>
  <c r="H57" i="1" a="1"/>
  <c r="H57" i="1" s="1"/>
  <c r="H59" i="1" a="1"/>
  <c r="H59" i="1" s="1"/>
  <c r="H63" i="1" a="1"/>
  <c r="H63" i="1" s="1"/>
  <c r="B47" i="1" a="1"/>
  <c r="B47" i="1" s="1"/>
  <c r="B55" i="1" a="1"/>
  <c r="B55" i="1" s="1"/>
  <c r="B52" i="1" a="1"/>
  <c r="B52" i="1" s="1"/>
  <c r="B88" i="1" a="1"/>
  <c r="B88" i="1" s="1"/>
  <c r="B86" i="1" a="1"/>
  <c r="B86" i="1" s="1"/>
  <c r="B83" i="1" a="1"/>
  <c r="B83" i="1" s="1"/>
  <c r="B82" i="1" a="1"/>
  <c r="B82" i="1" s="1"/>
  <c r="B80" i="1" a="1"/>
  <c r="B80" i="1" s="1"/>
  <c r="B78" i="1" a="1"/>
  <c r="B78" i="1" s="1"/>
  <c r="B76" i="1" a="1"/>
  <c r="B76" i="1" s="1"/>
  <c r="B73" i="1" a="1"/>
  <c r="B73" i="1" s="1"/>
  <c r="B68" i="1" a="1"/>
  <c r="B68" i="1" s="1"/>
  <c r="B67" i="1" a="1"/>
  <c r="B67" i="1" s="1"/>
  <c r="B64" i="1" a="1"/>
  <c r="B64" i="1" s="1"/>
  <c r="B63" i="1" a="1"/>
  <c r="B63" i="1" s="1"/>
  <c r="B59" i="1" a="1"/>
  <c r="B59" i="1" s="1"/>
  <c r="B57" i="1" a="1"/>
  <c r="B57" i="1" s="1"/>
  <c r="B53" i="1" a="1"/>
  <c r="B53" i="1" s="1"/>
  <c r="B51" i="1" a="1"/>
  <c r="B51" i="1" s="1"/>
  <c r="B50" i="1" a="1"/>
  <c r="B50" i="1" s="1"/>
  <c r="B46" i="1" a="1"/>
  <c r="B46" i="1" s="1"/>
  <c r="B43" i="1" a="1"/>
  <c r="B43" i="1" s="1"/>
  <c r="B41" i="1" a="1"/>
  <c r="B41" i="1" s="1"/>
  <c r="B38" i="1" a="1"/>
  <c r="B38" i="1" s="1"/>
  <c r="B33" i="1" a="1"/>
  <c r="B33" i="1" s="1"/>
  <c r="B26" i="1" a="1"/>
  <c r="B26" i="1" s="1"/>
  <c r="B25" i="1" a="1"/>
  <c r="B25" i="1" s="1"/>
  <c r="B21" i="1" a="1"/>
  <c r="B21" i="1" s="1"/>
  <c r="B20" i="1" a="1"/>
  <c r="B20" i="1" s="1"/>
  <c r="B16" i="1" a="1"/>
  <c r="B16" i="1" s="1"/>
  <c r="B15" i="1" a="1"/>
  <c r="B15" i="1" s="1"/>
  <c r="B8" i="1" a="1"/>
  <c r="B8" i="1" s="1"/>
  <c r="B4" i="1" a="1"/>
  <c r="B4" i="1" s="1"/>
  <c r="B2" i="1" a="1"/>
  <c r="B2" i="1" s="1"/>
  <c r="L58" i="1" l="1"/>
  <c r="L66" i="1"/>
  <c r="M58" i="1"/>
  <c r="M66" i="1"/>
  <c r="L40" i="1"/>
  <c r="M40" i="1"/>
  <c r="M46" i="1"/>
  <c r="M16" i="1"/>
  <c r="M47" i="1"/>
  <c r="M73" i="1"/>
  <c r="M86" i="1"/>
  <c r="M63" i="1"/>
  <c r="M4" i="1"/>
  <c r="L80" i="1"/>
  <c r="L53" i="1"/>
  <c r="L25" i="1"/>
  <c r="M33" i="1"/>
  <c r="M78" i="1"/>
  <c r="M51" i="1"/>
  <c r="L21" i="1"/>
  <c r="M83" i="1"/>
  <c r="M59" i="1"/>
  <c r="M2" i="1"/>
  <c r="M76" i="1"/>
  <c r="M55" i="1"/>
  <c r="M68" i="1"/>
  <c r="M43" i="1"/>
  <c r="M15" i="1"/>
  <c r="M8" i="1"/>
  <c r="L82" i="1"/>
  <c r="L57" i="1"/>
  <c r="M52" i="1"/>
  <c r="M67" i="1"/>
  <c r="M41" i="1"/>
  <c r="L26" i="1"/>
  <c r="M50" i="1"/>
  <c r="M20" i="1"/>
  <c r="M88" i="1"/>
  <c r="M64" i="1"/>
  <c r="M38" i="1"/>
  <c r="M82" i="1"/>
  <c r="M57" i="1"/>
  <c r="M26" i="1"/>
  <c r="M80" i="1"/>
  <c r="M53" i="1"/>
  <c r="M25" i="1"/>
  <c r="L2" i="1"/>
  <c r="M21" i="1"/>
  <c r="L78" i="1"/>
  <c r="L51" i="1"/>
  <c r="L46" i="1"/>
  <c r="L47" i="1"/>
  <c r="L73" i="1"/>
  <c r="L16" i="1"/>
  <c r="L83" i="1"/>
  <c r="L59" i="1"/>
  <c r="L33" i="1"/>
  <c r="L86" i="1"/>
  <c r="L63" i="1"/>
  <c r="L4" i="1"/>
  <c r="L76" i="1"/>
  <c r="L50" i="1"/>
  <c r="L20" i="1"/>
  <c r="L55" i="1"/>
  <c r="L68" i="1"/>
  <c r="L43" i="1"/>
  <c r="L15" i="1"/>
  <c r="L67" i="1"/>
  <c r="L41" i="1"/>
  <c r="L8" i="1"/>
  <c r="L52" i="1"/>
  <c r="L88" i="1"/>
  <c r="L64" i="1"/>
  <c r="L3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futureMetadata>
  <cellMetadata count="1">
    <bk>
      <rc t="1" v="0"/>
    </bk>
  </cellMetadata>
  <valueMetadata count="9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valueMetadata>
</metadata>
</file>

<file path=xl/sharedStrings.xml><?xml version="1.0" encoding="utf-8"?>
<sst xmlns="http://schemas.openxmlformats.org/spreadsheetml/2006/main" count="54" uniqueCount="26">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</sst>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7">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96">
  <rv s="0">
    <v>https://www.bing.com/financeapi/forcetrigger?t=a1mou2&amp;q=XNAS%3aAAPL&amp;form=skydnc</v>
    <v>Learn more on Bing</v>
  </rv>
  <rv s="1">
    <v>0</v>
    <v>APPLE INC. (XNAS:AAPL)</v>
    <v>2</v>
    <v>3</v>
    <v>Finance</v>
    <v>4</v>
    <v>en-US</v>
    <v>a1mou2</v>
    <v>268435456</v>
    <v>1</v>
    <v>Powered by Refinitiv</v>
    <v>288.62</v>
    <v>169.21010000000001</v>
    <v>1.0908</v>
    <v>1.6</v>
    <v>5.7720000000000002E-3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279.75</v>
    <v>Computers, Phones &amp; Household Electronics</v>
    <v>Stock</v>
    <v>46002.041647314065</v>
    <v>0</v>
    <v>276.44</v>
    <v>4119350852999</v>
    <v>APPLE INC.</v>
    <v>APPLE INC.</v>
    <v>277.75</v>
    <v>37.538200000000003</v>
    <v>277.18</v>
    <v>278.77999999999997</v>
    <v>14776350000</v>
    <v>AAPL</v>
    <v>APPLE INC. (XNAS:AAPL)</v>
    <v>264743</v>
    <v>44664122</v>
    <v>1977</v>
  </rv>
  <rv s="2">
    <v>1</v>
  </rv>
  <rv s="0">
    <v>https://www.bing.com/financeapi/forcetrigger?t=a1mpqh&amp;q=XNYS%3aABBV&amp;form=skydnc</v>
    <v>Learn more on Bing</v>
  </rv>
  <rv s="1">
    <v>0</v>
    <v>ABBVIE INC. (XNYS:ABBV)</v>
    <v>2</v>
    <v>3</v>
    <v>Finance</v>
    <v>4</v>
    <v>en-US</v>
    <v>a1mpqh</v>
    <v>268435456</v>
    <v>1</v>
    <v>Powered by Refinitiv</v>
    <v>244.81</v>
    <v>164.39</v>
    <v>0.34989999999999999</v>
    <v>2.19</v>
    <v>9.8209999999999999E-3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225.98</v>
    <v>Pharmaceuticals</v>
    <v>Stock</v>
    <v>46002.041570914065</v>
    <v>3</v>
    <v>221</v>
    <v>397979754300</v>
    <v>ABBVIE INC.</v>
    <v>ABBVIE INC.</v>
    <v>225</v>
    <v>169.90610000000001</v>
    <v>222.99</v>
    <v>225.18</v>
    <v>1767385000</v>
    <v>ABBV</v>
    <v>ABBVIE INC. (XNYS:ABBV)</v>
    <v>1260</v>
    <v>5782290</v>
    <v>2012</v>
  </rv>
  <rv s="2">
    <v>4</v>
  </rv>
  <rv s="0">
    <v>https://www.bing.com/financeapi/forcetrigger?t=a1mvm7&amp;q=XNYS%3aADM&amp;form=skydnc</v>
    <v>Learn more on Bing</v>
  </rv>
  <rv s="1">
    <v>0</v>
    <v>ARCHER-DANIELS-MIDLAND COMPANY. (XNYS:ADM)</v>
    <v>2</v>
    <v>3</v>
    <v>Finance</v>
    <v>4</v>
    <v>en-US</v>
    <v>a1mvm7</v>
    <v>268435456</v>
    <v>1</v>
    <v>Powered by Refinitiv</v>
    <v>65</v>
    <v>40.98</v>
    <v>0.69079999999999997</v>
    <v>0.14000000000000001</v>
    <v>2.4109999999999999E-3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58.99</v>
    <v>Food &amp; Tobacco</v>
    <v>Stock</v>
    <v>46002.039459293752</v>
    <v>6</v>
    <v>57.17</v>
    <v>27973962237</v>
    <v>ARCHER-DANIELS-MIDLAND COMPANY.</v>
    <v>ARCHER-DANIELS-MIDLAND COMPANY.</v>
    <v>58.28</v>
    <v>23.6129</v>
    <v>58.07</v>
    <v>58.21</v>
    <v>480569700</v>
    <v>ADM</v>
    <v>ARCHER-DANIELS-MIDLAND COMPANY. (XNYS:ADM)</v>
    <v>690</v>
    <v>3145627</v>
    <v>1923</v>
  </rv>
  <rv s="2">
    <v>7</v>
  </rv>
  <rv s="0">
    <v>https://www.bing.com/financeapi/forcetrigger?t=a1mw4c&amp;q=XNAS%3aADP&amp;form=skydnc</v>
    <v>Learn more on Bing</v>
  </rv>
  <rv s="1">
    <v>0</v>
    <v>AUTOMATIC DATA PROCESSING, INC. (XNAS:ADP)</v>
    <v>2</v>
    <v>3</v>
    <v>Finance</v>
    <v>4</v>
    <v>en-US</v>
    <v>a1mw4c</v>
    <v>268435456</v>
    <v>1</v>
    <v>Powered by Refinitiv</v>
    <v>329.92950000000002</v>
    <v>247.18350000000001</v>
    <v>0.86339999999999995</v>
    <v>1.1100000000000001</v>
    <v>4.2979999999999997E-3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260.05</v>
    <v>Software &amp; IT Services</v>
    <v>Stock</v>
    <v>46002.035871260938</v>
    <v>9</v>
    <v>256.83</v>
    <v>104889725857</v>
    <v>AUTOMATIC DATA PROCESSING, INC.</v>
    <v>AUTOMATIC DATA PROCESSING, INC.</v>
    <v>257.36</v>
    <v>25.574400000000001</v>
    <v>258.23</v>
    <v>259.33999999999997</v>
    <v>404448700</v>
    <v>ADP</v>
    <v>AUTOMATIC DATA PROCESSING, INC. (XNAS:ADP)</v>
    <v>324</v>
    <v>2249256</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1.9466000000000001</v>
    <v>-0.2</v>
    <v>-9.0240000000000003E-4</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222.60499999999999</v>
    <v>Semiconductors &amp; Semiconductor Equipment</v>
    <v>Stock</v>
    <v>46002.041636157031</v>
    <v>12</v>
    <v>218.67</v>
    <v>360481059640</v>
    <v>ADVANCED MICRO DEVICES, INC.</v>
    <v>ADVANCED MICRO DEVICES, INC.</v>
    <v>222</v>
    <v>115.5402</v>
    <v>221.62</v>
    <v>221.42</v>
    <v>1628042000</v>
    <v>AMD</v>
    <v>ADVANCED MICRO DEVICES, INC. (XNAS:AMD)</v>
    <v>350669</v>
    <v>47855996</v>
    <v>1969</v>
  </rv>
  <rv s="2">
    <v>13</v>
  </rv>
  <rv s="0">
    <v>https://www.bing.com/financeapi/forcetrigger?t=a1ngur&amp;q=XNYS%3aAMT&amp;form=skydnc</v>
    <v>Learn more on Bing</v>
  </rv>
  <rv s="1">
    <v>0</v>
    <v>AMERICAN TOWER CORPORATION (XNYS:AMT)</v>
    <v>2</v>
    <v>3</v>
    <v>Finance</v>
    <v>4</v>
    <v>en-US</v>
    <v>a1ngur</v>
    <v>268435456</v>
    <v>1</v>
    <v>Powered by Refinitiv</v>
    <v>234.33</v>
    <v>172.51</v>
    <v>0.92679999999999996</v>
    <v>0.71</v>
    <v>3.954E-3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182.63</v>
    <v>Residential &amp; Commercial REIT</v>
    <v>Stock</v>
    <v>46002.041360161718</v>
    <v>15</v>
    <v>179.55</v>
    <v>84388106116</v>
    <v>AMERICAN TOWER CORPORATION</v>
    <v>AMERICAN TOWER CORPORATION</v>
    <v>179.81</v>
    <v>28.752199999999998</v>
    <v>179.55</v>
    <v>180.26</v>
    <v>468146600</v>
    <v>AMT</v>
    <v>AMERICAN TOWER CORPORATION (XNYS:AMT)</v>
    <v>194</v>
    <v>3024413</v>
    <v>1996</v>
  </rv>
  <rv s="2">
    <v>16</v>
  </rv>
  <rv s="0">
    <v>https://www.bing.com/financeapi/forcetrigger?t=a1nhlh&amp;q=XNAS%3aAMZN&amp;form=skydnc</v>
    <v>Learn more on Bing</v>
  </rv>
  <rv s="1">
    <v>0</v>
    <v>AMAZON.COM, INC. (XNAS:AMZN)</v>
    <v>2</v>
    <v>3</v>
    <v>Finance</v>
    <v>4</v>
    <v>en-US</v>
    <v>a1nhlh</v>
    <v>268435456</v>
    <v>1</v>
    <v>Powered by Refinitiv</v>
    <v>258.60000000000002</v>
    <v>161.38</v>
    <v>1.3754999999999999</v>
    <v>3.86</v>
    <v>1.6936E-2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232.42</v>
    <v>Diversified Retail</v>
    <v>Stock</v>
    <v>46002.041664385935</v>
    <v>18</v>
    <v>228.46</v>
    <v>2436514000000</v>
    <v>AMAZON.COM, INC.</v>
    <v>AMAZON.COM, INC.</v>
    <v>228.80500000000001</v>
    <v>32.742100000000001</v>
    <v>227.92</v>
    <v>231.78</v>
    <v>10690220000</v>
    <v>AMZN</v>
    <v>AMAZON.COM, INC. (XNAS:AMZN)</v>
    <v>262144</v>
    <v>42294615</v>
    <v>1996</v>
  </rv>
  <rv s="2">
    <v>19</v>
  </rv>
  <rv s="0">
    <v>https://www.bing.com/financeapi/forcetrigger?t=a1nkm7&amp;q=XNYS%3aAOS&amp;form=skydnc</v>
    <v>Learn more on Bing</v>
  </rv>
  <rv s="1">
    <v>0</v>
    <v>A. O. SMITH CORPORATION (XNYS:AOS)</v>
    <v>2</v>
    <v>3</v>
    <v>Finance</v>
    <v>5</v>
    <v>en-US</v>
    <v>a1nkm7</v>
    <v>268435456</v>
    <v>1</v>
    <v>Powered by Refinitiv</v>
    <v>77.31</v>
    <v>58.83</v>
    <v>1.3489</v>
    <v>1.49</v>
    <v>2.2429999999999999E-2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12700</v>
    <v>New York Stock Exchange</v>
    <v>XNYS</v>
    <v>XNYS</v>
    <v>11270 W Park Pl, MILWAUKEE, WI, 53224-3623 US</v>
    <v>68.22</v>
    <v>Machinery, Equipment &amp; Components</v>
    <v>Stock</v>
    <v>46002.000000022657</v>
    <v>21</v>
    <v>66.594999999999999</v>
    <v>9457031376</v>
    <v>A. O. SMITH CORPORATION</v>
    <v>A. O. SMITH CORPORATION</v>
    <v>66.66</v>
    <v>18.3386</v>
    <v>66.430000000000007</v>
    <v>67.92</v>
    <v>139237800</v>
    <v>AOS</v>
    <v>A. O. SMITH CORPORATION (XNYS:AOS)</v>
    <v>269</v>
    <v>1372874</v>
    <v>1986</v>
  </rv>
  <rv s="2">
    <v>22</v>
  </rv>
  <rv s="0">
    <v>https://www.bing.com/financeapi/forcetrigger?t=a1ntlh&amp;q=XNAS%3aASML&amp;form=skydnc</v>
    <v>Learn more on Bing</v>
  </rv>
  <rv s="1">
    <v>0</v>
    <v>ASML Holding NV (XNAS:ASML)</v>
    <v>2</v>
    <v>3</v>
    <v>Finance</v>
    <v>4</v>
    <v>en-US</v>
    <v>a1ntlh</v>
    <v>268435456</v>
    <v>1</v>
    <v>Powered by Refinitiv</v>
    <v>1141.7190000000001</v>
    <v>578.51</v>
    <v>1.8599000000000001</v>
    <v>7.88</v>
    <v>7.0899999999999999E-3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1123.96</v>
    <v>Semiconductors &amp; Semiconductor Equipment</v>
    <v>Stock</v>
    <v>46002.041149803124</v>
    <v>24</v>
    <v>1098.8800000000001</v>
    <v>430376900000</v>
    <v>ASML Holding NV</v>
    <v>ASML Holding NV</v>
    <v>1109.4000000000001</v>
    <v>39.494900000000001</v>
    <v>1111.44</v>
    <v>1119.32</v>
    <v>388147700</v>
    <v>ASML</v>
    <v>ASML Holding NV (XNAS:ASML)</v>
    <v>14084</v>
    <v>1424594</v>
    <v>1994</v>
  </rv>
  <rv s="2">
    <v>25</v>
  </rv>
  <rv s="0">
    <v>https://www.bing.com/financeapi/forcetrigger?t=a1nz8m&amp;q=XNAS%3aAVGO&amp;form=skydnc</v>
    <v>Learn more on Bing</v>
  </rv>
  <rv s="1">
    <v>0</v>
    <v>BROADCOM INC. (XNAS:AVGO)</v>
    <v>2</v>
    <v>3</v>
    <v>Finance</v>
    <v>4</v>
    <v>en-US</v>
    <v>a1nz8m</v>
    <v>268435456</v>
    <v>1</v>
    <v>Powered by Refinitiv</v>
    <v>414.61</v>
    <v>138.1</v>
    <v>1.2012</v>
    <v>6.68</v>
    <v>1.6440999999999997E-2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414.61</v>
    <v>Semiconductors &amp; Semiconductor Equipment</v>
    <v>Stock</v>
    <v>46002.041644883597</v>
    <v>27</v>
    <v>399.56</v>
    <v>1950195074050</v>
    <v>BROADCOM INC.</v>
    <v>BROADCOM INC.</v>
    <v>402.2</v>
    <v>105.8631</v>
    <v>406.29</v>
    <v>412.97</v>
    <v>4722365000</v>
    <v>AVGO</v>
    <v>BROADCOM INC. (XNAS:AVGO)</v>
    <v>373062</v>
    <v>23172561</v>
    <v>2018</v>
  </rv>
  <rv s="2">
    <v>28</v>
  </rv>
  <rv s="0">
    <v>https://www.bing.com/financeapi/forcetrigger?t=a1o1jc&amp;q=XNYS%3aAWK&amp;form=skydnc</v>
    <v>Learn more on Bing</v>
  </rv>
  <rv s="1">
    <v>0</v>
    <v>AMERICAN WATER WORKS COMPANY, INC. (XNYS:AWK)</v>
    <v>2</v>
    <v>3</v>
    <v>Finance</v>
    <v>4</v>
    <v>en-US</v>
    <v>a1o1jc</v>
    <v>268435456</v>
    <v>1</v>
    <v>Powered by Refinitiv</v>
    <v>155.5</v>
    <v>118.74</v>
    <v>0.75529999999999997</v>
    <v>0.56999999999999995</v>
    <v>4.4479999999999997E-3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129.16999999999999</v>
    <v>Water Utilities</v>
    <v>Stock</v>
    <v>46002.026502858593</v>
    <v>30</v>
    <v>127.51</v>
    <v>25005080000</v>
    <v>AMERICAN WATER WORKS COMPANY, INC.</v>
    <v>AMERICAN WATER WORKS COMPANY, INC.</v>
    <v>128.15</v>
    <v>22.572299999999998</v>
    <v>128.15</v>
    <v>128.72</v>
    <v>195123600</v>
    <v>AWK</v>
    <v>AMERICAN WATER WORKS COMPANY, INC. (XNYS:AWK)</v>
    <v>1134</v>
    <v>2223272</v>
    <v>1936</v>
  </rv>
  <rv s="2">
    <v>31</v>
  </rv>
  <rv s="0">
    <v>https://www.bing.com/financeapi/forcetrigger?t=a1o9gh&amp;q=XNYS%3aBBY&amp;form=skydnc</v>
    <v>Learn more on Bing</v>
  </rv>
  <rv s="1">
    <v>0</v>
    <v>Best Buy Co., Inc. (XNYS:BBY)</v>
    <v>2</v>
    <v>3</v>
    <v>Finance</v>
    <v>4</v>
    <v>en-US</v>
    <v>a1o9gh</v>
    <v>268435456</v>
    <v>1</v>
    <v>Powered by Refinitiv</v>
    <v>91.68</v>
    <v>54.99</v>
    <v>1.421</v>
    <v>0.95</v>
    <v>1.2983E-2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74.33</v>
    <v>Specialty Retailers</v>
    <v>Stock</v>
    <v>46002.039778402344</v>
    <v>33</v>
    <v>72.620099999999994</v>
    <v>15530741612</v>
    <v>Best Buy Co., Inc.</v>
    <v>Best Buy Co., Inc.</v>
    <v>73.099999999999994</v>
    <v>24.458200000000001</v>
    <v>73.17</v>
    <v>74.12</v>
    <v>209535100</v>
    <v>BBY</v>
    <v>Best Buy Co., Inc. (XNYS:BBY)</v>
    <v>671</v>
    <v>4125754</v>
    <v>1966</v>
  </rv>
  <rv s="2">
    <v>34</v>
  </rv>
  <rv s="0">
    <v>https://www.bing.com/financeapi/forcetrigger?t=a1odur&amp;q=XNYS%3aBF.A&amp;form=skydnc</v>
    <v>Learn more on Bing</v>
  </rv>
  <rv s="3">
    <v>6</v>
    <v>BROWN-FORMAN CORPORATION (XNYS:BF.A)</v>
    <v>2</v>
    <v>7</v>
    <v>Finance</v>
    <v>5</v>
    <v>en-US</v>
    <v>a1odur</v>
    <v>268435456</v>
    <v>1</v>
    <v>Powered by Refinitiv</v>
    <v>45.34</v>
    <v>26.11</v>
    <v>0.40620000000000001</v>
    <v>0.43</v>
    <v>1.4541999999999999E-2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30.215</v>
    <v>Beverages</v>
    <v>Stock</v>
    <v>46002.000000034372</v>
    <v>36</v>
    <v>29.594999999999999</v>
    <v>13720670000</v>
    <v>BROWN-FORMAN CORPORATION</v>
    <v>BROWN-FORMAN CORPORATION</v>
    <v>29.6</v>
    <v>29.57</v>
    <v>30</v>
    <v>463209400</v>
    <v>BF.A</v>
    <v>BROWN-FORMAN CORPORATION (XNYS:BF.A)</v>
    <v>428287</v>
    <v>185135</v>
    <v>1933</v>
  </rv>
  <rv s="2">
    <v>37</v>
  </rv>
  <rv s="4">
    <v>12</v>
    <v>P/E</v>
    <v>0</v>
  </rv>
  <rv s="0">
    <v>https://www.bing.com/financeapi/forcetrigger?t=a1om4c&amp;q=XNYS%3aBLK&amp;form=skydnc</v>
    <v>Learn more on Bing</v>
  </rv>
  <rv s="1">
    <v>0</v>
    <v>BLACKROCK, INC. (XNYS:BLK)</v>
    <v>2</v>
    <v>3</v>
    <v>Finance</v>
    <v>4</v>
    <v>en-US</v>
    <v>a1om4c</v>
    <v>268435456</v>
    <v>1</v>
    <v>Powered by Refinitiv</v>
    <v>1219.9399000000001</v>
    <v>773.74009999999998</v>
    <v>1.4851000000000001</v>
    <v>12.88</v>
    <v>1.2022999999999999E-2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1089.77</v>
    <v>Investment Banking &amp; Investment Services</v>
    <v>Stock</v>
    <v>46002.037972522659</v>
    <v>40</v>
    <v>1071.52</v>
    <v>168213054271</v>
    <v>BLACKROCK, INC.</v>
    <v>BLACKROCK, INC.</v>
    <v>1077.24</v>
    <v>28.154</v>
    <v>1071.31</v>
    <v>1084.19</v>
    <v>155150900</v>
    <v>BLK</v>
    <v>BLACKROCK, INC. (XNYS:BLK)</v>
    <v>401</v>
    <v>619632</v>
    <v>2024</v>
  </rv>
  <rv s="2">
    <v>41</v>
  </rv>
  <rv s="0">
    <v>https://www.bing.com/financeapi/forcetrigger?t=a1ook2&amp;q=XNYS%3aBMY&amp;form=skydnc</v>
    <v>Learn more on Bing</v>
  </rv>
  <rv s="1">
    <v>0</v>
    <v>BRISTOL-MYERS SQUIBB COMPANY (XNYS:BMY)</v>
    <v>2</v>
    <v>3</v>
    <v>Finance</v>
    <v>4</v>
    <v>en-US</v>
    <v>a1ook2</v>
    <v>268435456</v>
    <v>1</v>
    <v>Powered by Refinitiv</v>
    <v>63.33</v>
    <v>42.52</v>
    <v>0.30280000000000001</v>
    <v>0.56000000000000005</v>
    <v>1.1056E-2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51.61</v>
    <v>Pharmaceuticals</v>
    <v>Stock</v>
    <v>46002.032006365625</v>
    <v>43</v>
    <v>50.33</v>
    <v>104250911130</v>
    <v>BRISTOL-MYERS SQUIBB COMPANY</v>
    <v>BRISTOL-MYERS SQUIBB COMPANY</v>
    <v>50.79</v>
    <v>17.327200000000001</v>
    <v>50.65</v>
    <v>51.21</v>
    <v>2035753000</v>
    <v>BMY</v>
    <v>BRISTOL-MYERS SQUIBB COMPANY (XNYS:BMY)</v>
    <v>5403</v>
    <v>14507221</v>
    <v>1933</v>
  </rv>
  <rv s="2">
    <v>44</v>
  </rv>
  <rv s="0">
    <v>https://www.bing.com/financeapi/forcetrigger?t=a1p7zr&amp;q=XNYS%3aCAT&amp;form=skydnc</v>
    <v>Learn more on Bing</v>
  </rv>
  <rv s="1">
    <v>0</v>
    <v>CATERPILLAR INC. (XNYS:CAT)</v>
    <v>2</v>
    <v>3</v>
    <v>Finance</v>
    <v>4</v>
    <v>en-US</v>
    <v>a1p7zr</v>
    <v>268435456</v>
    <v>1</v>
    <v>Powered by Refinitiv</v>
    <v>617.23</v>
    <v>267.3</v>
    <v>1.5633999999999999</v>
    <v>20.99</v>
    <v>3.5314999999999999E-2</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617.23</v>
    <v>Machinery, Equipment &amp; Components</v>
    <v>Stock</v>
    <v>46002.041068367966</v>
    <v>46</v>
    <v>598.69000000000005</v>
    <v>287971246860</v>
    <v>CATERPILLAR INC.</v>
    <v>CATERPILLAR INC.</v>
    <v>600.13</v>
    <v>31.573499999999999</v>
    <v>594.36</v>
    <v>615.35</v>
    <v>467979600</v>
    <v>CAT</v>
    <v>CATERPILLAR INC. (XNYS:CAT)</v>
    <v>4418</v>
    <v>2401667</v>
    <v>1986</v>
  </rv>
  <rv s="2">
    <v>47</v>
  </rv>
  <rv s="0">
    <v>https://www.bing.com/financeapi/forcetrigger?t=a1pcf2&amp;q=XNYS%3aCCI&amp;form=skydnc</v>
    <v>Learn more on Bing</v>
  </rv>
  <rv s="3">
    <v>6</v>
    <v>CROWN CASTLE INC. (XNYS:CCI)</v>
    <v>2</v>
    <v>7</v>
    <v>Finance</v>
    <v>4</v>
    <v>en-US</v>
    <v>a1pcf2</v>
    <v>268435456</v>
    <v>1</v>
    <v>Powered by Refinitiv</v>
    <v>115.76</v>
    <v>84.2</v>
    <v>0.97409999999999997</v>
    <v>0.44</v>
    <v>4.8780000000000004E-3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92.18</v>
    <v>Residential &amp; Commercial REIT</v>
    <v>Stock</v>
    <v>46001.933709964847</v>
    <v>49</v>
    <v>90.14</v>
    <v>39471816560</v>
    <v>CROWN CASTLE INC.</v>
    <v>CROWN CASTLE INC.</v>
    <v>90.18</v>
    <v>90.2</v>
    <v>90.64</v>
    <v>435479000</v>
    <v>CCI</v>
    <v>CROWN CASTLE INC. (XNYS:CCI)</v>
    <v>412</v>
    <v>2807488</v>
    <v>2014</v>
  </rv>
  <rv s="2">
    <v>50</v>
  </rv>
  <rv s="0">
    <v>https://www.bing.com/financeapi/forcetrigger?t=a1pshw&amp;q=XNYS%3aCL&amp;form=skydnc</v>
    <v>Learn more on Bing</v>
  </rv>
  <rv s="1">
    <v>0</v>
    <v>COLGATE-PALMOLIVE COMPANY (XNYS:CL)</v>
    <v>2</v>
    <v>3</v>
    <v>Finance</v>
    <v>4</v>
    <v>en-US</v>
    <v>a1pshw</v>
    <v>268435456</v>
    <v>1</v>
    <v>Powered by Refinitiv</v>
    <v>100.18</v>
    <v>74.545000000000002</v>
    <v>0.29849999999999999</v>
    <v>0.77</v>
    <v>1.0003E-2</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78.290000000000006</v>
    <v>Personal &amp; Household Products &amp; Services</v>
    <v>Stock</v>
    <v>46002.005991296093</v>
    <v>52</v>
    <v>76.78</v>
    <v>62671545975</v>
    <v>COLGATE-PALMOLIVE COMPANY</v>
    <v>COLGATE-PALMOLIVE COMPANY</v>
    <v>77.209999999999994</v>
    <v>21.791499999999999</v>
    <v>76.98</v>
    <v>77.75</v>
    <v>806064900</v>
    <v>CL</v>
    <v>COLGATE-PALMOLIVE COMPANY (XNYS:CL)</v>
    <v>7632</v>
    <v>6453409</v>
    <v>1923</v>
  </rv>
  <rv s="2">
    <v>53</v>
  </rv>
  <rv s="0">
    <v>https://www.bing.com/financeapi/forcetrigger?t=a1pvu2&amp;q=XNYS%3aCLX&amp;form=skydnc</v>
    <v>Learn more on Bing</v>
  </rv>
  <rv s="1">
    <v>0</v>
    <v>THE CLOROX COMPANY (XNYS:CLX)</v>
    <v>2</v>
    <v>3</v>
    <v>Finance</v>
    <v>5</v>
    <v>en-US</v>
    <v>a1pvu2</v>
    <v>268435456</v>
    <v>1</v>
    <v>Powered by Refinitiv</v>
    <v>169.15</v>
    <v>98.2</v>
    <v>0.57189999999999996</v>
    <v>1.1000000000000001</v>
    <v>1.0846E-2</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103.1</v>
    <v>Personal &amp; Household Products &amp; Services</v>
    <v>Stock</v>
    <v>46002.041133946092</v>
    <v>55</v>
    <v>101.345</v>
    <v>12505430608</v>
    <v>THE CLOROX COMPANY</v>
    <v>THE CLOROX COMPANY</v>
    <v>101.68</v>
    <v>16.067299999999999</v>
    <v>101.42</v>
    <v>102.52</v>
    <v>121980400</v>
    <v>CLX</v>
    <v>THE CLOROX COMPANY (XNYS:CLX)</v>
    <v>1082</v>
    <v>2246756</v>
    <v>1986</v>
  </rv>
  <rv s="2">
    <v>56</v>
  </rv>
  <rv s="0">
    <v>https://www.bing.com/financeapi/forcetrigger?t=a1pwqh&amp;q=XNAS%3aCMCSA&amp;form=skydnc</v>
    <v>Learn more on Bing</v>
  </rv>
  <rv s="1">
    <v>0</v>
    <v>COMCAST CORPORATION (XNAS:CMCSA)</v>
    <v>2</v>
    <v>3</v>
    <v>Finance</v>
    <v>4</v>
    <v>en-US</v>
    <v>a1pwqh</v>
    <v>268435456</v>
    <v>1</v>
    <v>Powered by Refinitiv</v>
    <v>40.369999999999997</v>
    <v>25.75</v>
    <v>0.81910000000000005</v>
    <v>0.79</v>
    <v>2.9489000000000001E-2</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It operates through two primary businesses: Connectivity &amp; Platforms and Content &amp; Experiences. Connectivity &amp; Platforms includes its broadband, wireless, video and wireline voice businesses in the United States, United Kingdom and Italy. It also includes the operations of its Sky-branded entertainment television networks in the United Kingdom and Italy. Content &amp; Experiences includes its media and entertainment businesses that produce and distribute entertainment, sports, news and other content for global audiences and that own and operate theme parks and attractions in the United States and Asia.</v>
    <v>182000</v>
    <v>Nasdaq Stock Market</v>
    <v>XNAS</v>
    <v>XNAS</v>
    <v>One Comcast Center, PHILADELPHIA, PA, 19103-2838 US</v>
    <v>27.7</v>
    <v>Telecommunications Services</v>
    <v>Stock</v>
    <v>46002.040745207814</v>
    <v>58</v>
    <v>26.77</v>
    <v>100498624100</v>
    <v>COMCAST CORPORATION</v>
    <v>COMCAST CORPORATION</v>
    <v>26.88</v>
    <v>4.5792000000000002</v>
    <v>26.79</v>
    <v>27.58</v>
    <v>3643895000</v>
    <v>CMCSA</v>
    <v>COMCAST CORPORATION (XNAS:CMCSA)</v>
    <v>36758</v>
    <v>34940738</v>
    <v>2001</v>
  </rv>
  <rv s="2">
    <v>59</v>
  </rv>
  <rv s="0">
    <v>https://www.bing.com/financeapi/forcetrigger?t=a1q19c&amp;q=XNYS%3aCNI&amp;form=skydnc</v>
    <v>Learn more on Bing</v>
  </rv>
  <rv s="1">
    <v>0</v>
    <v>Canadian National Railway Company (XNYS:CNI)</v>
    <v>2</v>
    <v>8</v>
    <v>Finance</v>
    <v>5</v>
    <v>en-US</v>
    <v>a1q19c</v>
    <v>268435456</v>
    <v>1</v>
    <v>Powered by Refinitiv</v>
    <v>108.745</v>
    <v>90.74</v>
    <v>0.88870000000000005</v>
    <v>0.56999999999999995</v>
    <v>5.8340000000000006E-3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24237</v>
    <v>New York Stock Exchange</v>
    <v>XNYS</v>
    <v>XNYS</v>
    <v>935 de la Gauchetiere Street West, MONTREAL, QC, H3B 2M9 CA</v>
    <v>98.58</v>
    <v>Freight &amp; Logistics Services</v>
    <v>Stock</v>
    <v>46001.952705103904</v>
    <v>61</v>
    <v>96.83</v>
    <v>83461430000</v>
    <v>Canadian National Railway Company</v>
    <v>Canadian National Railway Company</v>
    <v>97.635000000000005</v>
    <v>18.581099999999999</v>
    <v>97.71</v>
    <v>98.28</v>
    <v>616497500</v>
    <v>CNI</v>
    <v>Canadian National Railway Company (XNYS:CNI)</v>
    <v>161</v>
    <v>1526927</v>
    <v>1995</v>
  </rv>
  <rv s="2">
    <v>62</v>
  </rv>
  <rv s="0">
    <v>https://www.bing.com/financeapi/forcetrigger?t=a1q6k2&amp;q=XNAS%3aCOST&amp;form=skydnc</v>
    <v>Learn more on Bing</v>
  </rv>
  <rv s="1">
    <v>0</v>
    <v>COSTCO WHOLESALE CORPORATION (XNAS:COST)</v>
    <v>2</v>
    <v>3</v>
    <v>Finance</v>
    <v>4</v>
    <v>en-US</v>
    <v>a1q6k2</v>
    <v>268435456</v>
    <v>1</v>
    <v>Powered by Refinitiv</v>
    <v>1078.2349999999999</v>
    <v>871.09</v>
    <v>1.0106999999999999</v>
    <v>-14.03</v>
    <v>-1.5792E-2</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889.58</v>
    <v>Diversified Retail</v>
    <v>Stock</v>
    <v>46002.041634178124</v>
    <v>64</v>
    <v>871.09</v>
    <v>388201052457</v>
    <v>COSTCO WHOLESALE CORPORATION</v>
    <v>COSTCO WHOLESALE CORPORATION</v>
    <v>887.82</v>
    <v>48.023200000000003</v>
    <v>888.44</v>
    <v>874.41</v>
    <v>443957700</v>
    <v>COST</v>
    <v>COSTCO WHOLESALE CORPORATION (XNAS:COST)</v>
    <v>10365</v>
    <v>2508964</v>
    <v>1987</v>
  </rv>
  <rv s="2">
    <v>65</v>
  </rv>
  <rv s="0">
    <v>https://www.bing.com/financeapi/forcetrigger?t=a1q7jc&amp;q=XNYS%3aCPB&amp;form=skydnc</v>
    <v>Learn more on Bing</v>
  </rv>
  <rv s="1">
    <v>0</v>
    <v>THE CAMPBELL'S COMPANY (XNAS:CPB)</v>
    <v>2</v>
    <v>3</v>
    <v>Finance</v>
    <v>4</v>
    <v>en-US</v>
    <v>a1q7jc</v>
    <v>268435456</v>
    <v>1</v>
    <v>Powered by Refinitiv</v>
    <v>43.85</v>
    <v>27.85</v>
    <v>-4.7699999999999999E-2</v>
    <v>-0.28999999999999998</v>
    <v>-1.0185999999999999E-2</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28.58</v>
    <v>Food &amp; Tobacco</v>
    <v>Stock</v>
    <v>46002.041334282032</v>
    <v>67</v>
    <v>27.85</v>
    <v>8389273358</v>
    <v>THE CAMPBELL'S COMPANY</v>
    <v>THE CAMPBELL'S COMPANY</v>
    <v>28.5</v>
    <v>14.5916</v>
    <v>28.47</v>
    <v>28.18</v>
    <v>298134200</v>
    <v>CPB</v>
    <v>THE CAMPBELL'S COMPANY (XNAS:CPB)</v>
    <v>13074</v>
    <v>6865838</v>
    <v>1922</v>
  </rv>
  <rv s="2">
    <v>68</v>
  </rv>
  <rv s="0">
    <v>https://www.bing.com/financeapi/forcetrigger?t=a1qlnm&amp;q=XNYS%3aCVS&amp;form=skydnc</v>
    <v>Learn more on Bing</v>
  </rv>
  <rv s="1">
    <v>0</v>
    <v>CVS HEALTH CORPORATION (XNYS:CVS)</v>
    <v>2</v>
    <v>3</v>
    <v>Finance</v>
    <v>4</v>
    <v>en-US</v>
    <v>a1qlnm</v>
    <v>268435456</v>
    <v>1</v>
    <v>Powered by Refinitiv</v>
    <v>85.15</v>
    <v>43.56</v>
    <v>0.48359999999999997</v>
    <v>0.73</v>
    <v>9.3299999999999998E-3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79.69</v>
    <v>Healthcare Providers &amp; Services</v>
    <v>Stock</v>
    <v>46002.03675015</v>
    <v>70</v>
    <v>78.150000000000006</v>
    <v>99320400000</v>
    <v>CVS HEALTH CORPORATION</v>
    <v>CVS HEALTH CORPORATION</v>
    <v>78.989999999999995</v>
    <v>206.90110000000001</v>
    <v>78.239999999999995</v>
    <v>78.97</v>
    <v>1269432000</v>
    <v>CVS</v>
    <v>CVS HEALTH CORPORATION (XNYS:CVS)</v>
    <v>4615</v>
    <v>7398482</v>
    <v>1996</v>
  </rv>
  <rv s="2">
    <v>71</v>
  </rv>
  <rv s="0">
    <v>https://www.bing.com/financeapi/forcetrigger?t=a1qlz2&amp;q=XNYS%3aCVX&amp;form=skydnc</v>
    <v>Learn more on Bing</v>
  </rv>
  <rv s="1">
    <v>0</v>
    <v>CHEVRON CORPORATION (XNYS:CVX)</v>
    <v>2</v>
    <v>3</v>
    <v>Finance</v>
    <v>4</v>
    <v>en-US</v>
    <v>a1qlz2</v>
    <v>268435456</v>
    <v>1</v>
    <v>Powered by Refinitiv</v>
    <v>168.96</v>
    <v>132.04</v>
    <v>0.68769999999999998</v>
    <v>2.91</v>
    <v>1.9597E-2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151.80000000000001</v>
    <v>Oil &amp; Gas</v>
    <v>Stock</v>
    <v>46002.041522430467</v>
    <v>73</v>
    <v>148.69999999999999</v>
    <v>304847230800</v>
    <v>CHEVRON CORPORATION</v>
    <v>CHEVRON CORPORATION</v>
    <v>149.17500000000001</v>
    <v>21.379799999999999</v>
    <v>148.49</v>
    <v>151.4</v>
    <v>2013522000</v>
    <v>CVX</v>
    <v>CHEVRON CORPORATION (XNYS:CVX)</v>
    <v>8758</v>
    <v>8867460</v>
    <v>1926</v>
  </rv>
  <rv s="2">
    <v>74</v>
  </rv>
  <rv s="0">
    <v>https://www.bing.com/financeapi/forcetrigger?t=a1qpw7&amp;q=XNYS%3aD&amp;form=skydnc</v>
    <v>Learn more on Bing</v>
  </rv>
  <rv s="1">
    <v>0</v>
    <v>Dominion Energy, Inc. (XNYS:D)</v>
    <v>2</v>
    <v>3</v>
    <v>Finance</v>
    <v>4</v>
    <v>en-US</v>
    <v>a1qpw7</v>
    <v>268435456</v>
    <v>1</v>
    <v>Powered by Refinitiv</v>
    <v>62.87</v>
    <v>48.07</v>
    <v>0.69689999999999996</v>
    <v>-0.4</v>
    <v>-6.842E-3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58.44</v>
    <v>Electrical Utilities &amp; IPPs</v>
    <v>Stock</v>
    <v>46002.030574664066</v>
    <v>76</v>
    <v>57.61</v>
    <v>49578206198</v>
    <v>Dominion Energy, Inc.</v>
    <v>Dominion Energy, Inc.</v>
    <v>58.4</v>
    <v>21.7944</v>
    <v>58.46</v>
    <v>58.06</v>
    <v>853913300</v>
    <v>D</v>
    <v>Dominion Energy, Inc. (XNYS:D)</v>
    <v>7195</v>
    <v>5569347</v>
    <v>1983</v>
  </rv>
  <rv s="2">
    <v>77</v>
  </rv>
  <rv s="0">
    <v>https://www.bing.com/financeapi/forcetrigger?t=a1qvjc&amp;q=XNYS%3aDE&amp;form=skydnc</v>
    <v>Learn more on Bing</v>
  </rv>
  <rv s="1">
    <v>0</v>
    <v>DEERE &amp; COMPANY (XNYS:DE)</v>
    <v>2</v>
    <v>3</v>
    <v>Finance</v>
    <v>4</v>
    <v>en-US</v>
    <v>a1qvjc</v>
    <v>268435456</v>
    <v>1</v>
    <v>Powered by Refinitiv</v>
    <v>533.78</v>
    <v>403.01</v>
    <v>1.0092000000000001</v>
    <v>6.04</v>
    <v>1.3049E-2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75800</v>
    <v>New York Stock Exchange</v>
    <v>XNYS</v>
    <v>XNYS</v>
    <v>One John Deere Place, MOLINE, IL, 61265 US</v>
    <v>469.97</v>
    <v>Machinery, Equipment &amp; Components</v>
    <v>Stock</v>
    <v>46002.040901932814</v>
    <v>79</v>
    <v>455.90499999999997</v>
    <v>126757455660</v>
    <v>DEERE &amp; COMPANY</v>
    <v>DEERE &amp; COMPANY</v>
    <v>462.65</v>
    <v>25.3371</v>
    <v>462.86</v>
    <v>468.9</v>
    <v>270329400</v>
    <v>DE</v>
    <v>DEERE &amp; COMPANY (XNYS:DE)</v>
    <v>596</v>
    <v>1584138</v>
    <v>1958</v>
  </rv>
  <rv s="2">
    <v>80</v>
  </rv>
  <rv s="0">
    <v>https://www.bing.com/financeapi/forcetrigger?t=a1qwoc&amp;q=XNYS%3aDEO&amp;form=skydnc</v>
    <v>Learn more on Bing</v>
  </rv>
  <rv s="1">
    <v>0</v>
    <v>DIAGEO PLC (XNYS:DEO)</v>
    <v>2</v>
    <v>3</v>
    <v>Finance</v>
    <v>4</v>
    <v>en-US</v>
    <v>a1qwoc</v>
    <v>268435456</v>
    <v>1</v>
    <v>Powered by Refinitiv</v>
    <v>132.34</v>
    <v>85.134</v>
    <v>0.45019999999999999</v>
    <v>0.67</v>
    <v>7.8449999999999995E-3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86.18</v>
    <v>Beverages</v>
    <v>Stock</v>
    <v>46002.031286122656</v>
    <v>82</v>
    <v>85.134</v>
    <v>47512730000</v>
    <v>DIAGEO PLC</v>
    <v>DIAGEO PLC</v>
    <v>85.38</v>
    <v>20.3658</v>
    <v>85.4</v>
    <v>86.07</v>
    <v>556603100</v>
    <v>DEO</v>
    <v>DIAGEO PLC (XNYS:DEO)</v>
    <v>33511</v>
    <v>1757586</v>
    <v>1886</v>
  </rv>
  <rv s="2">
    <v>83</v>
  </rv>
  <rv s="0">
    <v>https://www.bing.com/financeapi/forcetrigger?t=bpifbh&amp;q=XNYS%3aDOW&amp;form=skydnc</v>
    <v>Learn more on Bing</v>
  </rv>
  <rv s="1">
    <v>0</v>
    <v>Dow Inc. (XNYS:DOW)</v>
    <v>2</v>
    <v>3</v>
    <v>Finance</v>
    <v>4</v>
    <v>en-US</v>
    <v>bpifbh</v>
    <v>268435456</v>
    <v>1</v>
    <v>Powered by Refinitiv</v>
    <v>42.225000000000001</v>
    <v>20.401900000000001</v>
    <v>0.77300000000000002</v>
    <v>1.4750000000000001</v>
    <v>6.3825000000000007E-2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36000</v>
    <v>New York Stock Exchange</v>
    <v>XNYS</v>
    <v>XNYS</v>
    <v>2211 H.H. Dow Way, MIDLAND, MI, 48674 US</v>
    <v>24.7</v>
    <v>Chemicals</v>
    <v>Stock</v>
    <v>46002.041329316409</v>
    <v>85</v>
    <v>23.175000000000001</v>
    <v>17474216529</v>
    <v>Dow Inc.</v>
    <v>Dow Inc.</v>
    <v>23.19</v>
    <v>0</v>
    <v>23.11</v>
    <v>24.585000000000001</v>
    <v>710767400</v>
    <v>DOW</v>
    <v>Dow Inc. (XNYS:DOW)</v>
    <v>15554</v>
    <v>12449433</v>
    <v>2018</v>
  </rv>
  <rv s="2">
    <v>86</v>
  </rv>
  <rv s="0">
    <v>https://www.bing.com/financeapi/forcetrigger?t=a1rdzr&amp;q=XNYS%3aDUK&amp;form=skydnc</v>
    <v>Learn more on Bing</v>
  </rv>
  <rv s="1">
    <v>0</v>
    <v>DUKE ENERGY CORPORATION (XNYS:DUK)</v>
    <v>2</v>
    <v>3</v>
    <v>Finance</v>
    <v>4</v>
    <v>en-US</v>
    <v>a1rdzr</v>
    <v>268435456</v>
    <v>1</v>
    <v>Powered by Refinitiv</v>
    <v>130.03</v>
    <v>105.2</v>
    <v>0.48859999999999998</v>
    <v>-1.24</v>
    <v>-1.076E-2</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115.4</v>
    <v>Electrical Utilities &amp; IPPs</v>
    <v>Stock</v>
    <v>46002.041282210157</v>
    <v>88</v>
    <v>113.895</v>
    <v>88653376800</v>
    <v>DUKE ENERGY CORPORATION</v>
    <v>DUKE ENERGY CORPORATION</v>
    <v>115.28</v>
    <v>17.911000000000001</v>
    <v>115.24</v>
    <v>114</v>
    <v>777661200</v>
    <v>DUK</v>
    <v>DUKE ENERGY CORPORATION (XNYS:DUK)</v>
    <v>3415</v>
    <v>3627176</v>
    <v>2005</v>
  </rv>
  <rv s="2">
    <v>89</v>
  </rv>
  <rv s="0">
    <v>https://www.bing.com/financeapi/forcetrigger?t=a1rmkr&amp;q=XNYS%3aED&amp;form=skydnc</v>
    <v>Learn more on Bing</v>
  </rv>
  <rv s="1">
    <v>0</v>
    <v>CONSOLIDATED EDISON, INC. (XNYS:ED)</v>
    <v>2</v>
    <v>3</v>
    <v>Finance</v>
    <v>4</v>
    <v>en-US</v>
    <v>a1rmkr</v>
    <v>268435456</v>
    <v>1</v>
    <v>Powered by Refinitiv</v>
    <v>114.87</v>
    <v>87.28</v>
    <v>0.38069999999999998</v>
    <v>-0.41</v>
    <v>-4.2789999999999998E-3</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96.16</v>
    <v>Electrical Utilities &amp; IPPs</v>
    <v>Stock</v>
    <v>46002.020939305468</v>
    <v>91</v>
    <v>95.19</v>
    <v>34436865596</v>
    <v>CONSOLIDATED EDISON, INC.</v>
    <v>CONSOLIDATED EDISON, INC.</v>
    <v>95.64</v>
    <v>16.666499999999999</v>
    <v>95.82</v>
    <v>95.41</v>
    <v>360935600</v>
    <v>ED</v>
    <v>CONSOLIDATED EDISON, INC. (XNYS:ED)</v>
    <v>82</v>
    <v>2525422</v>
    <v>1997</v>
  </rv>
  <rv s="2">
    <v>92</v>
  </rv>
  <rv s="0">
    <v>https://www.bing.com/financeapi/forcetrigger?t=a1rxu2&amp;q=XNYS%3aEMN&amp;form=skydnc</v>
    <v>Learn more on Bing</v>
  </rv>
  <rv s="1">
    <v>0</v>
    <v>EASTMAN CHEMICAL COMPANY (XNYS:EMN)</v>
    <v>2</v>
    <v>3</v>
    <v>Finance</v>
    <v>5</v>
    <v>en-US</v>
    <v>a1rxu2</v>
    <v>268435456</v>
    <v>1</v>
    <v>Powered by Refinitiv</v>
    <v>103.82</v>
    <v>56.11</v>
    <v>1.2436</v>
    <v>3.76</v>
    <v>6.1428000000000003E-2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65.08</v>
    <v>Chemicals</v>
    <v>Stock</v>
    <v>46002.038733517969</v>
    <v>94</v>
    <v>61.0901</v>
    <v>7411114906</v>
    <v>EASTMAN CHEMICAL COMPANY</v>
    <v>EASTMAN CHEMICAL COMPANY</v>
    <v>61.25</v>
    <v>10.822900000000001</v>
    <v>61.21</v>
    <v>64.97</v>
    <v>114069800</v>
    <v>EMN</v>
    <v>EASTMAN CHEMICAL COMPANY (XNYS:EMN)</v>
    <v>1636</v>
    <v>1776292</v>
    <v>1993</v>
  </rv>
  <rv s="2">
    <v>95</v>
  </rv>
  <rv s="0">
    <v>https://www.bing.com/financeapi/forcetrigger?t=a1s24c&amp;q=XNYS%3aEOG&amp;form=skydnc</v>
    <v>Learn more on Bing</v>
  </rv>
  <rv s="1">
    <v>0</v>
    <v>EOG RESOURCES, INC. (XNYS:EOG)</v>
    <v>2</v>
    <v>3</v>
    <v>Finance</v>
    <v>4</v>
    <v>en-US</v>
    <v>a1s24c</v>
    <v>268435456</v>
    <v>1</v>
    <v>Powered by Refinitiv</v>
    <v>138.18</v>
    <v>102.52</v>
    <v>0.48449999999999999</v>
    <v>2.04</v>
    <v>1.8648999999999999E-2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111.58</v>
    <v>Oil &amp; Gas</v>
    <v>Stock</v>
    <v>46002.04135041641</v>
    <v>97</v>
    <v>107.595</v>
    <v>60461739712</v>
    <v>EOG RESOURCES, INC.</v>
    <v>EOG RESOURCES, INC.</v>
    <v>109.32</v>
    <v>11.0777</v>
    <v>109.39</v>
    <v>111.43</v>
    <v>542598400</v>
    <v>EOG</v>
    <v>EOG RESOURCES, INC. (XNYS:EOG)</v>
    <v>148</v>
    <v>3848818</v>
    <v>1985</v>
  </rv>
  <rv s="2">
    <v>98</v>
  </rv>
  <rv s="0">
    <v>https://www.bing.com/financeapi/forcetrigger?t=a1sl52&amp;q=XNAS%3aFAST&amp;form=skydnc</v>
    <v>Learn more on Bing</v>
  </rv>
  <rv s="1">
    <v>0</v>
    <v>Fastenal Company (XNAS:FAST)</v>
    <v>2</v>
    <v>3</v>
    <v>Finance</v>
    <v>4</v>
    <v>en-US</v>
    <v>a1sl52</v>
    <v>268435456</v>
    <v>1</v>
    <v>Powered by Refinitiv</v>
    <v>50.63</v>
    <v>35.305</v>
    <v>0.89600000000000002</v>
    <v>0.59</v>
    <v>1.4625999999999998E-2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21568</v>
    <v>Nasdaq Stock Market</v>
    <v>XNAS</v>
    <v>XNAS</v>
    <v>2001 Theurer Blvd, WINONA, MN, 55987 US</v>
    <v>41.05</v>
    <v>Machinery, Equipment &amp; Components</v>
    <v>Stock</v>
    <v>46002.002503517971</v>
    <v>100</v>
    <v>40.04</v>
    <v>46989113480</v>
    <v>Fastenal Company</v>
    <v>Fastenal Company</v>
    <v>40.18</v>
    <v>38.3782</v>
    <v>40.340000000000003</v>
    <v>40.93</v>
    <v>1148036000</v>
    <v>FAST</v>
    <v>Fastenal Company (XNAS:FAST)</v>
    <v>439</v>
    <v>6740791</v>
    <v>1968</v>
  </rv>
  <rv s="2">
    <v>101</v>
  </rv>
  <rv s="0">
    <v>https://www.bing.com/financeapi/forcetrigger?t=a1sqr7&amp;q=XNYS%3aFDX&amp;form=skydnc</v>
    <v>Learn more on Bing</v>
  </rv>
  <rv s="1">
    <v>0</v>
    <v>FEDEX CORPORATION (XNYS:FDX)</v>
    <v>2</v>
    <v>3</v>
    <v>Finance</v>
    <v>4</v>
    <v>en-US</v>
    <v>a1sqr7</v>
    <v>268435456</v>
    <v>1</v>
    <v>Powered by Refinitiv</v>
    <v>295.24400000000003</v>
    <v>194.29499999999999</v>
    <v>1.3605</v>
    <v>9.18</v>
    <v>3.3366E-2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285.49</v>
    <v>Freight &amp; Logistics Services</v>
    <v>Stock</v>
    <v>46002.039619501564</v>
    <v>103</v>
    <v>275.30009999999999</v>
    <v>67084508205</v>
    <v>FEDEX CORPORATION</v>
    <v>FEDEX CORPORATION</v>
    <v>275.52</v>
    <v>16.629200000000001</v>
    <v>275.13</v>
    <v>284.31</v>
    <v>235955500</v>
    <v>FDX</v>
    <v>FEDEX CORPORATION (XNYS:FDX)</v>
    <v>1694</v>
    <v>1569023</v>
    <v>1997</v>
  </rv>
  <rv s="2">
    <v>104</v>
  </rv>
  <rv s="0">
    <v>https://www.bing.com/financeapi/forcetrigger?t=a1t227&amp;q=XNYS%3aFLO&amp;form=skydnc</v>
    <v>Learn more on Bing</v>
  </rv>
  <rv s="1">
    <v>0</v>
    <v>FLOWERS FOODS, INC. (XNYS:FLO)</v>
    <v>2</v>
    <v>3</v>
    <v>Finance</v>
    <v>5</v>
    <v>en-US</v>
    <v>a1t227</v>
    <v>268435456</v>
    <v>1</v>
    <v>Powered by Refinitiv</v>
    <v>21.87</v>
    <v>10.34</v>
    <v>0.31319999999999998</v>
    <v>0.22</v>
    <v>2.0774000000000001E-2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10.81</v>
    <v>Food &amp; Tobacco</v>
    <v>Stock</v>
    <v>46002.019708460153</v>
    <v>106</v>
    <v>10.5101</v>
    <v>2282836342</v>
    <v>FLOWERS FOODS, INC.</v>
    <v>FLOWERS FOODS, INC.</v>
    <v>10.56</v>
    <v>11.811500000000001</v>
    <v>10.59</v>
    <v>10.81</v>
    <v>211178200</v>
    <v>FLO</v>
    <v>FLOWERS FOODS, INC. (XNYS:FLO)</v>
    <v>2780</v>
    <v>4704023</v>
    <v>2000</v>
  </rv>
  <rv s="2">
    <v>107</v>
  </rv>
  <rv s="0">
    <v>https://www.bing.com/financeapi/forcetrigger?t=a1tppr&amp;q=XNYS%3aGD&amp;form=skydnc</v>
    <v>Learn more on Bing</v>
  </rv>
  <rv s="1">
    <v>0</v>
    <v>GENERAL DYNAMICS CORPORATION (XNYS:GD)</v>
    <v>2</v>
    <v>3</v>
    <v>Finance</v>
    <v>4</v>
    <v>en-US</v>
    <v>a1tppr</v>
    <v>268435456</v>
    <v>1</v>
    <v>Powered by Refinitiv</v>
    <v>360.5</v>
    <v>239.2</v>
    <v>0.41239999999999999</v>
    <v>7.96</v>
    <v>2.3813000000000001E-2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344.94</v>
    <v>Aerospace &amp; Defense</v>
    <v>Stock</v>
    <v>46002.037677892971</v>
    <v>109</v>
    <v>333.5265</v>
    <v>92443338715</v>
    <v>GENERAL DYNAMICS CORPORATION</v>
    <v>GENERAL DYNAMICS CORPORATION</v>
    <v>333.74</v>
    <v>22.1877</v>
    <v>334.27</v>
    <v>342.23</v>
    <v>270120500</v>
    <v>GD</v>
    <v>GENERAL DYNAMICS CORPORATION (XNYS:GD)</v>
    <v>344</v>
    <v>1098273</v>
    <v>1952</v>
  </rv>
  <rv s="2">
    <v>110</v>
  </rv>
  <rv s="0">
    <v>https://www.bing.com/financeapi/forcetrigger?t=a1tvzr&amp;q=XNYS%3aGIS&amp;form=skydnc</v>
    <v>Learn more on Bing</v>
  </rv>
  <rv s="1">
    <v>0</v>
    <v>GENERAL MILLS, INC. (XNYS:GIS)</v>
    <v>2</v>
    <v>3</v>
    <v>Finance</v>
    <v>4</v>
    <v>en-US</v>
    <v>a1tvzr</v>
    <v>268435456</v>
    <v>1</v>
    <v>Powered by Refinitiv</v>
    <v>67.349999999999994</v>
    <v>45.15</v>
    <v>-6.8000000000000005E-2</v>
    <v>7.0000000000000007E-2</v>
    <v>1.534E-3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46.104999999999997</v>
    <v>Food &amp; Tobacco</v>
    <v>Stock</v>
    <v>46002.034274976562</v>
    <v>112</v>
    <v>45.54</v>
    <v>24382463644</v>
    <v>GENERAL MILLS, INC.</v>
    <v>GENERAL MILLS, INC.</v>
    <v>45.71</v>
    <v>8.6229999999999993</v>
    <v>45.64</v>
    <v>45.71</v>
    <v>533416400</v>
    <v>GIS</v>
    <v>GENERAL MILLS, INC. (XNYS:GIS)</v>
    <v>2053</v>
    <v>5962381</v>
    <v>1928</v>
  </rv>
  <rv s="2">
    <v>113</v>
  </rv>
  <rv s="0">
    <v>https://www.bing.com/financeapi/forcetrigger?t=a1u3rw&amp;q=XNAS%3aGOOGL&amp;form=skydnc</v>
    <v>Learn more on Bing</v>
  </rv>
  <rv s="1">
    <v>0</v>
    <v>ALPHABET INC. (XNAS:GOOGL)</v>
    <v>2</v>
    <v>3</v>
    <v>Finance</v>
    <v>4</v>
    <v>en-US</v>
    <v>a1u3rw</v>
    <v>268435456</v>
    <v>1</v>
    <v>Powered by Refinitiv</v>
    <v>328.83</v>
    <v>140.53</v>
    <v>1.0834999999999999</v>
    <v>3.13</v>
    <v>9.8709999999999996E-3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321.31</v>
    <v>Software &amp; IT Services</v>
    <v>Stock</v>
    <v>46002.041586122657</v>
    <v>115</v>
    <v>314.68</v>
    <v>3829827000000</v>
    <v>ALPHABET INC.</v>
    <v>ALPHABET INC.</v>
    <v>315.83</v>
    <v>31.5762</v>
    <v>317.08</v>
    <v>320.20999999999998</v>
    <v>12067000000</v>
    <v>GOOGL</v>
    <v>ALPHABET INC. (XNAS:GOOGL)</v>
    <v>401581</v>
    <v>42876605</v>
    <v>2015</v>
  </rv>
  <rv s="2">
    <v>116</v>
  </rv>
  <rv s="0">
    <v>https://www.bing.com/financeapi/forcetrigger?t=a1uj52&amp;q=XNYS%3aHD&amp;form=skydnc</v>
    <v>Learn more on Bing</v>
  </rv>
  <rv s="1">
    <v>0</v>
    <v>THE HOME DEPOT, INC. (XNYS:HD)</v>
    <v>2</v>
    <v>3</v>
    <v>Finance</v>
    <v>4</v>
    <v>en-US</v>
    <v>a1uj52</v>
    <v>268435456</v>
    <v>1</v>
    <v>Powered by Refinitiv</v>
    <v>428</v>
    <v>326.31</v>
    <v>1.069</v>
    <v>5.88</v>
    <v>1.703E-2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352.02</v>
    <v>Specialty Retailers</v>
    <v>Stock</v>
    <v>46002.041129756253</v>
    <v>118</v>
    <v>344</v>
    <v>349573863225</v>
    <v>THE HOME DEPOT, INC.</v>
    <v>THE HOME DEPOT, INC.</v>
    <v>344.1</v>
    <v>23.9497</v>
    <v>345.27</v>
    <v>351.15</v>
    <v>995511500</v>
    <v>HD</v>
    <v>THE HOME DEPOT, INC. (XNYS:HD)</v>
    <v>3933</v>
    <v>4878359</v>
    <v>1978</v>
  </rv>
  <rv s="2">
    <v>119</v>
  </rv>
  <rv s="0">
    <v>https://www.bing.com/financeapi/forcetrigger?t=a1uv7w&amp;q=XNYS%3aHRL&amp;form=skydnc</v>
    <v>Learn more on Bing</v>
  </rv>
  <rv s="1">
    <v>0</v>
    <v>HORMEL FOODS CORPORATION (XNYS:HRL)</v>
    <v>2</v>
    <v>3</v>
    <v>Finance</v>
    <v>4</v>
    <v>en-US</v>
    <v>a1uv7w</v>
    <v>268435456</v>
    <v>1</v>
    <v>Powered by Refinitiv</v>
    <v>33.799999999999997</v>
    <v>21.03</v>
    <v>0.3256</v>
    <v>0.11</v>
    <v>4.6550000000000003E-3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23.74</v>
    <v>Food &amp; Tobacco</v>
    <v>Stock</v>
    <v>46002.037312950779</v>
    <v>121</v>
    <v>23.34</v>
    <v>13059547302</v>
    <v>HORMEL FOODS CORPORATION</v>
    <v>HORMEL FOODS CORPORATION</v>
    <v>23.6</v>
    <v>27.324100000000001</v>
    <v>23.63</v>
    <v>23.74</v>
    <v>550107300</v>
    <v>HRL</v>
    <v>HORMEL FOODS CORPORATION (XNYS:HRL)</v>
    <v>2488</v>
    <v>5414960</v>
    <v>1928</v>
  </rv>
  <rv s="2">
    <v>122</v>
  </rv>
  <rv s="0">
    <v>https://www.bing.com/financeapi/forcetrigger?t=a1uwu2&amp;q=XNYS%3aHSY&amp;form=skydnc</v>
    <v>Learn more on Bing</v>
  </rv>
  <rv s="1">
    <v>0</v>
    <v>THE HERSHEY COMPANY (XNYS:HSY)</v>
    <v>2</v>
    <v>3</v>
    <v>Finance</v>
    <v>4</v>
    <v>en-US</v>
    <v>a1uwu2</v>
    <v>268435456</v>
    <v>1</v>
    <v>Powered by Refinitiv</v>
    <v>199</v>
    <v>140.13</v>
    <v>0.17469999999999999</v>
    <v>1.28</v>
    <v>7.1599999999999997E-3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180.89</v>
    <v>Food &amp; Tobacco</v>
    <v>Stock</v>
    <v>46002.000000010936</v>
    <v>124</v>
    <v>178.31620000000001</v>
    <v>36513485106</v>
    <v>THE HERSHEY COMPANY</v>
    <v>THE HERSHEY COMPANY</v>
    <v>179.13</v>
    <v>20.744800000000001</v>
    <v>178.78</v>
    <v>180.06</v>
    <v>202785100</v>
    <v>HSY</v>
    <v>THE HERSHEY COMPANY (XNYS:HSY)</v>
    <v>134</v>
    <v>1693100</v>
    <v>1927</v>
  </rv>
  <rv s="2">
    <v>125</v>
  </rv>
  <rv s="0">
    <v>https://www.bing.com/financeapi/forcetrigger?t=a1vmf2&amp;q=XNAS%3aINTC&amp;form=skydnc</v>
    <v>Learn more on Bing</v>
  </rv>
  <rv s="1">
    <v>0</v>
    <v>INTEL CORPORATION (XNAS:INTC)</v>
    <v>2</v>
    <v>3</v>
    <v>Finance</v>
    <v>4</v>
    <v>en-US</v>
    <v>a1vmf2</v>
    <v>268435456</v>
    <v>1</v>
    <v>Powered by Refinitiv</v>
    <v>44.02</v>
    <v>17.664999999999999</v>
    <v>1.3447</v>
    <v>0.28000000000000003</v>
    <v>6.914E-3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108900</v>
    <v>Nasdaq Stock Market</v>
    <v>XNAS</v>
    <v>XNAS</v>
    <v>2200 Mission College Blvd, Rnb-4-151, SANTA CLARA, CA, 95054 US</v>
    <v>40.99</v>
    <v>Semiconductors &amp; Semiconductor Equipment</v>
    <v>Stock</v>
    <v>46002.041655300782</v>
    <v>127</v>
    <v>38.89</v>
    <v>194520600000</v>
    <v>INTEL CORPORATION</v>
    <v>INTEL CORPORATION</v>
    <v>40.11</v>
    <v>3843.5430000000001</v>
    <v>40.5</v>
    <v>40.78</v>
    <v>4770000000</v>
    <v>INTC</v>
    <v>INTEL CORPORATION (XNAS:INTC)</v>
    <v>626765</v>
    <v>83861109</v>
    <v>1989</v>
  </rv>
  <rv s="2">
    <v>128</v>
  </rv>
  <rv s="0">
    <v>https://www.bing.com/financeapi/forcetrigger?t=a1vmtc&amp;q=XNAS%3aINTU&amp;form=skydnc</v>
    <v>Learn more on Bing</v>
  </rv>
  <rv s="1">
    <v>0</v>
    <v>INTUIT INC. (XNAS:INTU)</v>
    <v>2</v>
    <v>3</v>
    <v>Finance</v>
    <v>4</v>
    <v>en-US</v>
    <v>a1vmtc</v>
    <v>268435456</v>
    <v>1</v>
    <v>Powered by Refinitiv</v>
    <v>813.7</v>
    <v>532.64499999999998</v>
    <v>1.2571000000000001</v>
    <v>6.68</v>
    <v>1.0187E-2</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669.43</v>
    <v>Financial Technology (Fintech) &amp; Infrastructure</v>
    <v>Stock</v>
    <v>46002.038302048437</v>
    <v>130</v>
    <v>652.75</v>
    <v>184337112063</v>
    <v>INTUIT INC.</v>
    <v>INTUIT INC.</v>
    <v>653.95000000000005</v>
    <v>45.488900000000001</v>
    <v>655.75</v>
    <v>662.43</v>
    <v>278274100</v>
    <v>INTU</v>
    <v>INTUIT INC. (XNAS:INTU)</v>
    <v>1271</v>
    <v>1873162</v>
    <v>1993</v>
  </rv>
  <rv s="2">
    <v>131</v>
  </rv>
  <rv s="0">
    <v>https://www.bing.com/financeapi/forcetrigger?t=a1w8ec&amp;q=XNYS%3aJNJ&amp;form=skydnc</v>
    <v>Learn more on Bing</v>
  </rv>
  <rv s="1">
    <v>0</v>
    <v>JOHNSON &amp; JOHNSON (XNYS:JNJ)</v>
    <v>2</v>
    <v>3</v>
    <v>Finance</v>
    <v>4</v>
    <v>en-US</v>
    <v>a1w8ec</v>
    <v>268435456</v>
    <v>1</v>
    <v>Powered by Refinitiv</v>
    <v>207.81</v>
    <v>140.68</v>
    <v>0.33310000000000001</v>
    <v>6.52</v>
    <v>3.2606999999999997E-2</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206.8</v>
    <v>Pharmaceuticals</v>
    <v>Stock</v>
    <v>46002.040728378903</v>
    <v>133</v>
    <v>200.1799</v>
    <v>497471231600</v>
    <v>JOHNSON &amp; JOHNSON</v>
    <v>JOHNSON &amp; JOHNSON</v>
    <v>200.59</v>
    <v>19.935099999999998</v>
    <v>199.96</v>
    <v>206.48</v>
    <v>2409295000</v>
    <v>JNJ</v>
    <v>JOHNSON &amp; JOHNSON (XNYS:JNJ)</v>
    <v>6890</v>
    <v>9138044</v>
    <v>1887</v>
  </rv>
  <rv s="2">
    <v>134</v>
  </rv>
  <rv s="0">
    <v>https://www.bing.com/financeapi/forcetrigger?t=a1wjz2&amp;q=XNYS%3aKMB&amp;form=skydnc</v>
    <v>Learn more on Bing</v>
  </rv>
  <rv s="1">
    <v>0</v>
    <v>KIMBERLY-CLARK CORPORATION (XNAS:KMB)</v>
    <v>2</v>
    <v>3</v>
    <v>Finance</v>
    <v>4</v>
    <v>en-US</v>
    <v>a1wjz2</v>
    <v>268435456</v>
    <v>1</v>
    <v>Powered by Refinitiv</v>
    <v>150.44999999999999</v>
    <v>99.22</v>
    <v>0.27100000000000002</v>
    <v>0.25</v>
    <v>2.4299999999999999E-3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104.13</v>
    <v>Personal &amp; Household Products &amp; Services</v>
    <v>Stock</v>
    <v>46002.04126660859</v>
    <v>136</v>
    <v>102.8</v>
    <v>34227875376</v>
    <v>KIMBERLY-CLARK CORPORATION</v>
    <v>KIMBERLY-CLARK CORPORATION</v>
    <v>103.15</v>
    <v>19.206199999999999</v>
    <v>102.89</v>
    <v>103.14</v>
    <v>331858400</v>
    <v>KMB</v>
    <v>KIMBERLY-CLARK CORPORATION (XNAS:KMB)</v>
    <v>1045</v>
    <v>6547702</v>
    <v>1928</v>
  </rv>
  <rv s="2">
    <v>137</v>
  </rv>
  <rv s="0">
    <v>https://www.bing.com/financeapi/forcetrigger?t=a1wljc&amp;q=XNYS%3aKO&amp;form=skydnc</v>
    <v>Learn more on Bing</v>
  </rv>
  <rv s="1">
    <v>0</v>
    <v>THE COCA-COLA COMPANY (XNYS:KO)</v>
    <v>2</v>
    <v>3</v>
    <v>Finance</v>
    <v>4</v>
    <v>en-US</v>
    <v>a1wljc</v>
    <v>268435456</v>
    <v>1</v>
    <v>Powered by Refinitiv</v>
    <v>74.38</v>
    <v>60.615000000000002</v>
    <v>0.3846</v>
    <v>0.12</v>
    <v>1.712E-3</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70.53</v>
    <v>Beverages</v>
    <v>Stock</v>
    <v>46002.041216978905</v>
    <v>139</v>
    <v>69.78</v>
    <v>302015967890</v>
    <v>THE COCA-COLA COMPANY</v>
    <v>THE COCA-COLA COMPANY</v>
    <v>70.39</v>
    <v>23.2425</v>
    <v>70.09</v>
    <v>70.209999999999994</v>
    <v>4301609000</v>
    <v>KO</v>
    <v>THE COCA-COLA COMPANY (XNYS:KO)</v>
    <v>24087</v>
    <v>17121790</v>
    <v>1919</v>
  </rv>
  <rv s="2">
    <v>140</v>
  </rv>
  <rv s="0">
    <v>https://www.bing.com/financeapi/forcetrigger?t=a1wyu2&amp;q=XNYS%3aLLY&amp;form=skydnc</v>
    <v>Learn more on Bing</v>
  </rv>
  <rv s="1">
    <v>0</v>
    <v>ELI LILLY AND COMPANY (XNYS:LLY)</v>
    <v>2</v>
    <v>3</v>
    <v>Finance</v>
    <v>4</v>
    <v>en-US</v>
    <v>a1wyu2</v>
    <v>268435456</v>
    <v>1</v>
    <v>Powered by Refinitiv</v>
    <v>1111.99</v>
    <v>623.78</v>
    <v>0.34910000000000002</v>
    <v>11.42</v>
    <v>1.1627E-2</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1003</v>
    <v>Pharmaceuticals</v>
    <v>Stock</v>
    <v>46002.041394073436</v>
    <v>142</v>
    <v>977.12</v>
    <v>939371159032</v>
    <v>ELI LILLY AND COMPANY</v>
    <v>ELI LILLY AND COMPANY</v>
    <v>985</v>
    <v>48.591000000000001</v>
    <v>982.22</v>
    <v>993.64</v>
    <v>945383800</v>
    <v>LLY</v>
    <v>ELI LILLY AND COMPANY (XNYS:LLY)</v>
    <v>98867</v>
    <v>4021407</v>
    <v>1901</v>
  </rv>
  <rv s="2">
    <v>143</v>
  </rv>
  <rv s="0">
    <v>https://www.bing.com/financeapi/forcetrigger?t=a1wzw7&amp;q=XNYS%3aLMT&amp;form=skydnc</v>
    <v>Learn more on Bing</v>
  </rv>
  <rv s="1">
    <v>0</v>
    <v>LOCKHEED MARTIN CORPORATION (XNYS:LMT)</v>
    <v>2</v>
    <v>3</v>
    <v>Finance</v>
    <v>4</v>
    <v>en-US</v>
    <v>a1wzw7</v>
    <v>268435456</v>
    <v>1</v>
    <v>Powered by Refinitiv</v>
    <v>516</v>
    <v>410.11</v>
    <v>0.24940000000000001</v>
    <v>1.05</v>
    <v>2.2489999999999997E-3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473.08</v>
    <v>Aerospace &amp; Defense</v>
    <v>Stock</v>
    <v>46002.03866578672</v>
    <v>145</v>
    <v>455.88</v>
    <v>108280286532</v>
    <v>LOCKHEED MARTIN CORPORATION</v>
    <v>LOCKHEED MARTIN CORPORATION</v>
    <v>465.21</v>
    <v>26.066600000000001</v>
    <v>466.89</v>
    <v>467.94</v>
    <v>231397800</v>
    <v>LMT</v>
    <v>LOCKHEED MARTIN CORPORATION (XNYS:LMT)</v>
    <v>1357</v>
    <v>1406047</v>
    <v>1994</v>
  </rv>
  <rv s="2">
    <v>146</v>
  </rv>
  <rv s="0">
    <v>https://www.bing.com/financeapi/forcetrigger?t=a1x2ur&amp;q=XNYS%3aLOW&amp;form=skydnc</v>
    <v>Learn more on Bing</v>
  </rv>
  <rv s="1">
    <v>0</v>
    <v>LOWE'S COMPANIES, INC. (XNYS:LOW)</v>
    <v>2</v>
    <v>3</v>
    <v>Finance</v>
    <v>4</v>
    <v>en-US</v>
    <v>a1x2ur</v>
    <v>268435456</v>
    <v>1</v>
    <v>Powered by Refinitiv</v>
    <v>274.98</v>
    <v>206.38499999999999</v>
    <v>0.95609999999999995</v>
    <v>3.54</v>
    <v>1.4588E-2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248.435</v>
    <v>Specialty Retailers</v>
    <v>Stock</v>
    <v>46002.040444235936</v>
    <v>148</v>
    <v>242.38</v>
    <v>138111868815</v>
    <v>LOWE'S COMPANIES, INC.</v>
    <v>LOWE'S COMPANIES, INC.</v>
    <v>242.81</v>
    <v>20.4222</v>
    <v>242.67</v>
    <v>246.21</v>
    <v>560951500</v>
    <v>LOW</v>
    <v>LOWE'S COMPANIES, INC. (XNYS:LOW)</v>
    <v>251</v>
    <v>3679104</v>
    <v>1952</v>
  </rv>
  <rv s="2">
    <v>149</v>
  </rv>
  <rv s="0">
    <v>https://www.bing.com/financeapi/forcetrigger?t=a1x4f2&amp;q=XNAS%3aLRCX&amp;form=skydnc</v>
    <v>Learn more on Bing</v>
  </rv>
  <rv s="1">
    <v>0</v>
    <v>LAM RESEARCH CORPORATION (XNAS:LRCX)</v>
    <v>2</v>
    <v>3</v>
    <v>Finance</v>
    <v>4</v>
    <v>en-US</v>
    <v>a1x4f2</v>
    <v>268435456</v>
    <v>1</v>
    <v>Powered by Refinitiv</v>
    <v>169.69</v>
    <v>56.32</v>
    <v>1.7841</v>
    <v>2.4500000000000002</v>
    <v>1.4776000000000001E-2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169.69</v>
    <v>Semiconductors &amp; Semiconductor Equipment</v>
    <v>Stock</v>
    <v>46002.041446909374</v>
    <v>151</v>
    <v>162.54</v>
    <v>211339607800</v>
    <v>LAM RESEARCH CORPORATION</v>
    <v>LAM RESEARCH CORPORATION</v>
    <v>165.09</v>
    <v>37.076799999999999</v>
    <v>165.81</v>
    <v>168.26</v>
    <v>1256030000</v>
    <v>LRCX</v>
    <v>LAM RESEARCH CORPORATION (XNAS:LRCX)</v>
    <v>10562</v>
    <v>10762446</v>
    <v>1989</v>
  </rv>
  <rv s="2">
    <v>152</v>
  </rv>
  <rv s="0">
    <v>https://www.bing.com/financeapi/forcetrigger?t=a1x8c7&amp;q=XNYS%3aLYB&amp;form=skydnc</v>
    <v>Learn more on Bing</v>
  </rv>
  <rv s="1">
    <v>0</v>
    <v>LyondellBasell Industries NV (XNYS:LYB)</v>
    <v>2</v>
    <v>3</v>
    <v>Finance</v>
    <v>4</v>
    <v>en-US</v>
    <v>a1x8c7</v>
    <v>268435456</v>
    <v>1</v>
    <v>Powered by Refinitiv</v>
    <v>79.389899999999997</v>
    <v>41.58</v>
    <v>0.70079999999999998</v>
    <v>2.4500000000000002</v>
    <v>5.7270000000000001E-2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45.38</v>
    <v>Chemicals</v>
    <v>Stock</v>
    <v>46002.041352753906</v>
    <v>154</v>
    <v>42.84</v>
    <v>14558315789</v>
    <v>LyondellBasell Industries NV</v>
    <v>LyondellBasell Industries NV</v>
    <v>42.84</v>
    <v>0</v>
    <v>42.78</v>
    <v>45.23</v>
    <v>321873000</v>
    <v>LYB</v>
    <v>LyondellBasell Industries NV (XNYS:LYB)</v>
    <v>4606</v>
    <v>5740360</v>
    <v>2009</v>
  </rv>
  <rv s="2">
    <v>155</v>
  </rv>
  <rv s="0">
    <v>https://www.bing.com/financeapi/forcetrigger?t=a1x9yc&amp;q=XNYS%3aMAN&amp;form=skydnc</v>
    <v>Learn more on Bing</v>
  </rv>
  <rv s="3">
    <v>6</v>
    <v>MANPOWERGROUP INC. (XNYS:MAN)</v>
    <v>2</v>
    <v>7</v>
    <v>Finance</v>
    <v>4</v>
    <v>en-US</v>
    <v>a1x9yc</v>
    <v>268435456</v>
    <v>1</v>
    <v>Powered by Refinitiv</v>
    <v>63.344999999999999</v>
    <v>26.14</v>
    <v>0.86629999999999996</v>
    <v>0.9</v>
    <v>3.2715000000000001E-2</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28.465</v>
    <v>Professional &amp; Commercial Services</v>
    <v>Stock</v>
    <v>46001.967678089844</v>
    <v>157</v>
    <v>27.43</v>
    <v>1315302883</v>
    <v>MANPOWERGROUP INC.</v>
    <v>MANPOWERGROUP INC.</v>
    <v>27.54</v>
    <v>27.51</v>
    <v>28.41</v>
    <v>46297180</v>
    <v>MAN</v>
    <v>MANPOWERGROUP INC. (XNYS:MAN)</v>
    <v>1534885</v>
    <v>1035246</v>
    <v>1990</v>
  </rv>
  <rv s="2">
    <v>158</v>
  </rv>
  <rv s="0">
    <v>http://en.wikipedia.org/wiki/Public_domain</v>
    <v>Public domain</v>
  </rv>
  <rv s="0">
    <v>http://en.wikipedia.org/wiki/McDonald's</v>
    <v>Wikipedia</v>
  </rv>
  <rv s="5">
    <v>160</v>
    <v>161</v>
  </rv>
  <rv s="6">
    <v>13</v>
    <v>https://www.bing.com/th?id=AMMS_7d8255243964a8970376f8dd41121106&amp;qlt=95</v>
    <v>162</v>
    <v>0</v>
    <v>https://www.bing.com/images/search?form=xlimg&amp;q=mcdonald%27s</v>
    <v>Image of MCDONALD'S CORPORATION</v>
  </rv>
  <rv s="0">
    <v>https://www.bing.com/financeapi/forcetrigger?t=a1xdec&amp;q=XNYS%3aMCD&amp;form=skydnc</v>
    <v>Learn more on Bing</v>
  </rv>
  <rv s="7">
    <v>9</v>
    <v>MCDONALD'S CORPORATION (XNYS:MCD)</v>
    <v>11</v>
    <v>12</v>
    <v>Finance</v>
    <v>4</v>
    <v>en-US</v>
    <v>a1xdec</v>
    <v>268435456</v>
    <v>1</v>
    <v>Powered by Refinitiv</v>
    <v>326.32</v>
    <v>276.52999999999997</v>
    <v>0.52890000000000004</v>
    <v>-0.215</v>
    <v>-6.9180000000000001E-4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311.32</v>
    <v>163</v>
    <v>Hotels &amp; Entertainment Services</v>
    <v>Stock</v>
    <v>46002.041325983591</v>
    <v>164</v>
    <v>306.01</v>
    <v>221177352780</v>
    <v>MCDONALD'S CORPORATION</v>
    <v>MCDONALD'S CORPORATION</v>
    <v>309.5</v>
    <v>26.485499999999998</v>
    <v>310.79000000000002</v>
    <v>310.57499999999999</v>
    <v>712154400</v>
    <v>MCD</v>
    <v>MCDONALD'S CORPORATION (XNYS:MCD)</v>
    <v>2330</v>
    <v>3402460</v>
    <v>1964</v>
  </rv>
  <rv s="2">
    <v>165</v>
  </rv>
  <rv s="0">
    <v>https://www.bing.com/financeapi/forcetrigger?t=a1xfoc&amp;q=XNAS%3aMDLZ&amp;form=skydnc</v>
    <v>Learn more on Bing</v>
  </rv>
  <rv s="1">
    <v>0</v>
    <v>Mondelez International, Inc. (XNAS:MDLZ)</v>
    <v>2</v>
    <v>3</v>
    <v>Finance</v>
    <v>4</v>
    <v>en-US</v>
    <v>a1xfoc</v>
    <v>268435456</v>
    <v>1</v>
    <v>Powered by Refinitiv</v>
    <v>71.150000000000006</v>
    <v>53.1342</v>
    <v>0.39839999999999998</v>
    <v>-0.22</v>
    <v>-4.0660000000000002E-3</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90000</v>
    <v>Nasdaq Stock Market</v>
    <v>XNAS</v>
    <v>XNAS</v>
    <v>905 West Fulton Market, Suite 200, CHICAGO, IL, 60607 US</v>
    <v>54.21</v>
    <v>Food &amp; Tobacco</v>
    <v>Stock</v>
    <v>46002.041327685154</v>
    <v>167</v>
    <v>53.1342</v>
    <v>69821300000</v>
    <v>Mondelez International, Inc.</v>
    <v>Mondelez International, Inc.</v>
    <v>54.17</v>
    <v>20.137699999999999</v>
    <v>54.11</v>
    <v>53.89</v>
    <v>1290359000</v>
    <v>MDLZ</v>
    <v>Mondelez International, Inc. (XNAS:MDLZ)</v>
    <v>3329</v>
    <v>9615416</v>
    <v>2000</v>
  </rv>
  <rv s="2">
    <v>168</v>
  </rv>
  <rv s="0">
    <v>https://www.bing.com/financeapi/forcetrigger?t=a1xg3m&amp;q=XNYS%3aMDT&amp;form=skydnc</v>
    <v>Learn more on Bing</v>
  </rv>
  <rv s="1">
    <v>0</v>
    <v>MEDTRONIC PUBLIC LIMITED COMPANY (XNYS:MDT)</v>
    <v>2</v>
    <v>3</v>
    <v>Finance</v>
    <v>4</v>
    <v>en-US</v>
    <v>a1xg3m</v>
    <v>268435456</v>
    <v>1</v>
    <v>Powered by Refinitiv</v>
    <v>106.33</v>
    <v>79.290000000000006</v>
    <v>0.72289999999999999</v>
    <v>1.135</v>
    <v>1.1393E-2</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101.07</v>
    <v>Healthcare Equipment &amp; Supplies</v>
    <v>Stock</v>
    <v>46002.028178633591</v>
    <v>170</v>
    <v>99.49</v>
    <v>127714300000</v>
    <v>MEDTRONIC PUBLIC LIMITED COMPANY</v>
    <v>MEDTRONIC PUBLIC LIMITED COMPANY</v>
    <v>99.5</v>
    <v>27.246500000000001</v>
    <v>99.62</v>
    <v>100.755</v>
    <v>1282014000</v>
    <v>MDT</v>
    <v>MEDTRONIC PUBLIC LIMITED COMPANY (XNYS:MDT)</v>
    <v>477</v>
    <v>7520489</v>
    <v>2014</v>
  </rv>
  <rv s="2">
    <v>171</v>
  </rv>
  <rv s="0">
    <v>https://www.bing.com/financeapi/forcetrigger?t=a1slm7&amp;q=XNAS%3aMETA&amp;form=skydnc</v>
    <v>Learn more on Bing</v>
  </rv>
  <rv s="1">
    <v>0</v>
    <v>Meta Platforms, Inc. (XNAS:META)</v>
    <v>2</v>
    <v>3</v>
    <v>Finance</v>
    <v>4</v>
    <v>en-US</v>
    <v>a1slm7</v>
    <v>268435456</v>
    <v>1</v>
    <v>Powered by Refinitiv</v>
    <v>796.25</v>
    <v>479.8</v>
    <v>1.2886</v>
    <v>-6.83</v>
    <v>-1.0396000000000001E-2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654.51</v>
    <v>Software &amp; IT Services</v>
    <v>Stock</v>
    <v>46002.041664351564</v>
    <v>173</v>
    <v>643.39760000000001</v>
    <v>1638670868640</v>
    <v>Meta Platforms, Inc.</v>
    <v>Meta Platforms, Inc.</v>
    <v>649.95000000000005</v>
    <v>22.3672</v>
    <v>656.96</v>
    <v>650.13</v>
    <v>2520528000</v>
    <v>META</v>
    <v>Meta Platforms, Inc. (XNAS:META)</v>
    <v>157135</v>
    <v>19436134</v>
    <v>2004</v>
  </rv>
  <rv s="2">
    <v>174</v>
  </rv>
  <rv s="0">
    <v>http://zh.wikipedia.org/wiki/味可美</v>
    <v>Wikipedia</v>
  </rv>
  <rv s="5">
    <v>160</v>
    <v>176</v>
  </rv>
  <rv s="6">
    <v>13</v>
    <v>https://www.bing.com/th?id=AMMS_8d96836a886471f7120ce0135f3ca8bd&amp;qlt=95</v>
    <v>177</v>
    <v>0</v>
    <v>https://www.bing.com/images/search?form=xlimg&amp;q=mccormick+%26+company</v>
    <v>Image of MCCORMICK &amp; COMPANY, INCORPORATED</v>
  </rv>
  <rv s="0">
    <v>https://www.bing.com/financeapi/forcetrigger?t=a1xof2&amp;q=XNYS%3aMKC.V&amp;form=skydnc</v>
    <v>Learn more on Bing</v>
  </rv>
  <rv s="8">
    <v>14</v>
    <v>MCCORMICK &amp; COMPANY, INCORPORATED (XNYS:MKC.V)</v>
    <v>11</v>
    <v>15</v>
    <v>Finance</v>
    <v>5</v>
    <v>en-US</v>
    <v>a1xof2</v>
    <v>268435456</v>
    <v>1</v>
    <v>Powered by Refinitiv</v>
    <v>85.5</v>
    <v>62.78</v>
    <v>0.62070000000000003</v>
    <v>0.52500000000000002</v>
    <v>8.3020000000000004E-3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63.76</v>
    <v>178</v>
    <v>Food &amp; Tobacco</v>
    <v>Stock</v>
    <v>46001.881989895315</v>
    <v>179</v>
    <v>63.005000000000003</v>
    <v>17032780000</v>
    <v>MCCORMICK &amp; COMPANY, INCORPORATED</v>
    <v>MCCORMICK &amp; COMPANY, INCORPORATED</v>
    <v>63.12</v>
    <v>63.234999999999999</v>
    <v>63.76</v>
    <v>268375700</v>
    <v>MKC.V</v>
    <v>MCCORMICK &amp; COMPANY, INCORPORATED (XNYS:MKC.V)</v>
    <v>2113</v>
    <v>4276</v>
    <v>1915</v>
  </rv>
  <rv s="2">
    <v>180</v>
  </rv>
  <rv s="0">
    <v>https://www.bing.com/financeapi/forcetrigger?t=a1xroc&amp;q=XNYS%3aMMM&amp;form=skydnc</v>
    <v>Learn more on Bing</v>
  </rv>
  <rv s="1">
    <v>0</v>
    <v>3M COMPANY (XNYS:MMM)</v>
    <v>2</v>
    <v>3</v>
    <v>Finance</v>
    <v>4</v>
    <v>en-US</v>
    <v>a1xroc</v>
    <v>268435456</v>
    <v>1</v>
    <v>Powered by Refinitiv</v>
    <v>174.69</v>
    <v>121.97709999999999</v>
    <v>1.0701000000000001</v>
    <v>0.56999999999999995</v>
    <v>3.4529999999999999E-3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61500</v>
    <v>New York Stock Exchange</v>
    <v>XNYS</v>
    <v>XNYS</v>
    <v>3M Center, Bldg. 220-9E-02, SAINT PAUL, MN, 55144-1000 US</v>
    <v>166.72630000000001</v>
    <v>Consumer Goods Conglomerates</v>
    <v>Stock</v>
    <v>46002.041329328124</v>
    <v>182</v>
    <v>163.41</v>
    <v>88002733500</v>
    <v>3M COMPANY</v>
    <v>3M COMPANY</v>
    <v>164.58</v>
    <v>26.471699999999998</v>
    <v>165.09</v>
    <v>165.66</v>
    <v>531225000</v>
    <v>MMM</v>
    <v>3M COMPANY (XNYS:MMM)</v>
    <v>3202</v>
    <v>2960899</v>
    <v>1929</v>
  </rv>
  <rv s="2">
    <v>183</v>
  </rv>
  <rv s="0">
    <v>https://www.bing.com/financeapi/forcetrigger?t=a1xtpr&amp;q=XNYS%3aMO&amp;form=skydnc</v>
    <v>Learn more on Bing</v>
  </rv>
  <rv s="1">
    <v>0</v>
    <v>Altria Group, Inc. (XNYS:MO)</v>
    <v>2</v>
    <v>3</v>
    <v>Finance</v>
    <v>4</v>
    <v>en-US</v>
    <v>a1xtpr</v>
    <v>268435456</v>
    <v>1</v>
    <v>Powered by Refinitiv</v>
    <v>68.599999999999994</v>
    <v>50.08</v>
    <v>0.49859999999999999</v>
    <v>0.51500000000000001</v>
    <v>8.8520000000000005E-3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58.865000000000002</v>
    <v>Food &amp; Tobacco</v>
    <v>Stock</v>
    <v>46002.039873425783</v>
    <v>185</v>
    <v>58.08</v>
    <v>98529653040</v>
    <v>Altria Group, Inc.</v>
    <v>Altria Group, Inc.</v>
    <v>58.36</v>
    <v>11.1968</v>
    <v>58.18</v>
    <v>58.695</v>
    <v>1678672000</v>
    <v>MO</v>
    <v>Altria Group, Inc. (XNYS:MO)</v>
    <v>19617</v>
    <v>7809763</v>
    <v>1985</v>
  </rv>
  <rv s="2">
    <v>186</v>
  </rv>
  <rv s="0">
    <v>https://www.bing.com/financeapi/forcetrigger?t=a1xxmw&amp;q=XNYS%3aMRK&amp;form=skydnc</v>
    <v>Learn more on Bing</v>
  </rv>
  <rv s="1">
    <v>0</v>
    <v>MERCK &amp; CO., INC. (XNYS:MRK)</v>
    <v>2</v>
    <v>3</v>
    <v>Finance</v>
    <v>4</v>
    <v>en-US</v>
    <v>a1xxmw</v>
    <v>268435456</v>
    <v>1</v>
    <v>Powered by Refinitiv</v>
    <v>105.84</v>
    <v>73.31</v>
    <v>0.307</v>
    <v>0.74</v>
    <v>7.6380000000000007E-3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98.17</v>
    <v>Pharmaceuticals</v>
    <v>Stock</v>
    <v>46002.038185798439</v>
    <v>188</v>
    <v>96.47</v>
    <v>240483200000</v>
    <v>MERCK &amp; CO., INC.</v>
    <v>MERCK &amp; CO., INC.</v>
    <v>98.05</v>
    <v>12.9114</v>
    <v>96.89</v>
    <v>97.63</v>
    <v>2482022000</v>
    <v>MRK</v>
    <v>MERCK &amp; CO., INC. (XNYS:MRK)</v>
    <v>26732</v>
    <v>15165280</v>
    <v>1970</v>
  </rv>
  <rv s="2">
    <v>189</v>
  </rv>
  <rv s="0">
    <v>https://en.wikipedia.org/wiki/Microsoft</v>
    <v>Wikipedia</v>
  </rv>
  <rv s="5">
    <v>160</v>
    <v>191</v>
  </rv>
  <rv s="6">
    <v>13</v>
    <v>https://www.bing.com/th?id=AMMS_e6e837c7bf3a77408619758b7447855a&amp;qlt=95</v>
    <v>192</v>
    <v>0</v>
    <v>https://www.bing.com/images/search?form=xlimg&amp;q=microsoft</v>
    <v>Image of MICROSOFT CORPORATION</v>
  </rv>
  <rv s="0">
    <v>https://www.bing.com/financeapi/forcetrigger?t=a1xzim&amp;q=XNAS%3aMSFT&amp;form=skydnc</v>
    <v>Learn more on Bing</v>
  </rv>
  <rv s="7">
    <v>9</v>
    <v>MICROSOFT CORPORATION (XNAS:MSFT)</v>
    <v>11</v>
    <v>12</v>
    <v>Finance</v>
    <v>4</v>
    <v>en-US</v>
    <v>a1xzim</v>
    <v>268435456</v>
    <v>1</v>
    <v>Powered by Refinitiv</v>
    <v>555.45000000000005</v>
    <v>344.79</v>
    <v>1.073</v>
    <v>-13.46</v>
    <v>-2.7356999999999999E-2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484.25</v>
    <v>193</v>
    <v>Software &amp; IT Services</v>
    <v>Stock</v>
    <v>46002.041642337499</v>
    <v>194</v>
    <v>475.08</v>
    <v>3556838337120</v>
    <v>MICROSOFT CORPORATION</v>
    <v>MICROSOFT CORPORATION</v>
    <v>484.03</v>
    <v>34.048200000000001</v>
    <v>492.02</v>
    <v>478.56</v>
    <v>7432377000</v>
    <v>MSFT</v>
    <v>MICROSOFT CORPORATION (XNAS:MSFT)</v>
    <v>209667</v>
    <v>25265373</v>
    <v>1993</v>
  </rv>
  <rv s="2">
    <v>195</v>
  </rv>
  <rv s="0">
    <v>https://www.bing.com/financeapi/forcetrigger?t=a1yjxm&amp;q=XNYS%3aNKE&amp;form=skydnc</v>
    <v>Learn more on Bing</v>
  </rv>
  <rv s="1">
    <v>0</v>
    <v>NIKE, INC. (XNYS:NKE)</v>
    <v>2</v>
    <v>3</v>
    <v>Finance</v>
    <v>4</v>
    <v>en-US</v>
    <v>a1yjxm</v>
    <v>268435456</v>
    <v>1</v>
    <v>Powered by Refinitiv</v>
    <v>82.44</v>
    <v>52.28</v>
    <v>1.2829999999999999</v>
    <v>2.46</v>
    <v>3.8843999999999997E-2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66.150000000000006</v>
    <v>Textiles &amp; Apparel</v>
    <v>Stock</v>
    <v>46002.04148348359</v>
    <v>197</v>
    <v>63.764000000000003</v>
    <v>97250843790</v>
    <v>NIKE, INC.</v>
    <v>NIKE, INC.</v>
    <v>63.98</v>
    <v>33.7181</v>
    <v>63.33</v>
    <v>65.790000000000006</v>
    <v>1478201000</v>
    <v>NKE</v>
    <v>NIKE, INC. (XNYS:NKE)</v>
    <v>28822</v>
    <v>14028177</v>
    <v>1969</v>
  </rv>
  <rv s="2">
    <v>198</v>
  </rv>
  <rv s="0">
    <v>https://www.bing.com/financeapi/forcetrigger?t=a1yngh&amp;q=XNYS%3aNOC&amp;form=skydnc</v>
    <v>Learn more on Bing</v>
  </rv>
  <rv s="1">
    <v>0</v>
    <v>NORTHROP GRUMMAN CORPORATION (XNYS:NOC)</v>
    <v>2</v>
    <v>3</v>
    <v>Finance</v>
    <v>4</v>
    <v>en-US</v>
    <v>a1yngh</v>
    <v>268435456</v>
    <v>1</v>
    <v>Powered by Refinitiv</v>
    <v>640.90099999999995</v>
    <v>426.24</v>
    <v>5.0200000000000002E-2</v>
    <v>4.7300000000000004</v>
    <v>8.5900000000000004E-3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558.61</v>
    <v>Aerospace &amp; Defense</v>
    <v>Stock</v>
    <v>46002.000000022657</v>
    <v>200</v>
    <v>546.52</v>
    <v>79261034736</v>
    <v>NORTHROP GRUMMAN CORPORATION</v>
    <v>NORTHROP GRUMMAN CORPORATION</v>
    <v>549</v>
    <v>19.988399999999999</v>
    <v>550.63</v>
    <v>555.36</v>
    <v>142720100</v>
    <v>NOC</v>
    <v>NORTHROP GRUMMAN CORPORATION (XNYS:NOC)</v>
    <v>137</v>
    <v>737167</v>
    <v>2010</v>
  </rv>
  <rv s="2">
    <v>201</v>
  </rv>
  <rv s="0">
    <v>https://www.bing.com/financeapi/forcetrigger?t=a1yv52&amp;q=XNAS%3aNVDA&amp;form=skydnc</v>
    <v>Learn more on Bing</v>
  </rv>
  <rv s="1">
    <v>0</v>
    <v>NVIDIA CORPORATION (XNAS:NVDA)</v>
    <v>2</v>
    <v>3</v>
    <v>Finance</v>
    <v>4</v>
    <v>en-US</v>
    <v>a1yv52</v>
    <v>268435456</v>
    <v>1</v>
    <v>Powered by Refinitiv</v>
    <v>212.18989999999999</v>
    <v>86.62</v>
    <v>2.3153000000000001</v>
    <v>-1.19</v>
    <v>-6.4329999999999995E-3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185.48</v>
    <v>Semiconductors &amp; Semiconductor Equipment</v>
    <v>Stock</v>
    <v>46002.041663078126</v>
    <v>203</v>
    <v>182.035</v>
    <v>4465854000000</v>
    <v>NVIDIA CORPORATION</v>
    <v>NVIDIA CORPORATION</v>
    <v>184.965</v>
    <v>45.518799999999999</v>
    <v>184.97</v>
    <v>183.78</v>
    <v>24300000000</v>
    <v>NVDA</v>
    <v>NVIDIA CORPORATION (XNAS:NVDA)</v>
    <v>2829535</v>
    <v>206003277</v>
    <v>1998</v>
  </rv>
  <rv s="2">
    <v>204</v>
  </rv>
  <rv s="0">
    <v>https://www.bing.com/financeapi/forcetrigger?t=a1z11h&amp;q=XNYS%3aO&amp;form=skydnc</v>
    <v>Learn more on Bing</v>
  </rv>
  <rv s="1">
    <v>0</v>
    <v>REALTY INCOME CORPORATION (XNYS:O)</v>
    <v>2</v>
    <v>3</v>
    <v>Finance</v>
    <v>4</v>
    <v>en-US</v>
    <v>a1z11h</v>
    <v>268435456</v>
    <v>1</v>
    <v>Powered by Refinitiv</v>
    <v>61.085000000000001</v>
    <v>50.71</v>
    <v>0.8004</v>
    <v>-0.38</v>
    <v>-6.6610000000000003E-3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57.575000000000003</v>
    <v>Residential &amp; Commercial REIT</v>
    <v>Stock</v>
    <v>46002.041473263278</v>
    <v>206</v>
    <v>56.65</v>
    <v>52131061686</v>
    <v>REALTY INCOME CORPORATION</v>
    <v>REALTY INCOME CORPORATION</v>
    <v>57.09</v>
    <v>52.935899999999997</v>
    <v>57.05</v>
    <v>56.67</v>
    <v>919905800</v>
    <v>O</v>
    <v>REALTY INCOME CORPORATION (XNYS:O)</v>
    <v>35355</v>
    <v>6162181</v>
    <v>1997</v>
  </rv>
  <rv s="2">
    <v>207</v>
  </rv>
  <rv s="0">
    <v>https://www.bing.com/financeapi/forcetrigger?t=axyhnm&amp;q=XNAS%3aPEP&amp;form=skydnc</v>
    <v>Learn more on Bing</v>
  </rv>
  <rv s="1">
    <v>0</v>
    <v>PEPSICO, INC. (XNAS:PEP)</v>
    <v>2</v>
    <v>3</v>
    <v>Finance</v>
    <v>4</v>
    <v>en-US</v>
    <v>axyhnm</v>
    <v>268435456</v>
    <v>1</v>
    <v>Powered by Refinitiv</v>
    <v>160.51499999999999</v>
    <v>127.6</v>
    <v>0.41710000000000003</v>
    <v>5.0599999999999996</v>
    <v>3.4983E-2</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149.78</v>
    <v>Beverages</v>
    <v>Stock</v>
    <v>46002.040511874999</v>
    <v>209</v>
    <v>147</v>
    <v>204690797999</v>
    <v>PEPSICO, INC.</v>
    <v>PEPSICO, INC.</v>
    <v>147.77000000000001</v>
    <v>28.465800000000002</v>
    <v>144.63999999999999</v>
    <v>149.69999999999999</v>
    <v>1367340000</v>
    <v>PEP</v>
    <v>PEPSICO, INC. (XNAS:PEP)</v>
    <v>10102</v>
    <v>7539251</v>
    <v>1986</v>
  </rv>
  <rv s="2">
    <v>210</v>
  </rv>
  <rv s="0">
    <v>https://www.bing.com/financeapi/forcetrigger?t=a1zqnm&amp;q=XNYS%3aPFE&amp;form=skydnc</v>
    <v>Learn more on Bing</v>
  </rv>
  <rv s="1">
    <v>0</v>
    <v>PFIZER INC. (XNYS:PFE)</v>
    <v>2</v>
    <v>3</v>
    <v>Finance</v>
    <v>4</v>
    <v>en-US</v>
    <v>a1zqnm</v>
    <v>268435456</v>
    <v>1</v>
    <v>Powered by Refinitiv</v>
    <v>27.69</v>
    <v>20.914999999999999</v>
    <v>0.4299</v>
    <v>0.45</v>
    <v>1.7765E-2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25.79</v>
    <v>Pharmaceuticals</v>
    <v>Stock</v>
    <v>46002.041512094533</v>
    <v>212</v>
    <v>25.22</v>
    <v>146577552240</v>
    <v>PFIZER INC.</v>
    <v>PFIZER INC.</v>
    <v>25.49</v>
    <v>15.026899999999999</v>
    <v>25.33</v>
    <v>25.78</v>
    <v>5685708000</v>
    <v>PFE</v>
    <v>PFIZER INC. (XNYS:PFE)</v>
    <v>151406</v>
    <v>72867495</v>
    <v>1942</v>
  </rv>
  <rv s="2">
    <v>213</v>
  </rv>
  <rv s="0">
    <v>http://en.wikipedia.org/wiki/Qualcomm</v>
    <v>Wikipedia</v>
  </rv>
  <rv s="5">
    <v>160</v>
    <v>215</v>
  </rv>
  <rv s="6">
    <v>13</v>
    <v>https://www.bing.com/th?id=AMMS_2b1c176dae370ecc0d55a1517537f595&amp;qlt=95</v>
    <v>216</v>
    <v>0</v>
    <v>https://www.bing.com/images/search?form=xlimg&amp;q=qualcomm</v>
    <v>Image of QUALCOMM INCORPORATED</v>
  </rv>
  <rv s="0">
    <v>https://www.bing.com/financeapi/forcetrigger?t=a21k2w&amp;q=XNAS%3aQCOM&amp;form=skydnc</v>
    <v>Learn more on Bing</v>
  </rv>
  <rv s="7">
    <v>9</v>
    <v>QUALCOMM INCORPORATED (XNAS:QCOM)</v>
    <v>11</v>
    <v>12</v>
    <v>Finance</v>
    <v>4</v>
    <v>en-US</v>
    <v>a21k2w</v>
    <v>268435456</v>
    <v>1</v>
    <v>Powered by Refinitiv</v>
    <v>205.95</v>
    <v>120.8019</v>
    <v>1.2102999999999999</v>
    <v>6.21</v>
    <v>3.5284000000000003E-2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183.44</v>
    <v>217</v>
    <v>Semiconductors &amp; Semiconductor Equipment</v>
    <v>Stock</v>
    <v>46002.041593240625</v>
    <v>218</v>
    <v>175.25200000000001</v>
    <v>194780485690</v>
    <v>QUALCOMM INCORPORATED</v>
    <v>QUALCOMM INCORPORATED</v>
    <v>175.81</v>
    <v>37.2575</v>
    <v>176</v>
    <v>182.21</v>
    <v>1068989000</v>
    <v>QCOM</v>
    <v>QUALCOMM INCORPORATED (XNAS:QCOM)</v>
    <v>29130</v>
    <v>9617091</v>
    <v>1991</v>
  </rv>
  <rv s="2">
    <v>219</v>
  </rv>
  <rv s="0">
    <v>https://www.bing.com/financeapi/forcetrigger?t=a22n4c&amp;q=XNYS%3aSCHW&amp;form=skydnc</v>
    <v>Learn more on Bing</v>
  </rv>
  <rv s="1">
    <v>0</v>
    <v>THE CHARLES SCHWAB CORPORATION (XNYS:SCHW)</v>
    <v>2</v>
    <v>3</v>
    <v>Finance</v>
    <v>4</v>
    <v>en-US</v>
    <v>a22n4c</v>
    <v>268435456</v>
    <v>1</v>
    <v>Powered by Refinitiv</v>
    <v>99.59</v>
    <v>65.88</v>
    <v>0.94279999999999997</v>
    <v>1.65</v>
    <v>1.7523E-2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32700</v>
    <v>New York Stock Exchange</v>
    <v>XNYS</v>
    <v>XNYS</v>
    <v>3000 Schwab Way, WESTLAKE, TX, 76262 US</v>
    <v>96.38</v>
    <v>Investment Banking &amp; Investment Services</v>
    <v>Stock</v>
    <v>46002.041199814063</v>
    <v>221</v>
    <v>94.07</v>
    <v>170248333970</v>
    <v>THE CHARLES SCHWAB CORPORATION</v>
    <v>THE CHARLES SCHWAB CORPORATION</v>
    <v>94.36</v>
    <v>22.465900000000001</v>
    <v>94.16</v>
    <v>95.81</v>
    <v>1776937000</v>
    <v>SCHW</v>
    <v>THE CHARLES SCHWAB CORPORATION (XNYS:SCHW)</v>
    <v>640</v>
    <v>8465507</v>
    <v>1986</v>
  </rv>
  <rv s="2">
    <v>222</v>
  </rv>
  <rv s="0">
    <v>https://www.bing.com/financeapi/forcetrigger?t=a22xk2&amp;q=XNYS%3aSHW&amp;form=skydnc</v>
    <v>Learn more on Bing</v>
  </rv>
  <rv s="1">
    <v>0</v>
    <v>THE SHERWIN-WILLIAMS COMPANY (XNYS:SHW)</v>
    <v>2</v>
    <v>3</v>
    <v>Finance</v>
    <v>4</v>
    <v>en-US</v>
    <v>a22xk2</v>
    <v>268435456</v>
    <v>1</v>
    <v>Powered by Refinitiv</v>
    <v>379.65</v>
    <v>308.83999999999997</v>
    <v>1.2571000000000001</v>
    <v>5.13</v>
    <v>1.5973999999999999E-2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327.06</v>
    <v>Chemicals</v>
    <v>Stock</v>
    <v>46002.03208747656</v>
    <v>224</v>
    <v>320.11</v>
    <v>80880212245</v>
    <v>THE SHERWIN-WILLIAMS COMPANY</v>
    <v>THE SHERWIN-WILLIAMS COMPANY</v>
    <v>322.19</v>
    <v>31.843299999999999</v>
    <v>321.14</v>
    <v>326.27</v>
    <v>247893500</v>
    <v>SHW</v>
    <v>THE SHERWIN-WILLIAMS COMPANY (XNYS:SHW)</v>
    <v>337</v>
    <v>1846599</v>
    <v>1884</v>
  </rv>
  <rv s="2">
    <v>225</v>
  </rv>
  <rv s="0">
    <v>https://www.bing.com/financeapi/forcetrigger?t=a2319c&amp;q=XNYS%3aSJM&amp;form=skydnc</v>
    <v>Learn more on Bing</v>
  </rv>
  <rv s="1">
    <v>0</v>
    <v>THE J. M. SMUCKER COMPANY (XNYS:SJM)</v>
    <v>2</v>
    <v>3</v>
    <v>Finance</v>
    <v>4</v>
    <v>en-US</v>
    <v>a2319c</v>
    <v>268435456</v>
    <v>1</v>
    <v>Powered by Refinitiv</v>
    <v>121.48</v>
    <v>93.3</v>
    <v>0.2167</v>
    <v>0.28000000000000003</v>
    <v>2.8170000000000001E-3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100.12</v>
    <v>Food &amp; Tobacco</v>
    <v>Stock</v>
    <v>46002.010894339845</v>
    <v>227</v>
    <v>98.64</v>
    <v>10605420000</v>
    <v>THE J. M. SMUCKER COMPANY</v>
    <v>THE J. M. SMUCKER COMPANY</v>
    <v>99.71</v>
    <v>0</v>
    <v>99.4</v>
    <v>99.68</v>
    <v>106694300</v>
    <v>SJM</v>
    <v>THE J. M. SMUCKER COMPANY (XNYS:SJM)</v>
    <v>85</v>
    <v>1739568</v>
    <v>1921</v>
  </rv>
  <rv s="2">
    <v>228</v>
  </rv>
  <rv s="0">
    <v>https://www.bing.com/financeapi/forcetrigger?t=a237gh&amp;q=XNYS%3aSNA&amp;form=skydnc</v>
    <v>Learn more on Bing</v>
  </rv>
  <rv s="1">
    <v>0</v>
    <v>SNAP-ON INCORPORATED (XNYS:SNA)</v>
    <v>2</v>
    <v>3</v>
    <v>Finance</v>
    <v>4</v>
    <v>en-US</v>
    <v>a237gh</v>
    <v>268435456</v>
    <v>1</v>
    <v>Powered by Refinitiv</v>
    <v>365.78</v>
    <v>289.81</v>
    <v>0.78900000000000003</v>
    <v>5.59</v>
    <v>1.6303999999999999E-2</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350.56</v>
    <v>Machinery, Equipment &amp; Components</v>
    <v>Stock</v>
    <v>46002.000000010936</v>
    <v>230</v>
    <v>343.33</v>
    <v>18122554357</v>
    <v>SNAP-ON INCORPORATED</v>
    <v>SNAP-ON INCORPORATED</v>
    <v>343.33</v>
    <v>18.2668</v>
    <v>342.87</v>
    <v>348.46</v>
    <v>52007560</v>
    <v>SNA</v>
    <v>SNAP-ON INCORPORATED (XNYS:SNA)</v>
    <v>6</v>
    <v>278308</v>
    <v>1930</v>
  </rv>
  <rv s="2">
    <v>231</v>
  </rv>
  <rv s="0">
    <v>https://www.bing.com/financeapi/forcetrigger?t=a23a5r&amp;q=XNYS%3aSO&amp;form=skydnc</v>
    <v>Learn more on Bing</v>
  </rv>
  <rv s="1">
    <v>0</v>
    <v>THE SOUTHERN COMPANY (XNYS:SO)</v>
    <v>2</v>
    <v>3</v>
    <v>Finance</v>
    <v>4</v>
    <v>en-US</v>
    <v>a23a5r</v>
    <v>268435456</v>
    <v>1</v>
    <v>Powered by Refinitiv</v>
    <v>100.83499999999999</v>
    <v>80.459999999999994</v>
    <v>0.44640000000000002</v>
    <v>-1.41</v>
    <v>-1.6493000000000001E-2</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85.38</v>
    <v>Electrical Utilities &amp; IPPs</v>
    <v>Stock</v>
    <v>46002.0356865625</v>
    <v>233</v>
    <v>83.8</v>
    <v>92580908400</v>
    <v>THE SOUTHERN COMPANY</v>
    <v>THE SOUTHERN COMPANY</v>
    <v>85.18</v>
    <v>20.8766</v>
    <v>85.49</v>
    <v>84.08</v>
    <v>1101105000</v>
    <v>SO</v>
    <v>THE SOUTHERN COMPANY (XNYS:SO)</v>
    <v>4281</v>
    <v>6209982</v>
    <v>1945</v>
  </rv>
  <rv s="2">
    <v>234</v>
  </rv>
  <rv s="0">
    <v>https://www.bing.com/financeapi/forcetrigger?t=a23d6h&amp;q=XNYS%3aSPG&amp;form=skydnc</v>
    <v>Learn more on Bing</v>
  </rv>
  <rv s="1">
    <v>0</v>
    <v>SIMON PROPERTY GROUP, INC. (XNYS:SPG)</v>
    <v>2</v>
    <v>3</v>
    <v>Finance</v>
    <v>4</v>
    <v>en-US</v>
    <v>a23d6h</v>
    <v>268435456</v>
    <v>1</v>
    <v>Powered by Refinitiv</v>
    <v>190.13499999999999</v>
    <v>136.34</v>
    <v>1.3998999999999999</v>
    <v>2.81</v>
    <v>1.5710999999999999E-2</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183.2</v>
    <v>Residential &amp; Commercial REIT</v>
    <v>Stock</v>
    <v>46002.017999432814</v>
    <v>236</v>
    <v>179.255</v>
    <v>59107410000</v>
    <v>SIMON PROPERTY GROUP, INC.</v>
    <v>SIMON PROPERTY GROUP, INC.</v>
    <v>179.33</v>
    <v>21.265899999999998</v>
    <v>178.85</v>
    <v>181.66</v>
    <v>326470100</v>
    <v>SPG</v>
    <v>SIMON PROPERTY GROUP, INC. (XNYS:SPG)</v>
    <v>88</v>
    <v>1326190</v>
    <v>1998</v>
  </rv>
  <rv s="2">
    <v>237</v>
  </rv>
  <rv s="0">
    <v>https://www.bing.com/financeapi/forcetrigger?t=a23d9c&amp;q=XNYS%3aSPGI&amp;form=skydnc</v>
    <v>Learn more on Bing</v>
  </rv>
  <rv s="1">
    <v>0</v>
    <v>S&amp;P Global Inc. (XNYS:SPGI)</v>
    <v>2</v>
    <v>3</v>
    <v>Finance</v>
    <v>4</v>
    <v>en-US</v>
    <v>a23d9c</v>
    <v>268435456</v>
    <v>1</v>
    <v>Powered by Refinitiv</v>
    <v>579.04999999999995</v>
    <v>427.14</v>
    <v>1.2131000000000001</v>
    <v>0.59</v>
    <v>1.2019999999999999E-3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42350</v>
    <v>New York Stock Exchange</v>
    <v>XNYS</v>
    <v>XNYS</v>
    <v>55 Water Street, NEW YORK, NY, 10041 US</v>
    <v>492.84500000000003</v>
    <v>Professional &amp; Commercial Services</v>
    <v>Stock</v>
    <v>46002.032885010936</v>
    <v>239</v>
    <v>485.26</v>
    <v>148771696000</v>
    <v>S&amp;P Global Inc.</v>
    <v>S&amp;P Global Inc.</v>
    <v>490.88</v>
    <v>35.718299999999999</v>
    <v>490.73</v>
    <v>491.32</v>
    <v>302800000</v>
    <v>SPGI</v>
    <v>S&amp;P Global Inc. (XNYS:SPGI)</v>
    <v>257</v>
    <v>1464428</v>
    <v>1925</v>
  </rv>
  <rv s="2">
    <v>240</v>
  </rv>
  <rv s="0">
    <v>https://www.bing.com/financeapi/forcetrigger?t=a23www&amp;q=XNYS%3aT&amp;form=skydnc</v>
    <v>Learn more on Bing</v>
  </rv>
  <rv s="1">
    <v>0</v>
    <v>AT&amp;T INC. (XNYS:T)</v>
    <v>2</v>
    <v>3</v>
    <v>Finance</v>
    <v>4</v>
    <v>en-US</v>
    <v>a23www</v>
    <v>268435456</v>
    <v>1</v>
    <v>Powered by Refinitiv</v>
    <v>29.79</v>
    <v>21.38</v>
    <v>0.37030000000000002</v>
    <v>-0.115</v>
    <v>-4.692E-3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24.6005</v>
    <v>Telecommunications Services</v>
    <v>Stock</v>
    <v>46002.041330856249</v>
    <v>242</v>
    <v>24.274999999999999</v>
    <v>172947132750</v>
    <v>AT&amp;T INC.</v>
    <v>AT&amp;T INC.</v>
    <v>24.56</v>
    <v>7.9139999999999997</v>
    <v>24.51</v>
    <v>24.395</v>
    <v>7089450000</v>
    <v>T</v>
    <v>AT&amp;T INC. (XNYS:T)</v>
    <v>35186</v>
    <v>43073021</v>
    <v>1983</v>
  </rv>
  <rv s="2">
    <v>243</v>
  </rv>
  <rv s="0">
    <v>https://www.bing.com/financeapi/forcetrigger?t=a246z2&amp;q=XNYS%3aTGT&amp;form=skydnc</v>
    <v>Learn more on Bing</v>
  </rv>
  <rv s="1">
    <v>0</v>
    <v>TARGET CORPORATION (XNYS:TGT)</v>
    <v>2</v>
    <v>3</v>
    <v>Finance</v>
    <v>4</v>
    <v>en-US</v>
    <v>a246z2</v>
    <v>268435456</v>
    <v>1</v>
    <v>Powered by Refinitiv</v>
    <v>145.08000000000001</v>
    <v>83.44</v>
    <v>1.131</v>
    <v>1</v>
    <v>1.0681000000000001E-2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95.4</v>
    <v>Diversified Retail</v>
    <v>Stock</v>
    <v>46002.041161978908</v>
    <v>245</v>
    <v>92.94</v>
    <v>42844541568</v>
    <v>TARGET CORPORATION</v>
    <v>TARGET CORPORATION</v>
    <v>93.87</v>
    <v>11.481199999999999</v>
    <v>93.62</v>
    <v>94.62</v>
    <v>452806400</v>
    <v>TGT</v>
    <v>TARGET CORPORATION (XNYS:TGT)</v>
    <v>5171</v>
    <v>7716108</v>
    <v>1902</v>
  </rv>
  <rv s="2">
    <v>246</v>
  </rv>
  <rv s="0">
    <v>http://it.wikipedia.org/wiki/T._Rowe_Price</v>
    <v>Wikipedia</v>
  </rv>
  <rv s="5">
    <v>160</v>
    <v>248</v>
  </rv>
  <rv s="6">
    <v>13</v>
    <v>https://www.bing.com/th?id=AMMS_4c600be848f66590834841f27e6f786d&amp;qlt=95</v>
    <v>249</v>
    <v>0</v>
    <v>https://www.bing.com/images/search?form=xlimg&amp;q=t.+rowe+price</v>
    <v>Image of T. ROWE PRICE GROUP, INC.</v>
  </rv>
  <rv s="0">
    <v>https://www.bing.com/financeapi/forcetrigger?t=a24i3m&amp;q=XNAS%3aTROW&amp;form=skydnc</v>
    <v>Learn more on Bing</v>
  </rv>
  <rv s="7">
    <v>9</v>
    <v>T. ROWE PRICE GROUP, INC. (XNAS:TROW)</v>
    <v>11</v>
    <v>12</v>
    <v>Finance</v>
    <v>4</v>
    <v>en-US</v>
    <v>a24i3m</v>
    <v>268435456</v>
    <v>1</v>
    <v>Powered by Refinitiv</v>
    <v>123.55</v>
    <v>77.849999999999994</v>
    <v>1.5339</v>
    <v>-1.81</v>
    <v>-1.7177999999999999E-2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104.9</v>
    <v>250</v>
    <v>Investment Banking &amp; Investment Services</v>
    <v>Stock</v>
    <v>46002.018337221874</v>
    <v>251</v>
    <v>101.16</v>
    <v>22600623720</v>
    <v>T. ROWE PRICE GROUP, INC.</v>
    <v>T. ROWE PRICE GROUP, INC.</v>
    <v>103.92</v>
    <v>11.28</v>
    <v>105.37</v>
    <v>103.56</v>
    <v>218237000</v>
    <v>TROW</v>
    <v>T. ROWE PRICE GROUP, INC. (XNAS:TROW)</v>
    <v>352</v>
    <v>1712774</v>
    <v>2000</v>
  </rv>
  <rv s="2">
    <v>252</v>
  </rv>
  <rv s="0">
    <v>https://www.bing.com/financeapi/forcetrigger?t=a24kjc&amp;q=XNYS%3aTSM&amp;form=skydnc</v>
    <v>Learn more on Bing</v>
  </rv>
  <rv s="1">
    <v>0</v>
    <v>Taiwan Semiconductor Manufacturing Co., Ltd. (XNYS:TSM)</v>
    <v>2</v>
    <v>3</v>
    <v>Finance</v>
    <v>4</v>
    <v>en-US</v>
    <v>a24kjc</v>
    <v>268435456</v>
    <v>1</v>
    <v>Powered by Refinitiv</v>
    <v>313.98</v>
    <v>134.25</v>
    <v>1.2935000000000001</v>
    <v>6.73</v>
    <v>2.2181000000000003E-2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313.98</v>
    <v>Semiconductors &amp; Semiconductor Equipment</v>
    <v>Stock</v>
    <v>46002.041629767969</v>
    <v>254</v>
    <v>302.5</v>
    <v>1231830000000</v>
    <v>Taiwan Semiconductor Manufacturing Co., Ltd.</v>
    <v>Taiwan Semiconductor Manufacturing Co., Ltd.</v>
    <v>305.37</v>
    <v>30.781700000000001</v>
    <v>303.41000000000003</v>
    <v>310.14</v>
    <v>5186505000</v>
    <v>TSM</v>
    <v>Taiwan Semiconductor Manufacturing Co., Ltd. (XNYS:TSM)</v>
    <v>266013</v>
    <v>11748747</v>
    <v>1987</v>
  </rv>
  <rv s="2">
    <v>255</v>
  </rv>
  <rv s="0">
    <v>https://www.bing.com/financeapi/forcetrigger?t=a24km7&amp;q=XNYS%3aTSN&amp;form=skydnc</v>
    <v>Learn more on Bing</v>
  </rv>
  <rv s="1">
    <v>0</v>
    <v>TYSON FOODS, INCORPORATED (XNYS:TSN)</v>
    <v>2</v>
    <v>3</v>
    <v>Finance</v>
    <v>5</v>
    <v>en-US</v>
    <v>a24km7</v>
    <v>268435456</v>
    <v>1</v>
    <v>Powered by Refinitiv</v>
    <v>64.36</v>
    <v>50.56</v>
    <v>0.46889999999999998</v>
    <v>1.76</v>
    <v>3.1479E-2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57.83</v>
    <v>Food &amp; Tobacco</v>
    <v>Stock</v>
    <v>46002.035596631249</v>
    <v>257</v>
    <v>55.952500000000001</v>
    <v>20360629947</v>
    <v>TYSON FOODS, INCORPORATED</v>
    <v>TYSON FOODS, INCORPORATED</v>
    <v>56.02</v>
    <v>43.076500000000003</v>
    <v>55.91</v>
    <v>57.67</v>
    <v>353054100</v>
    <v>TSN</v>
    <v>TYSON FOODS, INCORPORATED (XNYS:TSN)</v>
    <v>121</v>
    <v>3628628</v>
    <v>1986</v>
  </rv>
  <rv s="2">
    <v>258</v>
  </rv>
  <rv s="0">
    <v>https://www.bing.com/financeapi/forcetrigger?t=a24p1h&amp;q=XNAS%3aTXN&amp;form=skydnc</v>
    <v>Learn more on Bing</v>
  </rv>
  <rv s="1">
    <v>0</v>
    <v>TEXAS INSTRUMENTS INCORPORATED (XNAS:TXN)</v>
    <v>2</v>
    <v>3</v>
    <v>Finance</v>
    <v>4</v>
    <v>en-US</v>
    <v>a24p1h</v>
    <v>268435456</v>
    <v>1</v>
    <v>Powered by Refinitiv</v>
    <v>221.69</v>
    <v>139.94999999999999</v>
    <v>0.98750000000000004</v>
    <v>2.15</v>
    <v>1.1976000000000001E-2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182.72</v>
    <v>Semiconductors &amp; Semiconductor Equipment</v>
    <v>Stock</v>
    <v>46002.040155740622</v>
    <v>260</v>
    <v>177.5</v>
    <v>165069540410</v>
    <v>TEXAS INSTRUMENTS INCORPORATED</v>
    <v>TEXAS INSTRUMENTS INCORPORATED</v>
    <v>177.83</v>
    <v>33.150700000000001</v>
    <v>179.52</v>
    <v>181.67</v>
    <v>908623000</v>
    <v>TXN</v>
    <v>TEXAS INSTRUMENTS INCORPORATED (XNAS:TXN)</v>
    <v>2259</v>
    <v>7278925</v>
    <v>1938</v>
  </rv>
  <rv s="2">
    <v>261</v>
  </rv>
  <rv s="0">
    <v>https://www.bing.com/financeapi/forcetrigger?t=afn5yc&amp;q=XFRA%3aUNH&amp;form=skydnc</v>
    <v>Learn more on Bing</v>
  </rv>
  <rv s="1">
    <v>0</v>
    <v>UNITEDHEALTH GROUP INCORPORATED (XFRA:UNH)</v>
    <v>2</v>
    <v>16</v>
    <v>Finance</v>
    <v>17</v>
    <v>en-US</v>
    <v>afn5yc</v>
    <v>268435456</v>
    <v>1</v>
    <v>Powered by Refinitiv</v>
    <v>589.70000000000005</v>
    <v>168.42</v>
    <v>0.42599999999999999</v>
    <v>1.6</v>
    <v>5.7450000000000001E-3</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280.10000000000002</v>
    <v>Healthcare Providers &amp; Services</v>
    <v>Stock</v>
    <v>46002.550694444442</v>
    <v>263</v>
    <v>278.5</v>
    <v>297450200000</v>
    <v>UNITEDHEALTH GROUP INCORPORATED</v>
    <v>UNITEDHEALTH GROUP INCORPORATED</v>
    <v>278.5</v>
    <v>17.141999999999999</v>
    <v>278.5</v>
    <v>280.10000000000002</v>
    <v>905838600</v>
    <v>UNH</v>
    <v>UNITEDHEALTH GROUP INCORPORATED (XFRA:UNH)</v>
    <v>139</v>
    <v>6139930</v>
    <v>2015</v>
  </rv>
  <rv s="2">
    <v>264</v>
  </rv>
  <rv s="0">
    <v>https://www.bing.com/financeapi/forcetrigger?t=a24xww&amp;q=XNYS%3aUNP&amp;form=skydnc</v>
    <v>Learn more on Bing</v>
  </rv>
  <rv s="1">
    <v>0</v>
    <v>UNION PACIFIC CORPORATION (XNYS:UNP)</v>
    <v>2</v>
    <v>3</v>
    <v>Finance</v>
    <v>4</v>
    <v>en-US</v>
    <v>a24xww</v>
    <v>268435456</v>
    <v>1</v>
    <v>Powered by Refinitiv</v>
    <v>256.83999999999997</v>
    <v>204.66</v>
    <v>0.99619999999999997</v>
    <v>3.85</v>
    <v>1.6626000000000002E-2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29576</v>
    <v>New York Stock Exchange</v>
    <v>XNYS</v>
    <v>XNYS</v>
    <v>1400 Douglas Street, OMAHA, NE, 68179 US</v>
    <v>236.77</v>
    <v>Freight &amp; Logistics Services</v>
    <v>Stock</v>
    <v>46002.037752846874</v>
    <v>266</v>
    <v>231.85</v>
    <v>139636007469</v>
    <v>UNION PACIFIC CORPORATION</v>
    <v>UNION PACIFIC CORPORATION</v>
    <v>232.01</v>
    <v>19.987200000000001</v>
    <v>231.56</v>
    <v>235.41</v>
    <v>593160900</v>
    <v>UNP</v>
    <v>UNION PACIFIC CORPORATION (XNYS:UNP)</v>
    <v>2991</v>
    <v>3299716</v>
    <v>1969</v>
  </rv>
  <rv s="2">
    <v>267</v>
  </rv>
  <rv s="0">
    <v>https://www.bing.com/financeapi/forcetrigger?t=a24ynm&amp;q=XNYS%3aUPS&amp;form=skydnc</v>
    <v>Learn more on Bing</v>
  </rv>
  <rv s="1">
    <v>0</v>
    <v>UNITED PARCEL SERVICE, INC. (XNYS:UPS)</v>
    <v>2</v>
    <v>3</v>
    <v>Finance</v>
    <v>4</v>
    <v>en-US</v>
    <v>a24ynm</v>
    <v>268435456</v>
    <v>1</v>
    <v>Powered by Refinitiv</v>
    <v>136.99</v>
    <v>82</v>
    <v>1.0999000000000001</v>
    <v>2.68</v>
    <v>2.7637000000000002E-2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100.11</v>
    <v>Freight &amp; Logistics Services</v>
    <v>Stock</v>
    <v>46002.04092614531</v>
    <v>269</v>
    <v>97.1</v>
    <v>84541625040</v>
    <v>UNITED PARCEL SERVICE, INC.</v>
    <v>UNITED PARCEL SERVICE, INC.</v>
    <v>97.14</v>
    <v>15.3973</v>
    <v>96.97</v>
    <v>99.65</v>
    <v>848385600</v>
    <v>UPS</v>
    <v>UNITED PARCEL SERVICE, INC. (XNYS:UPS)</v>
    <v>10368</v>
    <v>6380925</v>
    <v>1999</v>
  </rv>
  <rv s="2">
    <v>270</v>
  </rv>
  <rv s="0">
    <v>https://www.bing.com/financeapi/forcetrigger?t=a256cw&amp;q=XNYS%3aV&amp;form=skydnc</v>
    <v>Learn more on Bing</v>
  </rv>
  <rv s="1">
    <v>0</v>
    <v>VISA INC. (XNYS:V)</v>
    <v>2</v>
    <v>3</v>
    <v>Finance</v>
    <v>4</v>
    <v>en-US</v>
    <v>a256cw</v>
    <v>268435456</v>
    <v>1</v>
    <v>Powered by Refinitiv</v>
    <v>375.51</v>
    <v>299</v>
    <v>0.82099999999999995</v>
    <v>-0.77</v>
    <v>-2.3580000000000003E-3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328.76</v>
    <v>Professional &amp; Commercial Services</v>
    <v>Stock</v>
    <v>46002.041635265625</v>
    <v>272</v>
    <v>325.3</v>
    <v>622873283740</v>
    <v>VISA INC.</v>
    <v>VISA INC.</v>
    <v>326.64</v>
    <v>31.912500000000001</v>
    <v>326.5</v>
    <v>325.73</v>
    <v>1912238000</v>
    <v>V</v>
    <v>VISA INC. (XNYS:V)</v>
    <v>39126</v>
    <v>6302836</v>
    <v>2007</v>
  </rv>
  <rv s="2">
    <v>273</v>
  </rv>
  <rv s="0">
    <v>https://www.bing.com/financeapi/forcetrigger?t=a25obh&amp;q=XNYS%3aVZ&amp;form=skydnc</v>
    <v>Learn more on Bing</v>
  </rv>
  <rv s="1">
    <v>0</v>
    <v>VERIZON COMMUNICATIONS INC. (XNYS:VZ)</v>
    <v>2</v>
    <v>3</v>
    <v>Finance</v>
    <v>4</v>
    <v>en-US</v>
    <v>a25obh</v>
    <v>268435456</v>
    <v>1</v>
    <v>Powered by Refinitiv</v>
    <v>47.354999999999997</v>
    <v>37.585000000000001</v>
    <v>0.32829999999999998</v>
    <v>-0.22</v>
    <v>-5.4810000000000006E-3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40.26</v>
    <v>Telecommunications Services</v>
    <v>Stock</v>
    <v>46002.041407291406</v>
    <v>275</v>
    <v>39.68</v>
    <v>168319686000</v>
    <v>VERIZON COMMUNICATIONS INC.</v>
    <v>VERIZON COMMUNICATIONS INC.</v>
    <v>40.200000000000003</v>
    <v>8.5105000000000004</v>
    <v>40.14</v>
    <v>39.92</v>
    <v>4216425000</v>
    <v>VZ</v>
    <v>VERIZON COMMUNICATIONS INC. (XNYS:VZ)</v>
    <v>42465</v>
    <v>25901622</v>
    <v>1983</v>
  </rv>
  <rv s="2">
    <v>276</v>
  </rv>
  <rv s="0">
    <v>https://www.bing.com/financeapi/forcetrigger?t=a25ya2&amp;q=XNYS%3aWMT&amp;form=skydnc</v>
    <v>Learn more on Bing</v>
  </rv>
  <rv s="1">
    <v>0</v>
    <v>WALMART INC. (XNAS:WMT)</v>
    <v>2</v>
    <v>3</v>
    <v>Finance</v>
    <v>4</v>
    <v>en-US</v>
    <v>a25ya2</v>
    <v>268435456</v>
    <v>1</v>
    <v>Powered by Refinitiv</v>
    <v>116.27</v>
    <v>79.81</v>
    <v>0.66080000000000005</v>
    <v>-1.88</v>
    <v>-1.6338999999999999E-2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116.23</v>
    <v>Food &amp; Drug Retailing</v>
    <v>Stock</v>
    <v>46002.041586539061</v>
    <v>278</v>
    <v>112.99</v>
    <v>902063501060</v>
    <v>WALMART INC.</v>
    <v>WALMART INC.</v>
    <v>115.35</v>
    <v>39.697699999999998</v>
    <v>115.06</v>
    <v>113.18</v>
    <v>7970167000</v>
    <v>WMT</v>
    <v>WALMART INC. (XNAS:WMT)</v>
    <v>68809</v>
    <v>21765729</v>
    <v>1969</v>
  </rv>
  <rv s="2">
    <v>279</v>
  </rv>
  <rv s="0">
    <v>https://www.bing.com/financeapi/forcetrigger?t=a269ec&amp;q=XNYS%3aXOM&amp;form=skydnc</v>
    <v>Learn more on Bing</v>
  </rv>
  <rv s="1">
    <v>0</v>
    <v>EXXON MOBIL CORPORATION (XNYS:XOM)</v>
    <v>2</v>
    <v>3</v>
    <v>Finance</v>
    <v>4</v>
    <v>en-US</v>
    <v>a269ec</v>
    <v>268435456</v>
    <v>1</v>
    <v>Powered by Refinitiv</v>
    <v>120.8099</v>
    <v>97.8</v>
    <v>0.36699999999999999</v>
    <v>1.2749999999999999</v>
    <v>1.0782E-2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119.86499999999999</v>
    <v>Oil &amp; Gas</v>
    <v>Stock</v>
    <v>46002.041334247653</v>
    <v>281</v>
    <v>118.37</v>
    <v>504056766150</v>
    <v>EXXON MOBIL CORPORATION</v>
    <v>EXXON MOBIL CORPORATION</v>
    <v>118.72499999999999</v>
    <v>17.3766</v>
    <v>118.25</v>
    <v>119.52500000000001</v>
    <v>4217166000</v>
    <v>XOM</v>
    <v>EXXON MOBIL CORPORATION (XNYS:XOM)</v>
    <v>14594</v>
    <v>15163792</v>
    <v>1882</v>
  </rv>
  <rv s="2">
    <v>282</v>
  </rv>
  <rv s="0">
    <v>https://www.bing.com/financeapi/forcetrigger?t=a26hyc&amp;q=XNYS%3aZTS&amp;form=skydnc</v>
    <v>Learn more on Bing</v>
  </rv>
  <rv s="1">
    <v>0</v>
    <v>ZOETIS INC. (XNYS:ZTS)</v>
    <v>2</v>
    <v>3</v>
    <v>Finance</v>
    <v>4</v>
    <v>en-US</v>
    <v>a26hyc</v>
    <v>268435456</v>
    <v>1</v>
    <v>Powered by Refinitiv</v>
    <v>181.85</v>
    <v>115.25</v>
    <v>0.97250000000000003</v>
    <v>2.3199999999999998</v>
    <v>2.0043000000000002E-2</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118.44</v>
    <v>Pharmaceuticals</v>
    <v>Stock</v>
    <v>46002.036087985936</v>
    <v>284</v>
    <v>115.6</v>
    <v>52032646124</v>
    <v>ZOETIS INC.</v>
    <v>ZOETIS INC.</v>
    <v>115.96</v>
    <v>19.893999999999998</v>
    <v>115.75</v>
    <v>118.07</v>
    <v>440693200</v>
    <v>ZTS</v>
    <v>ZOETIS INC. (XNYS:ZTS)</v>
    <v>702</v>
    <v>5236705</v>
    <v>2012</v>
  </rv>
  <rv s="2">
    <v>285</v>
  </rv>
  <rv s="0">
    <v>https://www.bing.com/financeapi/forcetrigger?t=a1r5fr&amp;q=XNYS%3aDLR&amp;form=skydnc</v>
    <v>Learn more on Bing</v>
  </rv>
  <rv s="1">
    <v>0</v>
    <v>DIGITAL REALTY TRUST, INC. (XNYS:DLR)</v>
    <v>2</v>
    <v>3</v>
    <v>Finance</v>
    <v>4</v>
    <v>en-US</v>
    <v>a1r5fr</v>
    <v>268435456</v>
    <v>1</v>
    <v>Powered by Refinitiv</v>
    <v>189.21</v>
    <v>129.94999999999999</v>
    <v>1.1222000000000001</v>
    <v>-3.27</v>
    <v>-2.0091000000000001E-2</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163.405</v>
    <v>Residential &amp; Commercial REIT</v>
    <v>Stock</v>
    <v>46002.031317117966</v>
    <v>287</v>
    <v>159</v>
    <v>54785070184</v>
    <v>DIGITAL REALTY TRUST, INC.</v>
    <v>DIGITAL REALTY TRUST, INC.</v>
    <v>162.55000000000001</v>
    <v>41.323799999999999</v>
    <v>162.76</v>
    <v>159.49</v>
    <v>343501600</v>
    <v>DLR</v>
    <v>DIGITAL REALTY TRUST, INC. (XNYS:DLR)</v>
    <v>646</v>
    <v>1827324</v>
    <v>2004</v>
  </rv>
  <rv s="2">
    <v>288</v>
  </rv>
  <rv s="0">
    <v>https://www.bing.com/financeapi/forcetrigger?t=a1s4mw&amp;q=XNAS%3aEQIX&amp;form=skydnc</v>
    <v>Learn more on Bing</v>
  </rv>
  <rv s="1">
    <v>0</v>
    <v>EQUINIX, INC. (XNAS:EQIX)</v>
    <v>2</v>
    <v>3</v>
    <v>Finance</v>
    <v>4</v>
    <v>en-US</v>
    <v>a1s4mw</v>
    <v>268435456</v>
    <v>1</v>
    <v>Powered by Refinitiv</v>
    <v>986.5</v>
    <v>701.41</v>
    <v>1.0396000000000001</v>
    <v>-6.27</v>
    <v>-8.4650000000000003E-3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13606</v>
    <v>Nasdaq Stock Market</v>
    <v>XNAS</v>
    <v>XNAS</v>
    <v>One Lagoon Drive, REDWOOD CITY, CA, 94065 US</v>
    <v>747.46</v>
    <v>Residential &amp; Commercial REIT</v>
    <v>Stock</v>
    <v>46002.027784895312</v>
    <v>290</v>
    <v>732.65</v>
    <v>72107857152</v>
    <v>EQUINIX, INC.</v>
    <v>EQUINIX, INC.</v>
    <v>743.22</v>
    <v>67.239000000000004</v>
    <v>740.67</v>
    <v>734.4</v>
    <v>98186080</v>
    <v>EQIX</v>
    <v>EQUINIX, INC. (XNAS:EQIX)</v>
    <v>158</v>
    <v>575901</v>
    <v>1998</v>
  </rv>
  <rv s="2">
    <v>291</v>
  </rv>
  <rv s="0">
    <v>https://www.bing.com/financeapi/forcetrigger?t=a1vrec&amp;q=XNYS%3aIRM&amp;form=skydnc</v>
    <v>Learn more on Bing</v>
  </rv>
  <rv s="1">
    <v>0</v>
    <v>IRON MOUNTAIN INCORPORATED (XNYS:IRM)</v>
    <v>2</v>
    <v>3</v>
    <v>Finance</v>
    <v>4</v>
    <v>en-US</v>
    <v>a1vrec</v>
    <v>268435456</v>
    <v>1</v>
    <v>Powered by Refinitiv</v>
    <v>114.8</v>
    <v>72.33</v>
    <v>1.1443000000000001</v>
    <v>0.4</v>
    <v>4.6999999999999993E-3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86.635000000000005</v>
    <v>Residential &amp; Commercial REIT</v>
    <v>Stock</v>
    <v>46002.027347731251</v>
    <v>293</v>
    <v>83.78</v>
    <v>25272902250</v>
    <v>IRON MOUNTAIN INCORPORATED</v>
    <v>IRON MOUNTAIN INCORPORATED</v>
    <v>85.15</v>
    <v>160.07040000000001</v>
    <v>85.1</v>
    <v>85.5</v>
    <v>295589500</v>
    <v>IRM</v>
    <v>IRON MOUNTAIN INCORPORATED (XNYS:IRM)</v>
    <v>857</v>
    <v>2413995</v>
    <v>2014</v>
  </rv>
  <rv s="2">
    <v>294</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spbArrays>
  <spbData count="18">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0">
      <v>1</v>
      <v>Name</v>
      <v>LearnMoreOnLink</v>
    </spb>
    <spb s="5">
      <v>1</v>
      <v>2</v>
      <v>1</v>
      <v>3</v>
      <v>1</v>
      <v>1</v>
      <v>1</v>
      <v>4</v>
      <v>4</v>
      <v>5</v>
      <v>6</v>
      <v>1</v>
      <v>1</v>
      <v>1</v>
      <v>4</v>
      <v>7</v>
      <v>8</v>
      <v>9</v>
      <v>4</v>
    </spb>
    <spb s="3">
      <v>1</v>
      <v>2</v>
      <v>2</v>
      <v>1</v>
      <v>3</v>
      <v>1</v>
      <v>1</v>
      <v>1</v>
      <v>4</v>
      <v>4</v>
      <v>5</v>
      <v>10</v>
      <v>1</v>
      <v>1</v>
      <v>1</v>
      <v>4</v>
      <v>7</v>
      <v>8</v>
      <v>9</v>
      <v>4</v>
    </spb>
    <spb s="0">
      <v>2</v>
      <v>Name</v>
      <v>LearnMoreOnLink</v>
    </spb>
    <spb s="6">
      <v>0</v>
      <v>0</v>
    </spb>
    <spb s="7">
      <v>10</v>
      <v>1</v>
      <v>1</v>
      <v>1</v>
      <v>1</v>
    </spb>
    <spb s="8">
      <v>1</v>
      <v>2</v>
      <v>2</v>
      <v>1</v>
      <v>3</v>
      <v>1</v>
      <v>11</v>
      <v>1</v>
      <v>1</v>
      <v>4</v>
      <v>4</v>
      <v>5</v>
      <v>6</v>
      <v>1</v>
      <v>1</v>
      <v>1</v>
      <v>4</v>
      <v>7</v>
      <v>8</v>
      <v>9</v>
      <v>4</v>
    </spb>
    <spb s="9">
      <v>Powered by Refinitiv</v>
    </spb>
    <spb s="0">
      <v>3</v>
      <v>Name</v>
      <v>LearnMoreOnLink</v>
    </spb>
    <spb s="10">
      <v>1</v>
      <v>2</v>
      <v>1</v>
      <v>3</v>
      <v>1</v>
      <v>11</v>
      <v>1</v>
      <v>1</v>
      <v>4</v>
      <v>4</v>
      <v>5</v>
      <v>6</v>
      <v>1</v>
      <v>1</v>
      <v>1</v>
      <v>4</v>
      <v>7</v>
      <v>8</v>
      <v>9</v>
      <v>4</v>
    </spb>
    <spb s="3">
      <v>12</v>
      <v>2</v>
      <v>2</v>
      <v>12</v>
      <v>3</v>
      <v>12</v>
      <v>12</v>
      <v>12</v>
      <v>4</v>
      <v>4</v>
      <v>5</v>
      <v>6</v>
      <v>12</v>
      <v>12</v>
      <v>12</v>
      <v>4</v>
      <v>7</v>
      <v>8</v>
      <v>9</v>
      <v>4</v>
    </spb>
    <spb s="11">
      <v>Delayed 15 minutes</v>
      <v>from previous close</v>
      <v>from previous close</v>
      <v>GMT</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94" totalsRowShown="0" headerRowDxfId="9">
  <autoFilter ref="A1:N94" xr:uid="{E0CA35FE-2F53-A347-8AD6-B5C0C701EF5E}"/>
  <sortState xmlns:xlrd2="http://schemas.microsoft.com/office/spreadsheetml/2017/richdata2" ref="A2:N91">
    <sortCondition ref="B1:B9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94"/>
  <sheetViews>
    <sheetView tabSelected="1" workbookViewId="0">
      <pane ySplit="1" topLeftCell="A2" activePane="bottomLeft" state="frozen"/>
      <selection pane="bottomLeft" activeCell="D11" sqref="D11"/>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278.77999999999997</v>
      </c>
      <c r="I2" s="2" cm="1">
        <f t="array" aca="1" ref="I2" ca="1">_FV(table1[[#This Row],[DataField]],"52 week low",TRUE)</f>
        <v>169.21010000000001</v>
      </c>
      <c r="J2" s="2" cm="1">
        <f t="array" aca="1" ref="J2" ca="1">_FV(table1[[#This Row],[DataField]],"52 week high",TRUE)</f>
        <v>288.62</v>
      </c>
      <c r="K2" s="4" cm="1">
        <f t="array" aca="1" ref="K2" ca="1">_FV(table1[[#This Row],[DataField]],"P/E",TRUE)</f>
        <v>37.538200000000003</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4119350852999</v>
      </c>
    </row>
    <row r="3" spans="1:14" x14ac:dyDescent="0.2">
      <c r="A3" t="e" vm="2">
        <v>#VALUE!</v>
      </c>
      <c r="B3" t="str" cm="1">
        <f t="array" aca="1" ref="B3" ca="1">_FV(table1[[#This Row],[DataField]],"Ticker symbol",TRUE)</f>
        <v>ABBV</v>
      </c>
      <c r="H3" s="2" cm="1">
        <f t="array" aca="1" ref="H3" ca="1">_FV(table1[[#This Row],[DataField]],"Price")</f>
        <v>225.18</v>
      </c>
      <c r="I3" s="2" cm="1">
        <f t="array" aca="1" ref="I3" ca="1">_FV(table1[[#This Row],[DataField]],"52 week low",TRUE)</f>
        <v>164.39</v>
      </c>
      <c r="J3" s="2" cm="1">
        <f t="array" aca="1" ref="J3" ca="1">_FV(table1[[#This Row],[DataField]],"52 week high",TRUE)</f>
        <v>244.81</v>
      </c>
      <c r="K3" s="4" cm="1">
        <f t="array" aca="1" ref="K3" ca="1">_FV(table1[[#This Row],[DataField]],"P/E",TRUE)</f>
        <v>169.90610000000001</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397979754300</v>
      </c>
    </row>
    <row r="4" spans="1:14" x14ac:dyDescent="0.2">
      <c r="A4" t="e" vm="3">
        <v>#VALUE!</v>
      </c>
      <c r="B4" t="str" cm="1">
        <f t="array" aca="1" ref="B4" ca="1">_FV(table1[[#This Row],[DataField]],"Ticker symbol",TRUE)</f>
        <v>ADM</v>
      </c>
      <c r="C4" t="b">
        <v>1</v>
      </c>
      <c r="D4" t="s">
        <v>5</v>
      </c>
      <c r="E4" t="b">
        <v>1</v>
      </c>
      <c r="H4" s="2" cm="1">
        <f t="array" aca="1" ref="H4" ca="1">_FV(table1[[#This Row],[DataField]],"Price")</f>
        <v>58.21</v>
      </c>
      <c r="I4" s="2" cm="1">
        <f t="array" aca="1" ref="I4" ca="1">_FV(table1[[#This Row],[DataField]],"52 week low",TRUE)</f>
        <v>40.98</v>
      </c>
      <c r="J4" s="2" cm="1">
        <f t="array" aca="1" ref="J4" ca="1">_FV(table1[[#This Row],[DataField]],"52 week high",TRUE)</f>
        <v>65</v>
      </c>
      <c r="K4" s="4" cm="1">
        <f t="array" aca="1" ref="K4" ca="1">_FV(table1[[#This Row],[DataField]],"P/E",TRUE)</f>
        <v>23.6129</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27973962237</v>
      </c>
    </row>
    <row r="5" spans="1:14" x14ac:dyDescent="0.2">
      <c r="A5" t="e" vm="4">
        <v>#VALUE!</v>
      </c>
      <c r="B5" t="str" cm="1">
        <f t="array" aca="1" ref="B5" ca="1">_FV(table1[[#This Row],[DataField]],"Ticker symbol",TRUE)</f>
        <v>ADP</v>
      </c>
      <c r="H5" s="2" cm="1">
        <f t="array" aca="1" ref="H5" ca="1">_FV(table1[[#This Row],[DataField]],"Price")</f>
        <v>259.33999999999997</v>
      </c>
      <c r="I5" s="2" cm="1">
        <f t="array" aca="1" ref="I5" ca="1">_FV(table1[[#This Row],[DataField]],"52 week low",TRUE)</f>
        <v>247.18350000000001</v>
      </c>
      <c r="J5" s="2" cm="1">
        <f t="array" aca="1" ref="J5" ca="1">_FV(table1[[#This Row],[DataField]],"52 week high",TRUE)</f>
        <v>329.92950000000002</v>
      </c>
      <c r="K5" s="4" cm="1">
        <f t="array" aca="1" ref="K5" ca="1">_FV(table1[[#This Row],[DataField]],"P/E",TRUE)</f>
        <v>25.574400000000001</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104889725857</v>
      </c>
    </row>
    <row r="6" spans="1:14" x14ac:dyDescent="0.2">
      <c r="A6" t="e" vm="5">
        <v>#VALUE!</v>
      </c>
      <c r="B6" t="str" cm="1">
        <f t="array" aca="1" ref="B6" ca="1">_FV(table1[[#This Row],[DataField]],"Ticker symbol",TRUE)</f>
        <v>AMD</v>
      </c>
      <c r="G6" t="s">
        <v>25</v>
      </c>
      <c r="H6" s="2" cm="1">
        <f t="array" aca="1" ref="H6" ca="1">_FV(table1[[#This Row],[DataField]],"Price")</f>
        <v>221.42</v>
      </c>
      <c r="I6" s="2" cm="1">
        <f t="array" aca="1" ref="I6" ca="1">_FV(table1[[#This Row],[DataField]],"52 week low",TRUE)</f>
        <v>76.48</v>
      </c>
      <c r="J6" s="2" cm="1">
        <f t="array" aca="1" ref="J6" ca="1">_FV(table1[[#This Row],[DataField]],"52 week high",TRUE)</f>
        <v>267.07990000000001</v>
      </c>
      <c r="K6" s="4" cm="1">
        <f t="array" aca="1" ref="K6" ca="1">_FV(table1[[#This Row],[DataField]],"P/E",TRUE)</f>
        <v>115.5402</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360481059640</v>
      </c>
    </row>
    <row r="7" spans="1:14" x14ac:dyDescent="0.2">
      <c r="A7" t="e" vm="6">
        <v>#VALUE!</v>
      </c>
      <c r="B7" t="str" cm="1">
        <f t="array" aca="1" ref="B7" ca="1">_FV(table1[[#This Row],[DataField]],"Ticker symbol",TRUE)</f>
        <v>AMT</v>
      </c>
      <c r="H7" s="2" cm="1">
        <f t="array" aca="1" ref="H7" ca="1">_FV(table1[[#This Row],[DataField]],"Price")</f>
        <v>180.26</v>
      </c>
      <c r="I7" s="2" cm="1">
        <f t="array" aca="1" ref="I7" ca="1">_FV(table1[[#This Row],[DataField]],"52 week low",TRUE)</f>
        <v>172.51</v>
      </c>
      <c r="J7" s="2" cm="1">
        <f t="array" aca="1" ref="J7" ca="1">_FV(table1[[#This Row],[DataField]],"52 week high",TRUE)</f>
        <v>234.33</v>
      </c>
      <c r="K7" s="4" cm="1">
        <f t="array" aca="1" ref="K7" ca="1">_FV(table1[[#This Row],[DataField]],"P/E",TRUE)</f>
        <v>28.752199999999998</v>
      </c>
      <c r="L7" s="2" t="str">
        <f ca="1">IF(table1[[#This Row],[Price]] &lt; (table1[[#This Row],[52Low]] * 0.25) + table1[[#This Row],[52Low]],  "TRUE", "FALSE")</f>
        <v>TRUE</v>
      </c>
      <c r="M7" s="2" t="str">
        <f ca="1">IF(table1[[#This Row],[Price]] &lt; (table1[[#This Row],[52Low]] * 0.1) + table1[[#This Row],[52Low]],  "TRUE", "FALSE")</f>
        <v>TRUE</v>
      </c>
      <c r="N7" s="6" cm="1">
        <f t="array" aca="1" ref="N7" ca="1">_FV(table1[[#This Row],[DataField]],"Market cap",TRUE)</f>
        <v>84388106116</v>
      </c>
    </row>
    <row r="8" spans="1:14" x14ac:dyDescent="0.2">
      <c r="A8" t="e" vm="7">
        <v>#VALUE!</v>
      </c>
      <c r="B8" t="str" cm="1">
        <f t="array" aca="1" ref="B8" ca="1">_FV(table1[[#This Row],[DataField]],"Ticker symbol",TRUE)</f>
        <v>AMZN</v>
      </c>
      <c r="C8" t="b">
        <v>1</v>
      </c>
      <c r="D8" t="s">
        <v>7</v>
      </c>
      <c r="E8" t="b">
        <v>1</v>
      </c>
      <c r="H8" s="2" cm="1">
        <f t="array" aca="1" ref="H8" ca="1">_FV(table1[[#This Row],[DataField]],"Price")</f>
        <v>231.78</v>
      </c>
      <c r="I8" s="2" cm="1">
        <f t="array" aca="1" ref="I8" ca="1">_FV(table1[[#This Row],[DataField]],"52 week low",TRUE)</f>
        <v>161.38</v>
      </c>
      <c r="J8" s="2" cm="1">
        <f t="array" aca="1" ref="J8" ca="1">_FV(table1[[#This Row],[DataField]],"52 week high",TRUE)</f>
        <v>258.60000000000002</v>
      </c>
      <c r="K8" s="4" cm="1">
        <f t="array" aca="1" ref="K8" ca="1">_FV(table1[[#This Row],[DataField]],"P/E",TRUE)</f>
        <v>32.742100000000001</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2436514000000</v>
      </c>
    </row>
    <row r="9" spans="1:14" x14ac:dyDescent="0.2">
      <c r="A9" t="e" vm="8">
        <v>#VALUE!</v>
      </c>
      <c r="B9" t="str" cm="1">
        <f t="array" aca="1" ref="B9" ca="1">_FV(table1[[#This Row],[DataField]],"Ticker symbol",TRUE)</f>
        <v>AOS</v>
      </c>
      <c r="H9" s="2" cm="1">
        <f t="array" aca="1" ref="H9" ca="1">_FV(table1[[#This Row],[DataField]],"Price")</f>
        <v>67.92</v>
      </c>
      <c r="I9" s="2" cm="1">
        <f t="array" aca="1" ref="I9" ca="1">_FV(table1[[#This Row],[DataField]],"52 week low",TRUE)</f>
        <v>58.83</v>
      </c>
      <c r="J9" s="2" cm="1">
        <f t="array" aca="1" ref="J9" ca="1">_FV(table1[[#This Row],[DataField]],"52 week high",TRUE)</f>
        <v>77.31</v>
      </c>
      <c r="K9" s="4" cm="1">
        <f t="array" aca="1" ref="K9" ca="1">_FV(table1[[#This Row],[DataField]],"P/E",TRUE)</f>
        <v>18.3386</v>
      </c>
      <c r="L9" s="2" t="str">
        <f ca="1">IF(table1[[#This Row],[Price]] &lt; (table1[[#This Row],[52Low]] * 0.25) + table1[[#This Row],[52Low]],  "TRUE", "FALSE")</f>
        <v>TRUE</v>
      </c>
      <c r="M9" s="2" t="str">
        <f ca="1">IF(table1[[#This Row],[Price]] &lt; (table1[[#This Row],[52Low]] * 0.1) + table1[[#This Row],[52Low]],  "TRUE", "FALSE")</f>
        <v>FALSE</v>
      </c>
      <c r="N9" s="6" cm="1">
        <f t="array" aca="1" ref="N9" ca="1">_FV(table1[[#This Row],[DataField]],"Market cap",TRUE)</f>
        <v>9457031376</v>
      </c>
    </row>
    <row r="10" spans="1:14" x14ac:dyDescent="0.2">
      <c r="A10" t="e" vm="9">
        <v>#VALUE!</v>
      </c>
      <c r="B10" t="str" cm="1">
        <f t="array" aca="1" ref="B10" ca="1">_FV(table1[[#This Row],[DataField]],"Ticker symbol",TRUE)</f>
        <v>ASML</v>
      </c>
      <c r="G10" t="s">
        <v>25</v>
      </c>
      <c r="H10" s="2" cm="1">
        <f t="array" aca="1" ref="H10" ca="1">_FV(table1[[#This Row],[DataField]],"Price")</f>
        <v>1119.32</v>
      </c>
      <c r="I10" s="2" cm="1">
        <f t="array" aca="1" ref="I10" ca="1">_FV(table1[[#This Row],[DataField]],"52 week low",TRUE)</f>
        <v>578.51</v>
      </c>
      <c r="J10" s="2" cm="1">
        <f t="array" aca="1" ref="J10" ca="1">_FV(table1[[#This Row],[DataField]],"52 week high",TRUE)</f>
        <v>1141.7190000000001</v>
      </c>
      <c r="K10" s="4" cm="1">
        <f t="array" aca="1" ref="K10" ca="1">_FV(table1[[#This Row],[DataField]],"P/E",TRUE)</f>
        <v>39.494900000000001</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430376900000</v>
      </c>
    </row>
    <row r="11" spans="1:14" x14ac:dyDescent="0.2">
      <c r="A11" t="e" vm="10">
        <v>#VALUE!</v>
      </c>
      <c r="B11" t="str" cm="1">
        <f t="array" aca="1" ref="B11" ca="1">_FV(table1[[#This Row],[DataField]],"Ticker symbol",TRUE)</f>
        <v>AVGO</v>
      </c>
      <c r="H11" s="2" cm="1">
        <f t="array" aca="1" ref="H11" ca="1">_FV(table1[[#This Row],[DataField]],"Price")</f>
        <v>412.97</v>
      </c>
      <c r="I11" s="2" cm="1">
        <f t="array" aca="1" ref="I11" ca="1">_FV(table1[[#This Row],[DataField]],"52 week low",TRUE)</f>
        <v>138.1</v>
      </c>
      <c r="J11" s="2" cm="1">
        <f t="array" aca="1" ref="J11" ca="1">_FV(table1[[#This Row],[DataField]],"52 week high",TRUE)</f>
        <v>414.61</v>
      </c>
      <c r="K11" s="4" cm="1">
        <f t="array" aca="1" ref="K11" ca="1">_FV(table1[[#This Row],[DataField]],"P/E",TRUE)</f>
        <v>105.8631</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1950195074050</v>
      </c>
    </row>
    <row r="12" spans="1:14" x14ac:dyDescent="0.2">
      <c r="A12" t="e" vm="11">
        <v>#VALUE!</v>
      </c>
      <c r="B12" t="str" cm="1">
        <f t="array" aca="1" ref="B12" ca="1">_FV(table1[[#This Row],[DataField]],"Ticker symbol",TRUE)</f>
        <v>AWK</v>
      </c>
      <c r="H12" s="2" cm="1">
        <f t="array" aca="1" ref="H12" ca="1">_FV(table1[[#This Row],[DataField]],"Price")</f>
        <v>128.72</v>
      </c>
      <c r="I12" s="2" cm="1">
        <f t="array" aca="1" ref="I12" ca="1">_FV(table1[[#This Row],[DataField]],"52 week low",TRUE)</f>
        <v>118.74</v>
      </c>
      <c r="J12" s="2" cm="1">
        <f t="array" aca="1" ref="J12" ca="1">_FV(table1[[#This Row],[DataField]],"52 week high",TRUE)</f>
        <v>155.5</v>
      </c>
      <c r="K12" s="4" cm="1">
        <f t="array" aca="1" ref="K12" ca="1">_FV(table1[[#This Row],[DataField]],"P/E",TRUE)</f>
        <v>22.572299999999998</v>
      </c>
      <c r="L12" s="2" t="str">
        <f ca="1">IF(table1[[#This Row],[Price]] &lt; (table1[[#This Row],[52Low]] * 0.25) + table1[[#This Row],[52Low]],  "TRUE", "FALSE")</f>
        <v>TRUE</v>
      </c>
      <c r="M12" s="2" t="str">
        <f ca="1">IF(table1[[#This Row],[Price]] &lt; (table1[[#This Row],[52Low]] * 0.1) + table1[[#This Row],[52Low]],  "TRUE", "FALSE")</f>
        <v>TRUE</v>
      </c>
      <c r="N12" s="6" cm="1">
        <f t="array" aca="1" ref="N12" ca="1">_FV(table1[[#This Row],[DataField]],"Market cap",TRUE)</f>
        <v>25005080000</v>
      </c>
    </row>
    <row r="13" spans="1:14" ht="17" customHeight="1" x14ac:dyDescent="0.2">
      <c r="A13" t="e" vm="12">
        <v>#VALUE!</v>
      </c>
      <c r="B13" t="str" cm="1">
        <f t="array" aca="1" ref="B13" ca="1">_FV(table1[[#This Row],[DataField]],"Ticker symbol",TRUE)</f>
        <v>BBY</v>
      </c>
      <c r="H13" s="2" cm="1">
        <f t="array" aca="1" ref="H13" ca="1">_FV(table1[[#This Row],[DataField]],"Price")</f>
        <v>74.12</v>
      </c>
      <c r="I13" s="2" cm="1">
        <f t="array" aca="1" ref="I13" ca="1">_FV(table1[[#This Row],[DataField]],"52 week low",TRUE)</f>
        <v>54.99</v>
      </c>
      <c r="J13" s="2" cm="1">
        <f t="array" aca="1" ref="J13" ca="1">_FV(table1[[#This Row],[DataField]],"52 week high",TRUE)</f>
        <v>91.68</v>
      </c>
      <c r="K13" s="4" cm="1">
        <f t="array" aca="1" ref="K13" ca="1">_FV(table1[[#This Row],[DataField]],"P/E",TRUE)</f>
        <v>24.458200000000001</v>
      </c>
      <c r="L13" s="2" t="str">
        <f ca="1">IF(table1[[#This Row],[Price]] &lt; (table1[[#This Row],[52Low]] * 0.25) + table1[[#This Row],[52Low]],  "TRUE", "FALSE")</f>
        <v>FALSE</v>
      </c>
      <c r="M13" s="2" t="str">
        <f ca="1">IF(table1[[#This Row],[Price]] &lt; (table1[[#This Row],[52Low]] * 0.1) + table1[[#This Row],[52Low]],  "TRUE", "FALSE")</f>
        <v>FALSE</v>
      </c>
      <c r="N13" s="6" cm="1">
        <f t="array" aca="1" ref="N13" ca="1">_FV(table1[[#This Row],[DataField]],"Market cap",TRUE)</f>
        <v>15530741612</v>
      </c>
    </row>
    <row r="14" spans="1:14" x14ac:dyDescent="0.2">
      <c r="A14" t="e" vm="13">
        <v>#VALUE!</v>
      </c>
      <c r="B14" t="str" cm="1">
        <f t="array" aca="1" ref="B14" ca="1">_FV(table1[[#This Row],[DataField]],"Ticker symbol",TRUE)</f>
        <v>BF.A</v>
      </c>
      <c r="H14" s="2" cm="1">
        <f t="array" aca="1" ref="H14" ca="1">_FV(table1[[#This Row],[DataField]],"Price")</f>
        <v>30</v>
      </c>
      <c r="I14" s="2" cm="1">
        <f t="array" aca="1" ref="I14" ca="1">_FV(table1[[#This Row],[DataField]],"52 week low",TRUE)</f>
        <v>26.11</v>
      </c>
      <c r="J14" s="2" cm="1">
        <f t="array" aca="1" ref="J14" ca="1">_FV(table1[[#This Row],[DataField]],"52 week high",TRUE)</f>
        <v>45.34</v>
      </c>
      <c r="K14" s="4" t="e" cm="1" vm="14">
        <f t="array" ref="K14">_FV(table1[[#This Row],[DataField]],"P/E",TRUE)</f>
        <v>#VALUE!</v>
      </c>
      <c r="L14" s="2" t="str">
        <f ca="1">IF(table1[[#This Row],[Price]] &lt; (table1[[#This Row],[52Low]] * 0.25) + table1[[#This Row],[52Low]],  "TRUE", "FALSE")</f>
        <v>TRUE</v>
      </c>
      <c r="M14" s="2" t="str">
        <f ca="1">IF(table1[[#This Row],[Price]] &lt; (table1[[#This Row],[52Low]] * 0.1) + table1[[#This Row],[52Low]],  "TRUE", "FALSE")</f>
        <v>FALSE</v>
      </c>
      <c r="N14" s="6" cm="1">
        <f t="array" aca="1" ref="N14" ca="1">_FV(table1[[#This Row],[DataField]],"Market cap",TRUE)</f>
        <v>13720670000</v>
      </c>
    </row>
    <row r="15" spans="1:14" x14ac:dyDescent="0.2">
      <c r="A15" t="e" vm="15">
        <v>#VALUE!</v>
      </c>
      <c r="B15" t="str" cm="1">
        <f t="array" aca="1" ref="B15" ca="1">_FV(table1[[#This Row],[DataField]],"Ticker symbol",TRUE)</f>
        <v>BLK</v>
      </c>
      <c r="C15" t="b">
        <v>1</v>
      </c>
      <c r="D15" t="s">
        <v>8</v>
      </c>
      <c r="E15" t="b">
        <v>1</v>
      </c>
      <c r="H15" s="2" cm="1">
        <f t="array" aca="1" ref="H15" ca="1">_FV(table1[[#This Row],[DataField]],"Price")</f>
        <v>1084.19</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28.154</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168213054271</v>
      </c>
    </row>
    <row r="16" spans="1:14" x14ac:dyDescent="0.2">
      <c r="A16" t="e" vm="16">
        <v>#VALUE!</v>
      </c>
      <c r="B16" t="str" cm="1">
        <f t="array" aca="1" ref="B16" ca="1">_FV(table1[[#This Row],[DataField]],"Ticker symbol",TRUE)</f>
        <v>BMY</v>
      </c>
      <c r="C16" t="b">
        <v>1</v>
      </c>
      <c r="D16" t="s">
        <v>9</v>
      </c>
      <c r="E16" t="b">
        <v>1</v>
      </c>
      <c r="H16" s="2" cm="1">
        <f t="array" aca="1" ref="H16" ca="1">_FV(table1[[#This Row],[DataField]],"Price")</f>
        <v>51.21</v>
      </c>
      <c r="I16" s="2" cm="1">
        <f t="array" aca="1" ref="I16" ca="1">_FV(table1[[#This Row],[DataField]],"52 week low",TRUE)</f>
        <v>42.52</v>
      </c>
      <c r="J16" s="2" cm="1">
        <f t="array" aca="1" ref="J16" ca="1">_FV(table1[[#This Row],[DataField]],"52 week high",TRUE)</f>
        <v>63.33</v>
      </c>
      <c r="K16" s="4" cm="1">
        <f t="array" aca="1" ref="K16" ca="1">_FV(table1[[#This Row],[DataField]],"P/E",TRUE)</f>
        <v>17.327200000000001</v>
      </c>
      <c r="L16" s="2" t="str">
        <f ca="1">IF(table1[[#This Row],[Price]] &lt; (table1[[#This Row],[52Low]] * 0.25) + table1[[#This Row],[52Low]],  "TRUE", "FALSE")</f>
        <v>TRUE</v>
      </c>
      <c r="M16" s="2" t="str">
        <f ca="1">IF(table1[[#This Row],[Price]] &lt; (table1[[#This Row],[52Low]] * 0.1) + table1[[#This Row],[52Low]],  "TRUE", "FALSE")</f>
        <v>FALSE</v>
      </c>
      <c r="N16" s="6" cm="1">
        <f t="array" aca="1" ref="N16" ca="1">_FV(table1[[#This Row],[DataField]],"Market cap",TRUE)</f>
        <v>104250911130</v>
      </c>
    </row>
    <row r="17" spans="1:14" x14ac:dyDescent="0.2">
      <c r="A17" t="e" vm="17">
        <v>#VALUE!</v>
      </c>
      <c r="B17" t="str" cm="1">
        <f t="array" aca="1" ref="B17" ca="1">_FV(table1[[#This Row],[DataField]],"Ticker symbol",TRUE)</f>
        <v>CAT</v>
      </c>
      <c r="H17" s="2" cm="1">
        <f t="array" aca="1" ref="H17" ca="1">_FV(table1[[#This Row],[DataField]],"Price")</f>
        <v>615.35</v>
      </c>
      <c r="I17" s="2" cm="1">
        <f t="array" aca="1" ref="I17" ca="1">_FV(table1[[#This Row],[DataField]],"52 week low",TRUE)</f>
        <v>267.3</v>
      </c>
      <c r="J17" s="2" cm="1">
        <f t="array" aca="1" ref="J17" ca="1">_FV(table1[[#This Row],[DataField]],"52 week high",TRUE)</f>
        <v>617.23</v>
      </c>
      <c r="K17" s="4" cm="1">
        <f t="array" aca="1" ref="K17" ca="1">_FV(table1[[#This Row],[DataField]],"P/E",TRUE)</f>
        <v>31.573499999999999</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287971246860</v>
      </c>
    </row>
    <row r="18" spans="1:14" x14ac:dyDescent="0.2">
      <c r="A18" t="e" vm="18">
        <v>#VALUE!</v>
      </c>
      <c r="B18" t="str" cm="1">
        <f t="array" aca="1" ref="B18" ca="1">_FV(table1[[#This Row],[DataField]],"Ticker symbol",TRUE)</f>
        <v>CCI</v>
      </c>
      <c r="H18" s="2" cm="1">
        <f t="array" aca="1" ref="H18" ca="1">_FV(table1[[#This Row],[DataField]],"Price")</f>
        <v>90.64</v>
      </c>
      <c r="I18" s="2" cm="1">
        <f t="array" aca="1" ref="I18" ca="1">_FV(table1[[#This Row],[DataField]],"52 week low",TRUE)</f>
        <v>84.2</v>
      </c>
      <c r="J18" s="2" cm="1">
        <f t="array" aca="1" ref="J18" ca="1">_FV(table1[[#This Row],[DataField]],"52 week high",TRUE)</f>
        <v>115.76</v>
      </c>
      <c r="K18" s="4" t="e" cm="1" vm="14">
        <f t="array" ref="K18">_FV(table1[[#This Row],[DataField]],"P/E",TRUE)</f>
        <v>#VALUE!</v>
      </c>
      <c r="L18" s="2" t="str">
        <f ca="1">IF(table1[[#This Row],[Price]] &lt; (table1[[#This Row],[52Low]] * 0.25) + table1[[#This Row],[52Low]],  "TRUE", "FALSE")</f>
        <v>TRUE</v>
      </c>
      <c r="M18" s="2" t="str">
        <f ca="1">IF(table1[[#This Row],[Price]] &lt; (table1[[#This Row],[52Low]] * 0.1) + table1[[#This Row],[52Low]],  "TRUE", "FALSE")</f>
        <v>TRUE</v>
      </c>
      <c r="N18" s="6" cm="1">
        <f t="array" aca="1" ref="N18" ca="1">_FV(table1[[#This Row],[DataField]],"Market cap",TRUE)</f>
        <v>39471816560</v>
      </c>
    </row>
    <row r="19" spans="1:14" x14ac:dyDescent="0.2">
      <c r="A19" t="e" vm="19">
        <v>#VALUE!</v>
      </c>
      <c r="B19" t="str" cm="1">
        <f t="array" aca="1" ref="B19" ca="1">_FV(table1[[#This Row],[DataField]],"Ticker symbol",TRUE)</f>
        <v>CL</v>
      </c>
      <c r="H19" s="2" cm="1">
        <f t="array" aca="1" ref="H19" ca="1">_FV(table1[[#This Row],[DataField]],"Price")</f>
        <v>77.75</v>
      </c>
      <c r="I19" s="2" cm="1">
        <f t="array" aca="1" ref="I19" ca="1">_FV(table1[[#This Row],[DataField]],"52 week low",TRUE)</f>
        <v>74.545000000000002</v>
      </c>
      <c r="J19" s="2" cm="1">
        <f t="array" aca="1" ref="J19" ca="1">_FV(table1[[#This Row],[DataField]],"52 week high",TRUE)</f>
        <v>100.18</v>
      </c>
      <c r="K19" s="4" cm="1">
        <f t="array" aca="1" ref="K19" ca="1">_FV(table1[[#This Row],[DataField]],"P/E",TRUE)</f>
        <v>21.791499999999999</v>
      </c>
      <c r="L19" s="2" t="str">
        <f ca="1">IF(table1[[#This Row],[Price]] &lt; (table1[[#This Row],[52Low]] * 0.25) + table1[[#This Row],[52Low]],  "TRUE", "FALSE")</f>
        <v>TRUE</v>
      </c>
      <c r="M19" s="2" t="str">
        <f ca="1">IF(table1[[#This Row],[Price]] &lt; (table1[[#This Row],[52Low]] * 0.1) + table1[[#This Row],[52Low]],  "TRUE", "FALSE")</f>
        <v>TRUE</v>
      </c>
      <c r="N19" s="6" cm="1">
        <f t="array" aca="1" ref="N19" ca="1">_FV(table1[[#This Row],[DataField]],"Market cap",TRUE)</f>
        <v>62671545975</v>
      </c>
    </row>
    <row r="20" spans="1:14" x14ac:dyDescent="0.2">
      <c r="A20" t="e" vm="20">
        <v>#VALUE!</v>
      </c>
      <c r="B20" t="str" cm="1">
        <f t="array" aca="1" ref="B20" ca="1">_FV(table1[[#This Row],[DataField]],"Ticker symbol",TRUE)</f>
        <v>CLX</v>
      </c>
      <c r="C20" t="b">
        <v>1</v>
      </c>
      <c r="D20" t="s">
        <v>5</v>
      </c>
      <c r="E20" t="b">
        <v>1</v>
      </c>
      <c r="H20" s="2" cm="1">
        <f t="array" aca="1" ref="H20" ca="1">_FV(table1[[#This Row],[DataField]],"Price")</f>
        <v>102.52</v>
      </c>
      <c r="I20" s="2" cm="1">
        <f t="array" aca="1" ref="I20" ca="1">_FV(table1[[#This Row],[DataField]],"52 week low",TRUE)</f>
        <v>98.2</v>
      </c>
      <c r="J20" s="2" cm="1">
        <f t="array" aca="1" ref="J20" ca="1">_FV(table1[[#This Row],[DataField]],"52 week high",TRUE)</f>
        <v>169.15</v>
      </c>
      <c r="K20" s="4" cm="1">
        <f t="array" aca="1" ref="K20" ca="1">_FV(table1[[#This Row],[DataField]],"P/E",TRUE)</f>
        <v>16.067299999999999</v>
      </c>
      <c r="L20" s="2" t="str">
        <f ca="1">IF(table1[[#This Row],[Price]] &lt; (table1[[#This Row],[52Low]] * 0.25) + table1[[#This Row],[52Low]],  "TRUE", "FALSE")</f>
        <v>TRUE</v>
      </c>
      <c r="M20" s="2" t="str">
        <f ca="1">IF(table1[[#This Row],[Price]] &lt; (table1[[#This Row],[52Low]] * 0.1) + table1[[#This Row],[52Low]],  "TRUE", "FALSE")</f>
        <v>TRUE</v>
      </c>
      <c r="N20" s="6" cm="1">
        <f t="array" aca="1" ref="N20" ca="1">_FV(table1[[#This Row],[DataField]],"Market cap",TRUE)</f>
        <v>12505430608</v>
      </c>
    </row>
    <row r="21" spans="1:14" x14ac:dyDescent="0.2">
      <c r="A21" t="e" vm="21">
        <v>#VALUE!</v>
      </c>
      <c r="B21" t="str" cm="1">
        <f t="array" aca="1" ref="B21" ca="1">_FV(table1[[#This Row],[DataField]],"Ticker symbol",TRUE)</f>
        <v>CMCSA</v>
      </c>
      <c r="C21" t="b">
        <v>1</v>
      </c>
      <c r="D21" t="s">
        <v>10</v>
      </c>
      <c r="E21" t="b">
        <v>1</v>
      </c>
      <c r="H21" s="2" cm="1">
        <f t="array" aca="1" ref="H21" ca="1">_FV(table1[[#This Row],[DataField]],"Price")</f>
        <v>27.58</v>
      </c>
      <c r="I21" s="2" cm="1">
        <f t="array" aca="1" ref="I21" ca="1">_FV(table1[[#This Row],[DataField]],"52 week low",TRUE)</f>
        <v>25.75</v>
      </c>
      <c r="J21" s="2" cm="1">
        <f t="array" aca="1" ref="J21" ca="1">_FV(table1[[#This Row],[DataField]],"52 week high",TRUE)</f>
        <v>40.369999999999997</v>
      </c>
      <c r="K21" s="4" cm="1">
        <f t="array" aca="1" ref="K21" ca="1">_FV(table1[[#This Row],[DataField]],"P/E",TRUE)</f>
        <v>4.5792000000000002</v>
      </c>
      <c r="L21" s="2" t="str">
        <f ca="1">IF(table1[[#This Row],[Price]] &lt; (table1[[#This Row],[52Low]] * 0.25) + table1[[#This Row],[52Low]],  "TRUE", "FALSE")</f>
        <v>TRUE</v>
      </c>
      <c r="M21" s="2" t="str">
        <f ca="1">IF(table1[[#This Row],[Price]] &lt; (table1[[#This Row],[52Low]] * 0.1) + table1[[#This Row],[52Low]],  "TRUE", "FALSE")</f>
        <v>TRUE</v>
      </c>
      <c r="N21" s="6" cm="1">
        <f t="array" aca="1" ref="N21" ca="1">_FV(table1[[#This Row],[DataField]],"Market cap",TRUE)</f>
        <v>100498624100</v>
      </c>
    </row>
    <row r="22" spans="1:14" x14ac:dyDescent="0.2">
      <c r="A22" t="e" vm="22">
        <v>#VALUE!</v>
      </c>
      <c r="B22" t="str" cm="1">
        <f t="array" aca="1" ref="B22" ca="1">_FV(table1[[#This Row],[DataField]],"Ticker symbol",TRUE)</f>
        <v>CNI</v>
      </c>
      <c r="H22" s="2" cm="1">
        <f t="array" aca="1" ref="H22" ca="1">_FV(table1[[#This Row],[DataField]],"Price")</f>
        <v>98.28</v>
      </c>
      <c r="I22" s="2" cm="1">
        <f t="array" aca="1" ref="I22" ca="1">_FV(table1[[#This Row],[DataField]],"52 week low",TRUE)</f>
        <v>90.74</v>
      </c>
      <c r="J22" s="2" cm="1">
        <f t="array" aca="1" ref="J22" ca="1">_FV(table1[[#This Row],[DataField]],"52 week high",TRUE)</f>
        <v>108.745</v>
      </c>
      <c r="K22" s="4" cm="1">
        <f t="array" aca="1" ref="K22" ca="1">_FV(table1[[#This Row],[DataField]],"P/E",TRUE)</f>
        <v>18.581099999999999</v>
      </c>
      <c r="L22" s="2" t="str">
        <f ca="1">IF(table1[[#This Row],[Price]] &lt; (table1[[#This Row],[52Low]] * 0.25) + table1[[#This Row],[52Low]],  "TRUE", "FALSE")</f>
        <v>TRUE</v>
      </c>
      <c r="M22" s="2" t="str">
        <f ca="1">IF(table1[[#This Row],[Price]] &lt; (table1[[#This Row],[52Low]] * 0.1) + table1[[#This Row],[52Low]],  "TRUE", "FALSE")</f>
        <v>TRUE</v>
      </c>
      <c r="N22" s="6" cm="1">
        <f t="array" aca="1" ref="N22" ca="1">_FV(table1[[#This Row],[DataField]],"Market cap",TRUE)</f>
        <v>83461430000</v>
      </c>
    </row>
    <row r="23" spans="1:14" x14ac:dyDescent="0.2">
      <c r="A23" t="e" vm="23">
        <v>#VALUE!</v>
      </c>
      <c r="B23" t="str" cm="1">
        <f t="array" aca="1" ref="B23" ca="1">_FV(table1[[#This Row],[DataField]],"Ticker symbol",TRUE)</f>
        <v>COST</v>
      </c>
      <c r="H23" s="2" cm="1">
        <f t="array" aca="1" ref="H23" ca="1">_FV(table1[[#This Row],[DataField]],"Price")</f>
        <v>874.41</v>
      </c>
      <c r="I23" s="2" cm="1">
        <f t="array" aca="1" ref="I23" ca="1">_FV(table1[[#This Row],[DataField]],"52 week low",TRUE)</f>
        <v>871.09</v>
      </c>
      <c r="J23" s="2" cm="1">
        <f t="array" aca="1" ref="J23" ca="1">_FV(table1[[#This Row],[DataField]],"52 week high",TRUE)</f>
        <v>1078.2349999999999</v>
      </c>
      <c r="K23" s="4" cm="1">
        <f t="array" aca="1" ref="K23" ca="1">_FV(table1[[#This Row],[DataField]],"P/E",TRUE)</f>
        <v>48.023200000000003</v>
      </c>
      <c r="L23" s="2" t="str">
        <f ca="1">IF(table1[[#This Row],[Price]] &lt; (table1[[#This Row],[52Low]] * 0.25) + table1[[#This Row],[52Low]],  "TRUE", "FALSE")</f>
        <v>TRUE</v>
      </c>
      <c r="M23" s="2" t="str">
        <f ca="1">IF(table1[[#This Row],[Price]] &lt; (table1[[#This Row],[52Low]] * 0.1) + table1[[#This Row],[52Low]],  "TRUE", "FALSE")</f>
        <v>TRUE</v>
      </c>
      <c r="N23" s="6" cm="1">
        <f t="array" aca="1" ref="N23" ca="1">_FV(table1[[#This Row],[DataField]],"Market cap",TRUE)</f>
        <v>388201052457</v>
      </c>
    </row>
    <row r="24" spans="1:14" x14ac:dyDescent="0.2">
      <c r="A24" t="e" vm="24">
        <v>#VALUE!</v>
      </c>
      <c r="B24" t="str" cm="1">
        <f t="array" aca="1" ref="B24" ca="1">_FV(table1[[#This Row],[DataField]],"Ticker symbol",TRUE)</f>
        <v>CPB</v>
      </c>
      <c r="H24" s="2" cm="1">
        <f t="array" aca="1" ref="H24" ca="1">_FV(table1[[#This Row],[DataField]],"Price")</f>
        <v>28.18</v>
      </c>
      <c r="I24" s="2" cm="1">
        <f t="array" aca="1" ref="I24" ca="1">_FV(table1[[#This Row],[DataField]],"52 week low",TRUE)</f>
        <v>27.85</v>
      </c>
      <c r="J24" s="2" cm="1">
        <f t="array" aca="1" ref="J24" ca="1">_FV(table1[[#This Row],[DataField]],"52 week high",TRUE)</f>
        <v>43.85</v>
      </c>
      <c r="K24" s="4" cm="1">
        <f t="array" aca="1" ref="K24" ca="1">_FV(table1[[#This Row],[DataField]],"P/E",TRUE)</f>
        <v>14.5916</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8389273358</v>
      </c>
    </row>
    <row r="25" spans="1:14" x14ac:dyDescent="0.2">
      <c r="A25" t="e" vm="25">
        <v>#VALUE!</v>
      </c>
      <c r="B25" t="str" cm="1">
        <f t="array" aca="1" ref="B25" ca="1">_FV(table1[[#This Row],[DataField]],"Ticker symbol",TRUE)</f>
        <v>CVS</v>
      </c>
      <c r="C25" t="b">
        <v>1</v>
      </c>
      <c r="D25" t="s">
        <v>9</v>
      </c>
      <c r="E25" t="b">
        <v>1</v>
      </c>
      <c r="H25" s="2" cm="1">
        <f t="array" aca="1" ref="H25" ca="1">_FV(table1[[#This Row],[DataField]],"Price")</f>
        <v>78.97</v>
      </c>
      <c r="I25" s="2" cm="1">
        <f t="array" aca="1" ref="I25" ca="1">_FV(table1[[#This Row],[DataField]],"52 week low",TRUE)</f>
        <v>43.56</v>
      </c>
      <c r="J25" s="2" cm="1">
        <f t="array" aca="1" ref="J25" ca="1">_FV(table1[[#This Row],[DataField]],"52 week high",TRUE)</f>
        <v>85.15</v>
      </c>
      <c r="K25" s="4" cm="1">
        <f t="array" aca="1" ref="K25" ca="1">_FV(table1[[#This Row],[DataField]],"P/E",TRUE)</f>
        <v>206.90110000000001</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99320400000</v>
      </c>
    </row>
    <row r="26" spans="1:14" x14ac:dyDescent="0.2">
      <c r="A26" t="e" vm="26">
        <v>#VALUE!</v>
      </c>
      <c r="B26" t="str" cm="1">
        <f t="array" aca="1" ref="B26" ca="1">_FV(table1[[#This Row],[DataField]],"Ticker symbol",TRUE)</f>
        <v>CVX</v>
      </c>
      <c r="C26" t="b">
        <v>1</v>
      </c>
      <c r="D26" t="s">
        <v>11</v>
      </c>
      <c r="E26" t="b">
        <v>1</v>
      </c>
      <c r="H26" s="2" cm="1">
        <f t="array" aca="1" ref="H26" ca="1">_FV(table1[[#This Row],[DataField]],"Price")</f>
        <v>151.4</v>
      </c>
      <c r="I26" s="2" cm="1">
        <f t="array" aca="1" ref="I26" ca="1">_FV(table1[[#This Row],[DataField]],"52 week low",TRUE)</f>
        <v>132.04</v>
      </c>
      <c r="J26" s="2" cm="1">
        <f t="array" aca="1" ref="J26" ca="1">_FV(table1[[#This Row],[DataField]],"52 week high",TRUE)</f>
        <v>168.96</v>
      </c>
      <c r="K26" s="4" cm="1">
        <f t="array" aca="1" ref="K26" ca="1">_FV(table1[[#This Row],[DataField]],"P/E",TRUE)</f>
        <v>21.379799999999999</v>
      </c>
      <c r="L26" s="2" t="str">
        <f ca="1">IF(table1[[#This Row],[Price]] &lt; (table1[[#This Row],[52Low]] * 0.25) + table1[[#This Row],[52Low]],  "TRUE", "FALSE")</f>
        <v>TRUE</v>
      </c>
      <c r="M26" s="2" t="str">
        <f ca="1">IF(table1[[#This Row],[Price]] &lt; (table1[[#This Row],[52Low]] * 0.1) + table1[[#This Row],[52Low]],  "TRUE", "FALSE")</f>
        <v>FALSE</v>
      </c>
      <c r="N26" s="6" cm="1">
        <f t="array" aca="1" ref="N26" ca="1">_FV(table1[[#This Row],[DataField]],"Market cap",TRUE)</f>
        <v>304847230800</v>
      </c>
    </row>
    <row r="27" spans="1:14" x14ac:dyDescent="0.2">
      <c r="A27" t="e" vm="27">
        <v>#VALUE!</v>
      </c>
      <c r="B27" t="str" cm="1">
        <f t="array" aca="1" ref="B27" ca="1">_FV(table1[[#This Row],[DataField]],"Ticker symbol",TRUE)</f>
        <v>D</v>
      </c>
      <c r="H27" s="2" cm="1">
        <f t="array" aca="1" ref="H27" ca="1">_FV(table1[[#This Row],[DataField]],"Price")</f>
        <v>58.06</v>
      </c>
      <c r="I27" s="2" cm="1">
        <f t="array" aca="1" ref="I27" ca="1">_FV(table1[[#This Row],[DataField]],"52 week low",TRUE)</f>
        <v>48.07</v>
      </c>
      <c r="J27" s="2" cm="1">
        <f t="array" aca="1" ref="J27" ca="1">_FV(table1[[#This Row],[DataField]],"52 week high",TRUE)</f>
        <v>62.87</v>
      </c>
      <c r="K27" s="4" cm="1">
        <f t="array" aca="1" ref="K27" ca="1">_FV(table1[[#This Row],[DataField]],"P/E",TRUE)</f>
        <v>21.7944</v>
      </c>
      <c r="L27" s="2" t="str">
        <f ca="1">IF(table1[[#This Row],[Price]] &lt; (table1[[#This Row],[52Low]] * 0.25) + table1[[#This Row],[52Low]],  "TRUE", "FALSE")</f>
        <v>TRUE</v>
      </c>
      <c r="M27" s="2" t="str">
        <f ca="1">IF(table1[[#This Row],[Price]] &lt; (table1[[#This Row],[52Low]] * 0.1) + table1[[#This Row],[52Low]],  "TRUE", "FALSE")</f>
        <v>FALSE</v>
      </c>
      <c r="N27" s="6" cm="1">
        <f t="array" aca="1" ref="N27" ca="1">_FV(table1[[#This Row],[DataField]],"Market cap",TRUE)</f>
        <v>49578206198</v>
      </c>
    </row>
    <row r="28" spans="1:14" x14ac:dyDescent="0.2">
      <c r="A28" t="e" vm="28">
        <v>#VALUE!</v>
      </c>
      <c r="B28" t="str" cm="1">
        <f t="array" aca="1" ref="B28" ca="1">_FV(table1[[#This Row],[DataField]],"Ticker symbol",TRUE)</f>
        <v>DE</v>
      </c>
      <c r="H28" s="2" cm="1">
        <f t="array" aca="1" ref="H28" ca="1">_FV(table1[[#This Row],[DataField]],"Price")</f>
        <v>468.9</v>
      </c>
      <c r="I28" s="2" cm="1">
        <f t="array" aca="1" ref="I28" ca="1">_FV(table1[[#This Row],[DataField]],"52 week low",TRUE)</f>
        <v>403.01</v>
      </c>
      <c r="J28" s="2" cm="1">
        <f t="array" aca="1" ref="J28" ca="1">_FV(table1[[#This Row],[DataField]],"52 week high",TRUE)</f>
        <v>533.78</v>
      </c>
      <c r="K28" s="4" cm="1">
        <f t="array" aca="1" ref="K28" ca="1">_FV(table1[[#This Row],[DataField]],"P/E",TRUE)</f>
        <v>25.3371</v>
      </c>
      <c r="L28" s="2" t="str">
        <f ca="1">IF(table1[[#This Row],[Price]] &lt; (table1[[#This Row],[52Low]] * 0.25) + table1[[#This Row],[52Low]],  "TRUE", "FALSE")</f>
        <v>TRUE</v>
      </c>
      <c r="M28" s="2" t="str">
        <f ca="1">IF(table1[[#This Row],[Price]] &lt; (table1[[#This Row],[52Low]] * 0.1) + table1[[#This Row],[52Low]],  "TRUE", "FALSE")</f>
        <v>FALSE</v>
      </c>
      <c r="N28" s="6" cm="1">
        <f t="array" aca="1" ref="N28" ca="1">_FV(table1[[#This Row],[DataField]],"Market cap",TRUE)</f>
        <v>126757455660</v>
      </c>
    </row>
    <row r="29" spans="1:14" x14ac:dyDescent="0.2">
      <c r="A29" t="e" vm="29">
        <v>#VALUE!</v>
      </c>
      <c r="B29" t="str" cm="1">
        <f t="array" aca="1" ref="B29" ca="1">_FV(table1[[#This Row],[DataField]],"Ticker symbol",TRUE)</f>
        <v>DEO</v>
      </c>
      <c r="H29" s="2" cm="1">
        <f t="array" aca="1" ref="H29" ca="1">_FV(table1[[#This Row],[DataField]],"Price")</f>
        <v>86.07</v>
      </c>
      <c r="I29" s="2" cm="1">
        <f t="array" aca="1" ref="I29" ca="1">_FV(table1[[#This Row],[DataField]],"52 week low",TRUE)</f>
        <v>85.134</v>
      </c>
      <c r="J29" s="2" cm="1">
        <f t="array" aca="1" ref="J29" ca="1">_FV(table1[[#This Row],[DataField]],"52 week high",TRUE)</f>
        <v>132.34</v>
      </c>
      <c r="K29" s="4" cm="1">
        <f t="array" aca="1" ref="K29" ca="1">_FV(table1[[#This Row],[DataField]],"P/E",TRUE)</f>
        <v>20.3658</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47512730000</v>
      </c>
    </row>
    <row r="30" spans="1:14" x14ac:dyDescent="0.2">
      <c r="A30" t="e" vm="30">
        <v>#VALUE!</v>
      </c>
      <c r="B30" t="str" cm="1">
        <f t="array" aca="1" ref="B30" ca="1">_FV(table1[[#This Row],[DataField]],"Ticker symbol",TRUE)</f>
        <v>DOW</v>
      </c>
      <c r="H30" s="2" cm="1">
        <f t="array" aca="1" ref="H30" ca="1">_FV(table1[[#This Row],[DataField]],"Price")</f>
        <v>24.585000000000001</v>
      </c>
      <c r="I30" s="2" cm="1">
        <f t="array" aca="1" ref="I30" ca="1">_FV(table1[[#This Row],[DataField]],"52 week low",TRUE)</f>
        <v>20.401900000000001</v>
      </c>
      <c r="J30" s="2" cm="1">
        <f t="array" aca="1" ref="J30" ca="1">_FV(table1[[#This Row],[DataField]],"52 week high",TRUE)</f>
        <v>42.225000000000001</v>
      </c>
      <c r="K30" s="4" cm="1">
        <f t="array" aca="1" ref="K30" ca="1">_FV(table1[[#This Row],[DataField]],"P/E",TRUE)</f>
        <v>0</v>
      </c>
      <c r="L30" s="2" t="str">
        <f ca="1">IF(table1[[#This Row],[Price]] &lt; (table1[[#This Row],[52Low]] * 0.25) + table1[[#This Row],[52Low]],  "TRUE", "FALSE")</f>
        <v>TRUE</v>
      </c>
      <c r="M30" s="2" t="str">
        <f ca="1">IF(table1[[#This Row],[Price]] &lt; (table1[[#This Row],[52Low]] * 0.1) + table1[[#This Row],[52Low]],  "TRUE", "FALSE")</f>
        <v>FALSE</v>
      </c>
      <c r="N30" s="6" cm="1">
        <f t="array" aca="1" ref="N30" ca="1">_FV(table1[[#This Row],[DataField]],"Market cap",TRUE)</f>
        <v>17474216529</v>
      </c>
    </row>
    <row r="31" spans="1:14" x14ac:dyDescent="0.2">
      <c r="A31" t="e" vm="31">
        <v>#VALUE!</v>
      </c>
      <c r="B31" t="str" cm="1">
        <f t="array" aca="1" ref="B31" ca="1">_FV(table1[[#This Row],[DataField]],"Ticker symbol",TRUE)</f>
        <v>DUK</v>
      </c>
      <c r="H31" s="2" cm="1">
        <f t="array" aca="1" ref="H31" ca="1">_FV(table1[[#This Row],[DataField]],"Price")</f>
        <v>114</v>
      </c>
      <c r="I31" s="2" cm="1">
        <f t="array" aca="1" ref="I31" ca="1">_FV(table1[[#This Row],[DataField]],"52 week low",TRUE)</f>
        <v>105.2</v>
      </c>
      <c r="J31" s="2" cm="1">
        <f t="array" aca="1" ref="J31" ca="1">_FV(table1[[#This Row],[DataField]],"52 week high",TRUE)</f>
        <v>130.03</v>
      </c>
      <c r="K31" s="4" cm="1">
        <f t="array" aca="1" ref="K31" ca="1">_FV(table1[[#This Row],[DataField]],"P/E",TRUE)</f>
        <v>17.911000000000001</v>
      </c>
      <c r="L31" s="2" t="str">
        <f ca="1">IF(table1[[#This Row],[Price]] &lt; (table1[[#This Row],[52Low]] * 0.25) + table1[[#This Row],[52Low]],  "TRUE", "FALSE")</f>
        <v>TRUE</v>
      </c>
      <c r="M31" s="2" t="str">
        <f ca="1">IF(table1[[#This Row],[Price]] &lt; (table1[[#This Row],[52Low]] * 0.1) + table1[[#This Row],[52Low]],  "TRUE", "FALSE")</f>
        <v>TRUE</v>
      </c>
      <c r="N31" s="6" cm="1">
        <f t="array" aca="1" ref="N31" ca="1">_FV(table1[[#This Row],[DataField]],"Market cap",TRUE)</f>
        <v>88653376800</v>
      </c>
    </row>
    <row r="32" spans="1:14" x14ac:dyDescent="0.2">
      <c r="A32" t="e" vm="32">
        <v>#VALUE!</v>
      </c>
      <c r="B32" t="str" cm="1">
        <f t="array" aca="1" ref="B32" ca="1">_FV(table1[[#This Row],[DataField]],"Ticker symbol",TRUE)</f>
        <v>ED</v>
      </c>
      <c r="H32" s="2" cm="1">
        <f t="array" aca="1" ref="H32" ca="1">_FV(table1[[#This Row],[DataField]],"Price")</f>
        <v>95.41</v>
      </c>
      <c r="I32" s="2" cm="1">
        <f t="array" aca="1" ref="I32" ca="1">_FV(table1[[#This Row],[DataField]],"52 week low",TRUE)</f>
        <v>87.28</v>
      </c>
      <c r="J32" s="2" cm="1">
        <f t="array" aca="1" ref="J32" ca="1">_FV(table1[[#This Row],[DataField]],"52 week high",TRUE)</f>
        <v>114.87</v>
      </c>
      <c r="K32" s="4" cm="1">
        <f t="array" aca="1" ref="K32" ca="1">_FV(table1[[#This Row],[DataField]],"P/E",TRUE)</f>
        <v>16.666499999999999</v>
      </c>
      <c r="L32" s="2" t="str">
        <f ca="1">IF(table1[[#This Row],[Price]] &lt; (table1[[#This Row],[52Low]] * 0.25) + table1[[#This Row],[52Low]],  "TRUE", "FALSE")</f>
        <v>TRUE</v>
      </c>
      <c r="M32" s="2" t="str">
        <f ca="1">IF(table1[[#This Row],[Price]] &lt; (table1[[#This Row],[52Low]] * 0.1) + table1[[#This Row],[52Low]],  "TRUE", "FALSE")</f>
        <v>TRUE</v>
      </c>
      <c r="N32" s="6" cm="1">
        <f t="array" aca="1" ref="N32" ca="1">_FV(table1[[#This Row],[DataField]],"Market cap",TRUE)</f>
        <v>34436865596</v>
      </c>
    </row>
    <row r="33" spans="1:14" x14ac:dyDescent="0.2">
      <c r="A33" t="e" vm="33">
        <v>#VALUE!</v>
      </c>
      <c r="B33" t="str" cm="1">
        <f t="array" aca="1" ref="B33" ca="1">_FV(table1[[#This Row],[DataField]],"Ticker symbol",TRUE)</f>
        <v>EMN</v>
      </c>
      <c r="C33" t="b">
        <v>1</v>
      </c>
      <c r="D33" t="s">
        <v>13</v>
      </c>
      <c r="E33" t="b">
        <v>0</v>
      </c>
      <c r="H33" s="2" cm="1">
        <f t="array" aca="1" ref="H33" ca="1">_FV(table1[[#This Row],[DataField]],"Price")</f>
        <v>64.97</v>
      </c>
      <c r="I33" s="2" cm="1">
        <f t="array" aca="1" ref="I33" ca="1">_FV(table1[[#This Row],[DataField]],"52 week low",TRUE)</f>
        <v>56.11</v>
      </c>
      <c r="J33" s="2" cm="1">
        <f t="array" aca="1" ref="J33" ca="1">_FV(table1[[#This Row],[DataField]],"52 week high",TRUE)</f>
        <v>103.82</v>
      </c>
      <c r="K33" s="4" cm="1">
        <f t="array" aca="1" ref="K33" ca="1">_FV(table1[[#This Row],[DataField]],"P/E",TRUE)</f>
        <v>10.822900000000001</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7411114906</v>
      </c>
    </row>
    <row r="34" spans="1:14" x14ac:dyDescent="0.2">
      <c r="A34" t="e" vm="34">
        <v>#VALUE!</v>
      </c>
      <c r="B34" t="str" cm="1">
        <f t="array" aca="1" ref="B34" ca="1">_FV(table1[[#This Row],[DataField]],"Ticker symbol",TRUE)</f>
        <v>EOG</v>
      </c>
      <c r="H34" s="2" cm="1">
        <f t="array" aca="1" ref="H34" ca="1">_FV(table1[[#This Row],[DataField]],"Price")</f>
        <v>111.43</v>
      </c>
      <c r="I34" s="2" cm="1">
        <f t="array" aca="1" ref="I34" ca="1">_FV(table1[[#This Row],[DataField]],"52 week low",TRUE)</f>
        <v>102.52</v>
      </c>
      <c r="J34" s="2" cm="1">
        <f t="array" aca="1" ref="J34" ca="1">_FV(table1[[#This Row],[DataField]],"52 week high",TRUE)</f>
        <v>138.18</v>
      </c>
      <c r="K34" s="4" cm="1">
        <f t="array" aca="1" ref="K34" ca="1">_FV(table1[[#This Row],[DataField]],"P/E",TRUE)</f>
        <v>11.0777</v>
      </c>
      <c r="L34" s="2" t="str">
        <f ca="1">IF(table1[[#This Row],[Price]] &lt; (table1[[#This Row],[52Low]] * 0.25) + table1[[#This Row],[52Low]],  "TRUE", "FALSE")</f>
        <v>TRUE</v>
      </c>
      <c r="M34" s="2" t="str">
        <f ca="1">IF(table1[[#This Row],[Price]] &lt; (table1[[#This Row],[52Low]] * 0.1) + table1[[#This Row],[52Low]],  "TRUE", "FALSE")</f>
        <v>TRUE</v>
      </c>
      <c r="N34" s="6" cm="1">
        <f t="array" aca="1" ref="N34" ca="1">_FV(table1[[#This Row],[DataField]],"Market cap",TRUE)</f>
        <v>60461739712</v>
      </c>
    </row>
    <row r="35" spans="1:14" x14ac:dyDescent="0.2">
      <c r="A35" t="e" vm="35">
        <v>#VALUE!</v>
      </c>
      <c r="B35" t="str" cm="1">
        <f t="array" aca="1" ref="B35" ca="1">_FV(table1[[#This Row],[DataField]],"Ticker symbol",TRUE)</f>
        <v>FAST</v>
      </c>
      <c r="H35" s="2" cm="1">
        <f t="array" aca="1" ref="H35" ca="1">_FV(table1[[#This Row],[DataField]],"Price")</f>
        <v>40.93</v>
      </c>
      <c r="I35" s="2" cm="1">
        <f t="array" aca="1" ref="I35" ca="1">_FV(table1[[#This Row],[DataField]],"52 week low",TRUE)</f>
        <v>35.305</v>
      </c>
      <c r="J35" s="2" cm="1">
        <f t="array" aca="1" ref="J35" ca="1">_FV(table1[[#This Row],[DataField]],"52 week high",TRUE)</f>
        <v>50.63</v>
      </c>
      <c r="K35" s="4" cm="1">
        <f t="array" aca="1" ref="K35" ca="1">_FV(table1[[#This Row],[DataField]],"P/E",TRUE)</f>
        <v>38.3782</v>
      </c>
      <c r="L35" s="2" t="str">
        <f ca="1">IF(table1[[#This Row],[Price]] &lt; (table1[[#This Row],[52Low]] * 0.25) + table1[[#This Row],[52Low]],  "TRUE", "FALSE")</f>
        <v>TRUE</v>
      </c>
      <c r="M35" s="2" t="str">
        <f ca="1">IF(table1[[#This Row],[Price]] &lt; (table1[[#This Row],[52Low]] * 0.1) + table1[[#This Row],[52Low]],  "TRUE", "FALSE")</f>
        <v>FALSE</v>
      </c>
      <c r="N35" s="6" cm="1">
        <f t="array" aca="1" ref="N35" ca="1">_FV(table1[[#This Row],[DataField]],"Market cap",TRUE)</f>
        <v>46989113480</v>
      </c>
    </row>
    <row r="36" spans="1:14" x14ac:dyDescent="0.2">
      <c r="A36" t="e" vm="36">
        <v>#VALUE!</v>
      </c>
      <c r="B36" t="str" cm="1">
        <f t="array" aca="1" ref="B36" ca="1">_FV(table1[[#This Row],[DataField]],"Ticker symbol",TRUE)</f>
        <v>FDX</v>
      </c>
      <c r="H36" s="2" cm="1">
        <f t="array" aca="1" ref="H36" ca="1">_FV(table1[[#This Row],[DataField]],"Price")</f>
        <v>284.31</v>
      </c>
      <c r="I36" s="2" cm="1">
        <f t="array" aca="1" ref="I36" ca="1">_FV(table1[[#This Row],[DataField]],"52 week low",TRUE)</f>
        <v>194.29499999999999</v>
      </c>
      <c r="J36" s="2" cm="1">
        <f t="array" aca="1" ref="J36" ca="1">_FV(table1[[#This Row],[DataField]],"52 week high",TRUE)</f>
        <v>295.24400000000003</v>
      </c>
      <c r="K36" s="4" cm="1">
        <f t="array" aca="1" ref="K36" ca="1">_FV(table1[[#This Row],[DataField]],"P/E",TRUE)</f>
        <v>16.629200000000001</v>
      </c>
      <c r="L36" s="2" t="str">
        <f ca="1">IF(table1[[#This Row],[Price]] &lt; (table1[[#This Row],[52Low]] * 0.25) + table1[[#This Row],[52Low]],  "TRUE", "FALSE")</f>
        <v>FALSE</v>
      </c>
      <c r="M36" s="2" t="str">
        <f ca="1">IF(table1[[#This Row],[Price]] &lt; (table1[[#This Row],[52Low]] * 0.1) + table1[[#This Row],[52Low]],  "TRUE", "FALSE")</f>
        <v>FALSE</v>
      </c>
      <c r="N36" s="6" cm="1">
        <f t="array" aca="1" ref="N36" ca="1">_FV(table1[[#This Row],[DataField]],"Market cap",TRUE)</f>
        <v>67084508205</v>
      </c>
    </row>
    <row r="37" spans="1:14" x14ac:dyDescent="0.2">
      <c r="A37" t="e" vm="37">
        <v>#VALUE!</v>
      </c>
      <c r="B37" t="str" cm="1">
        <f t="array" aca="1" ref="B37" ca="1">_FV(table1[[#This Row],[DataField]],"Ticker symbol",TRUE)</f>
        <v>FLO</v>
      </c>
      <c r="H37" s="2" cm="1">
        <f t="array" aca="1" ref="H37" ca="1">_FV(table1[[#This Row],[DataField]],"Price")</f>
        <v>10.81</v>
      </c>
      <c r="I37" s="2" cm="1">
        <f t="array" aca="1" ref="I37" ca="1">_FV(table1[[#This Row],[DataField]],"52 week low",TRUE)</f>
        <v>10.34</v>
      </c>
      <c r="J37" s="2" cm="1">
        <f t="array" aca="1" ref="J37" ca="1">_FV(table1[[#This Row],[DataField]],"52 week high",TRUE)</f>
        <v>21.87</v>
      </c>
      <c r="K37" s="4" cm="1">
        <f t="array" aca="1" ref="K37" ca="1">_FV(table1[[#This Row],[DataField]],"P/E",TRUE)</f>
        <v>11.811500000000001</v>
      </c>
      <c r="L37" s="2" t="str">
        <f ca="1">IF(table1[[#This Row],[Price]] &lt; (table1[[#This Row],[52Low]] * 0.25) + table1[[#This Row],[52Low]],  "TRUE", "FALSE")</f>
        <v>TRUE</v>
      </c>
      <c r="M37" s="2" t="str">
        <f ca="1">IF(table1[[#This Row],[Price]] &lt; (table1[[#This Row],[52Low]] * 0.1) + table1[[#This Row],[52Low]],  "TRUE", "FALSE")</f>
        <v>TRUE</v>
      </c>
      <c r="N37" s="6" cm="1">
        <f t="array" aca="1" ref="N37" ca="1">_FV(table1[[#This Row],[DataField]],"Market cap",TRUE)</f>
        <v>2282836342</v>
      </c>
    </row>
    <row r="38" spans="1:14" x14ac:dyDescent="0.2">
      <c r="A38" t="e" vm="38">
        <v>#VALUE!</v>
      </c>
      <c r="B38" t="str" cm="1">
        <f t="array" aca="1" ref="B38" ca="1">_FV(table1[[#This Row],[DataField]],"Ticker symbol",TRUE)</f>
        <v>GD</v>
      </c>
      <c r="C38" t="b">
        <v>1</v>
      </c>
      <c r="D38" t="s">
        <v>12</v>
      </c>
      <c r="E38" t="b">
        <v>1</v>
      </c>
      <c r="H38" s="2" cm="1">
        <f t="array" aca="1" ref="H38" ca="1">_FV(table1[[#This Row],[DataField]],"Price")</f>
        <v>342.23</v>
      </c>
      <c r="I38" s="2" cm="1">
        <f t="array" aca="1" ref="I38" ca="1">_FV(table1[[#This Row],[DataField]],"52 week low",TRUE)</f>
        <v>239.2</v>
      </c>
      <c r="J38" s="2" cm="1">
        <f t="array" aca="1" ref="J38" ca="1">_FV(table1[[#This Row],[DataField]],"52 week high",TRUE)</f>
        <v>360.5</v>
      </c>
      <c r="K38" s="4" cm="1">
        <f t="array" aca="1" ref="K38" ca="1">_FV(table1[[#This Row],[DataField]],"P/E",TRUE)</f>
        <v>22.1877</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92443338715</v>
      </c>
    </row>
    <row r="39" spans="1:14" x14ac:dyDescent="0.2">
      <c r="A39" t="e" vm="39">
        <v>#VALUE!</v>
      </c>
      <c r="B39" t="str" cm="1">
        <f t="array" aca="1" ref="B39" ca="1">_FV(table1[[#This Row],[DataField]],"Ticker symbol",TRUE)</f>
        <v>GIS</v>
      </c>
      <c r="H39" s="2" cm="1">
        <f t="array" aca="1" ref="H39" ca="1">_FV(table1[[#This Row],[DataField]],"Price")</f>
        <v>45.71</v>
      </c>
      <c r="I39" s="2" cm="1">
        <f t="array" aca="1" ref="I39" ca="1">_FV(table1[[#This Row],[DataField]],"52 week low",TRUE)</f>
        <v>45.15</v>
      </c>
      <c r="J39" s="2" cm="1">
        <f t="array" aca="1" ref="J39" ca="1">_FV(table1[[#This Row],[DataField]],"52 week high",TRUE)</f>
        <v>67.349999999999994</v>
      </c>
      <c r="K39" s="4" cm="1">
        <f t="array" aca="1" ref="K39" ca="1">_FV(table1[[#This Row],[DataField]],"P/E",TRUE)</f>
        <v>8.6229999999999993</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24382463644</v>
      </c>
    </row>
    <row r="40" spans="1:14" x14ac:dyDescent="0.2">
      <c r="A40" t="e" vm="40">
        <v>#VALUE!</v>
      </c>
      <c r="B40" t="str" cm="1">
        <f t="array" aca="1" ref="B40" ca="1">_FV(table1[[#This Row],[DataField]],"Ticker symbol",TRUE)</f>
        <v>GOOGL</v>
      </c>
      <c r="G40" t="s">
        <v>24</v>
      </c>
      <c r="H40" s="2" cm="1">
        <f t="array" aca="1" ref="H40" ca="1">_FV(table1[[#This Row],[DataField]],"Price")</f>
        <v>320.20999999999998</v>
      </c>
      <c r="I40" s="2" cm="1">
        <f t="array" aca="1" ref="I40" ca="1">_FV(table1[[#This Row],[DataField]],"52 week low",TRUE)</f>
        <v>140.53</v>
      </c>
      <c r="J40" s="2" cm="1">
        <f t="array" aca="1" ref="J40" ca="1">_FV(table1[[#This Row],[DataField]],"52 week high",TRUE)</f>
        <v>328.83</v>
      </c>
      <c r="K40" s="4" cm="1">
        <f t="array" aca="1" ref="K40" ca="1">_FV(table1[[#This Row],[DataField]],"P/E",TRUE)</f>
        <v>31.5762</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3829827000000</v>
      </c>
    </row>
    <row r="41" spans="1:14" x14ac:dyDescent="0.2">
      <c r="A41" t="e" vm="41">
        <v>#VALUE!</v>
      </c>
      <c r="B41" t="str" cm="1">
        <f t="array" aca="1" ref="B41" ca="1">_FV(table1[[#This Row],[DataField]],"Ticker symbol",TRUE)</f>
        <v>HD</v>
      </c>
      <c r="C41" t="b">
        <v>1</v>
      </c>
      <c r="D41" t="s">
        <v>7</v>
      </c>
      <c r="E41" t="b">
        <v>1</v>
      </c>
      <c r="H41" s="2" cm="1">
        <f t="array" aca="1" ref="H41" ca="1">_FV(table1[[#This Row],[DataField]],"Price")</f>
        <v>351.15</v>
      </c>
      <c r="I41" s="2" cm="1">
        <f t="array" aca="1" ref="I41" ca="1">_FV(table1[[#This Row],[DataField]],"52 week low",TRUE)</f>
        <v>326.31</v>
      </c>
      <c r="J41" s="2" cm="1">
        <f t="array" aca="1" ref="J41" ca="1">_FV(table1[[#This Row],[DataField]],"52 week high",TRUE)</f>
        <v>428</v>
      </c>
      <c r="K41" s="4" cm="1">
        <f t="array" aca="1" ref="K41" ca="1">_FV(table1[[#This Row],[DataField]],"P/E",TRUE)</f>
        <v>23.9497</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349573863225</v>
      </c>
    </row>
    <row r="42" spans="1:14" x14ac:dyDescent="0.2">
      <c r="A42" t="e" vm="42">
        <v>#VALUE!</v>
      </c>
      <c r="B42" t="str" cm="1">
        <f t="array" aca="1" ref="B42" ca="1">_FV(table1[[#This Row],[DataField]],"Ticker symbol",TRUE)</f>
        <v>HRL</v>
      </c>
      <c r="H42" s="2" cm="1">
        <f t="array" aca="1" ref="H42" ca="1">_FV(table1[[#This Row],[DataField]],"Price")</f>
        <v>23.74</v>
      </c>
      <c r="I42" s="2" cm="1">
        <f t="array" aca="1" ref="I42" ca="1">_FV(table1[[#This Row],[DataField]],"52 week low",TRUE)</f>
        <v>21.03</v>
      </c>
      <c r="J42" s="2" cm="1">
        <f t="array" aca="1" ref="J42" ca="1">_FV(table1[[#This Row],[DataField]],"52 week high",TRUE)</f>
        <v>33.799999999999997</v>
      </c>
      <c r="K42" s="4" cm="1">
        <f t="array" aca="1" ref="K42" ca="1">_FV(table1[[#This Row],[DataField]],"P/E",TRUE)</f>
        <v>27.324100000000001</v>
      </c>
      <c r="L42" s="2" t="str">
        <f ca="1">IF(table1[[#This Row],[Price]] &lt; (table1[[#This Row],[52Low]] * 0.25) + table1[[#This Row],[52Low]],  "TRUE", "FALSE")</f>
        <v>TRUE</v>
      </c>
      <c r="M42" s="2" t="str">
        <f ca="1">IF(table1[[#This Row],[Price]] &lt; (table1[[#This Row],[52Low]] * 0.1) + table1[[#This Row],[52Low]],  "TRUE", "FALSE")</f>
        <v>FALSE</v>
      </c>
      <c r="N42" s="6" cm="1">
        <f t="array" aca="1" ref="N42" ca="1">_FV(table1[[#This Row],[DataField]],"Market cap",TRUE)</f>
        <v>13059547302</v>
      </c>
    </row>
    <row r="43" spans="1:14" x14ac:dyDescent="0.2">
      <c r="A43" t="e" vm="43">
        <v>#VALUE!</v>
      </c>
      <c r="B43" t="str" cm="1">
        <f t="array" aca="1" ref="B43" ca="1">_FV(table1[[#This Row],[DataField]],"Ticker symbol",TRUE)</f>
        <v>HSY</v>
      </c>
      <c r="C43" t="b">
        <v>1</v>
      </c>
      <c r="D43" t="s">
        <v>5</v>
      </c>
      <c r="E43" t="b">
        <v>1</v>
      </c>
      <c r="H43" s="2" cm="1">
        <f t="array" aca="1" ref="H43" ca="1">_FV(table1[[#This Row],[DataField]],"Price")</f>
        <v>180.06</v>
      </c>
      <c r="I43" s="2" cm="1">
        <f t="array" aca="1" ref="I43" ca="1">_FV(table1[[#This Row],[DataField]],"52 week low",TRUE)</f>
        <v>140.13</v>
      </c>
      <c r="J43" s="2" cm="1">
        <f t="array" aca="1" ref="J43" ca="1">_FV(table1[[#This Row],[DataField]],"52 week high",TRUE)</f>
        <v>199</v>
      </c>
      <c r="K43" s="4" cm="1">
        <f t="array" aca="1" ref="K43" ca="1">_FV(table1[[#This Row],[DataField]],"P/E",TRUE)</f>
        <v>20.744800000000001</v>
      </c>
      <c r="L43" s="2" t="str">
        <f ca="1">IF(table1[[#This Row],[Price]] &lt; (table1[[#This Row],[52Low]] * 0.25) + table1[[#This Row],[52Low]],  "TRUE", "FALSE")</f>
        <v>FALSE</v>
      </c>
      <c r="M43" s="2" t="str">
        <f ca="1">IF(table1[[#This Row],[Price]] &lt; (table1[[#This Row],[52Low]] * 0.1) + table1[[#This Row],[52Low]],  "TRUE", "FALSE")</f>
        <v>FALSE</v>
      </c>
      <c r="N43" s="6" cm="1">
        <f t="array" aca="1" ref="N43" ca="1">_FV(table1[[#This Row],[DataField]],"Market cap",TRUE)</f>
        <v>36513485106</v>
      </c>
    </row>
    <row r="44" spans="1:14" x14ac:dyDescent="0.2">
      <c r="A44" t="e" vm="44">
        <v>#VALUE!</v>
      </c>
      <c r="B44" t="str" cm="1">
        <f t="array" aca="1" ref="B44" ca="1">_FV(table1[[#This Row],[DataField]],"Ticker symbol",TRUE)</f>
        <v>INTC</v>
      </c>
      <c r="H44" s="2" cm="1">
        <f t="array" aca="1" ref="H44" ca="1">_FV(table1[[#This Row],[DataField]],"Price")</f>
        <v>40.78</v>
      </c>
      <c r="I44" s="2" cm="1">
        <f t="array" aca="1" ref="I44" ca="1">_FV(table1[[#This Row],[DataField]],"52 week low",TRUE)</f>
        <v>17.664999999999999</v>
      </c>
      <c r="J44" s="2" cm="1">
        <f t="array" aca="1" ref="J44" ca="1">_FV(table1[[#This Row],[DataField]],"52 week high",TRUE)</f>
        <v>44.02</v>
      </c>
      <c r="K44" s="4" cm="1">
        <f t="array" aca="1" ref="K44" ca="1">_FV(table1[[#This Row],[DataField]],"P/E",TRUE)</f>
        <v>3843.5430000000001</v>
      </c>
      <c r="L44" s="2" t="str">
        <f ca="1">IF(table1[[#This Row],[Price]] &lt; (table1[[#This Row],[52Low]] * 0.25) + table1[[#This Row],[52Low]],  "TRUE", "FALSE")</f>
        <v>FALSE</v>
      </c>
      <c r="M44" s="2" t="str">
        <f ca="1">IF(table1[[#This Row],[Price]] &lt; (table1[[#This Row],[52Low]] * 0.1) + table1[[#This Row],[52Low]],  "TRUE", "FALSE")</f>
        <v>FALSE</v>
      </c>
      <c r="N44" s="6" cm="1">
        <f t="array" aca="1" ref="N44" ca="1">_FV(table1[[#This Row],[DataField]],"Market cap",TRUE)</f>
        <v>194520600000</v>
      </c>
    </row>
    <row r="45" spans="1:14" x14ac:dyDescent="0.2">
      <c r="A45" t="e" vm="45">
        <v>#VALUE!</v>
      </c>
      <c r="B45" t="str" cm="1">
        <f t="array" aca="1" ref="B45" ca="1">_FV(table1[[#This Row],[DataField]],"Ticker symbol",TRUE)</f>
        <v>INTU</v>
      </c>
      <c r="H45" s="2" cm="1">
        <f t="array" aca="1" ref="H45" ca="1">_FV(table1[[#This Row],[DataField]],"Price")</f>
        <v>662.43</v>
      </c>
      <c r="I45" s="2" cm="1">
        <f t="array" aca="1" ref="I45" ca="1">_FV(table1[[#This Row],[DataField]],"52 week low",TRUE)</f>
        <v>532.64499999999998</v>
      </c>
      <c r="J45" s="2" cm="1">
        <f t="array" aca="1" ref="J45" ca="1">_FV(table1[[#This Row],[DataField]],"52 week high",TRUE)</f>
        <v>813.7</v>
      </c>
      <c r="K45" s="4" cm="1">
        <f t="array" aca="1" ref="K45" ca="1">_FV(table1[[#This Row],[DataField]],"P/E",TRUE)</f>
        <v>45.488900000000001</v>
      </c>
      <c r="L45" s="2" t="str">
        <f ca="1">IF(table1[[#This Row],[Price]] &lt; (table1[[#This Row],[52Low]] * 0.25) + table1[[#This Row],[52Low]],  "TRUE", "FALSE")</f>
        <v>TRUE</v>
      </c>
      <c r="M45" s="2" t="str">
        <f ca="1">IF(table1[[#This Row],[Price]] &lt; (table1[[#This Row],[52Low]] * 0.1) + table1[[#This Row],[52Low]],  "TRUE", "FALSE")</f>
        <v>FALSE</v>
      </c>
      <c r="N45" s="6" cm="1">
        <f t="array" aca="1" ref="N45" ca="1">_FV(table1[[#This Row],[DataField]],"Market cap",TRUE)</f>
        <v>184337112063</v>
      </c>
    </row>
    <row r="46" spans="1:14" x14ac:dyDescent="0.2">
      <c r="A46" t="e" vm="46">
        <v>#VALUE!</v>
      </c>
      <c r="B46" t="str" cm="1">
        <f t="array" aca="1" ref="B46" ca="1">_FV(table1[[#This Row],[DataField]],"Ticker symbol",TRUE)</f>
        <v>JNJ</v>
      </c>
      <c r="C46" t="b">
        <v>1</v>
      </c>
      <c r="D46" t="s">
        <v>9</v>
      </c>
      <c r="E46" t="b">
        <v>1</v>
      </c>
      <c r="H46" s="2" cm="1">
        <f t="array" aca="1" ref="H46" ca="1">_FV(table1[[#This Row],[DataField]],"Price")</f>
        <v>206.48</v>
      </c>
      <c r="I46" s="2" cm="1">
        <f t="array" aca="1" ref="I46" ca="1">_FV(table1[[#This Row],[DataField]],"52 week low",TRUE)</f>
        <v>140.68</v>
      </c>
      <c r="J46" s="2" cm="1">
        <f t="array" aca="1" ref="J46" ca="1">_FV(table1[[#This Row],[DataField]],"52 week high",TRUE)</f>
        <v>207.81</v>
      </c>
      <c r="K46" s="4" cm="1">
        <f t="array" aca="1" ref="K46" ca="1">_FV(table1[[#This Row],[DataField]],"P/E",TRUE)</f>
        <v>19.935099999999998</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497471231600</v>
      </c>
    </row>
    <row r="47" spans="1:14" x14ac:dyDescent="0.2">
      <c r="A47" t="e" vm="47">
        <v>#VALUE!</v>
      </c>
      <c r="B47" t="str" cm="1">
        <f t="array" aca="1" ref="B47" ca="1">_FV(table1[[#This Row],[DataField]],"Ticker symbol",TRUE)</f>
        <v>KMB</v>
      </c>
      <c r="C47" t="b">
        <v>0</v>
      </c>
      <c r="D47" t="s">
        <v>5</v>
      </c>
      <c r="E47" t="b">
        <v>1</v>
      </c>
      <c r="H47" s="2" cm="1">
        <f t="array" aca="1" ref="H47" ca="1">_FV(table1[[#This Row],[DataField]],"Price")</f>
        <v>103.14</v>
      </c>
      <c r="I47" s="2" cm="1">
        <f t="array" aca="1" ref="I47" ca="1">_FV(table1[[#This Row],[DataField]],"52 week low",TRUE)</f>
        <v>99.22</v>
      </c>
      <c r="J47" s="2" cm="1">
        <f t="array" aca="1" ref="J47" ca="1">_FV(table1[[#This Row],[DataField]],"52 week high",TRUE)</f>
        <v>150.44999999999999</v>
      </c>
      <c r="K47" s="4" cm="1">
        <f t="array" aca="1" ref="K47" ca="1">_FV(table1[[#This Row],[DataField]],"P/E",TRUE)</f>
        <v>19.206199999999999</v>
      </c>
      <c r="L47" s="2" t="str">
        <f ca="1">IF(table1[[#This Row],[Price]] &lt; (table1[[#This Row],[52Low]] * 0.25) + table1[[#This Row],[52Low]],  "TRUE", "FALSE")</f>
        <v>TRUE</v>
      </c>
      <c r="M47" s="2" t="str">
        <f ca="1">IF(table1[[#This Row],[Price]] &lt; (table1[[#This Row],[52Low]] * 0.1) + table1[[#This Row],[52Low]],  "TRUE", "FALSE")</f>
        <v>TRUE</v>
      </c>
      <c r="N47" s="6" cm="1">
        <f t="array" aca="1" ref="N47" ca="1">_FV(table1[[#This Row],[DataField]],"Market cap",TRUE)</f>
        <v>34227875376</v>
      </c>
    </row>
    <row r="48" spans="1:14" x14ac:dyDescent="0.2">
      <c r="A48" t="e" vm="48">
        <v>#VALUE!</v>
      </c>
      <c r="B48" t="str" cm="1">
        <f t="array" aca="1" ref="B48" ca="1">_FV(table1[[#This Row],[DataField]],"Ticker symbol",TRUE)</f>
        <v>KO</v>
      </c>
      <c r="H48" s="2" cm="1">
        <f t="array" aca="1" ref="H48" ca="1">_FV(table1[[#This Row],[DataField]],"Price")</f>
        <v>70.209999999999994</v>
      </c>
      <c r="I48" s="2" cm="1">
        <f t="array" aca="1" ref="I48" ca="1">_FV(table1[[#This Row],[DataField]],"52 week low",TRUE)</f>
        <v>60.615000000000002</v>
      </c>
      <c r="J48" s="2" cm="1">
        <f t="array" aca="1" ref="J48" ca="1">_FV(table1[[#This Row],[DataField]],"52 week high",TRUE)</f>
        <v>74.38</v>
      </c>
      <c r="K48" s="4" cm="1">
        <f t="array" aca="1" ref="K48" ca="1">_FV(table1[[#This Row],[DataField]],"P/E",TRUE)</f>
        <v>23.2425</v>
      </c>
      <c r="L48" s="2" t="str">
        <f ca="1">IF(table1[[#This Row],[Price]] &lt; (table1[[#This Row],[52Low]] * 0.25) + table1[[#This Row],[52Low]],  "TRUE", "FALSE")</f>
        <v>TRUE</v>
      </c>
      <c r="M48" s="2" t="str">
        <f ca="1">IF(table1[[#This Row],[Price]] &lt; (table1[[#This Row],[52Low]] * 0.1) + table1[[#This Row],[52Low]],  "TRUE", "FALSE")</f>
        <v>FALSE</v>
      </c>
      <c r="N48" s="6" cm="1">
        <f t="array" aca="1" ref="N48" ca="1">_FV(table1[[#This Row],[DataField]],"Market cap",TRUE)</f>
        <v>302015967890</v>
      </c>
    </row>
    <row r="49" spans="1:14" x14ac:dyDescent="0.2">
      <c r="A49" t="e" vm="49">
        <v>#VALUE!</v>
      </c>
      <c r="B49" t="str" cm="1">
        <f t="array" aca="1" ref="B49" ca="1">_FV(table1[[#This Row],[DataField]],"Ticker symbol",TRUE)</f>
        <v>LLY</v>
      </c>
      <c r="H49" s="2" cm="1">
        <f t="array" aca="1" ref="H49" ca="1">_FV(table1[[#This Row],[DataField]],"Price")</f>
        <v>993.64</v>
      </c>
      <c r="I49" s="2" cm="1">
        <f t="array" aca="1" ref="I49" ca="1">_FV(table1[[#This Row],[DataField]],"52 week low",TRUE)</f>
        <v>623.78</v>
      </c>
      <c r="J49" s="2" cm="1">
        <f t="array" aca="1" ref="J49" ca="1">_FV(table1[[#This Row],[DataField]],"52 week high",TRUE)</f>
        <v>1111.99</v>
      </c>
      <c r="K49" s="4" cm="1">
        <f t="array" aca="1" ref="K49" ca="1">_FV(table1[[#This Row],[DataField]],"P/E",TRUE)</f>
        <v>48.591000000000001</v>
      </c>
      <c r="L49" s="2" t="str">
        <f ca="1">IF(table1[[#This Row],[Price]] &lt; (table1[[#This Row],[52Low]] * 0.25) + table1[[#This Row],[52Low]],  "TRUE", "FALSE")</f>
        <v>FALSE</v>
      </c>
      <c r="M49" s="2" t="str">
        <f ca="1">IF(table1[[#This Row],[Price]] &lt; (table1[[#This Row],[52Low]] * 0.1) + table1[[#This Row],[52Low]],  "TRUE", "FALSE")</f>
        <v>FALSE</v>
      </c>
      <c r="N49" s="6" cm="1">
        <f t="array" aca="1" ref="N49" ca="1">_FV(table1[[#This Row],[DataField]],"Market cap",TRUE)</f>
        <v>939371159032</v>
      </c>
    </row>
    <row r="50" spans="1:14" x14ac:dyDescent="0.2">
      <c r="A50" t="e" vm="50">
        <v>#VALUE!</v>
      </c>
      <c r="B50" t="str" cm="1">
        <f t="array" aca="1" ref="B50" ca="1">_FV(table1[[#This Row],[DataField]],"Ticker symbol",TRUE)</f>
        <v>LMT</v>
      </c>
      <c r="C50" t="b">
        <v>1</v>
      </c>
      <c r="D50" t="s">
        <v>12</v>
      </c>
      <c r="E50" t="b">
        <v>1</v>
      </c>
      <c r="H50" s="2" cm="1">
        <f t="array" aca="1" ref="H50" ca="1">_FV(table1[[#This Row],[DataField]],"Price")</f>
        <v>467.94</v>
      </c>
      <c r="I50" s="2" cm="1">
        <f t="array" aca="1" ref="I50" ca="1">_FV(table1[[#This Row],[DataField]],"52 week low",TRUE)</f>
        <v>410.11</v>
      </c>
      <c r="J50" s="2" cm="1">
        <f t="array" aca="1" ref="J50" ca="1">_FV(table1[[#This Row],[DataField]],"52 week high",TRUE)</f>
        <v>516</v>
      </c>
      <c r="K50" s="4" cm="1">
        <f t="array" aca="1" ref="K50" ca="1">_FV(table1[[#This Row],[DataField]],"P/E",TRUE)</f>
        <v>26.066600000000001</v>
      </c>
      <c r="L50" s="2" t="str">
        <f ca="1">IF(table1[[#This Row],[Price]] &lt; (table1[[#This Row],[52Low]] * 0.25) + table1[[#This Row],[52Low]],  "TRUE", "FALSE")</f>
        <v>TRUE</v>
      </c>
      <c r="M50" s="2" t="str">
        <f ca="1">IF(table1[[#This Row],[Price]] &lt; (table1[[#This Row],[52Low]] * 0.1) + table1[[#This Row],[52Low]],  "TRUE", "FALSE")</f>
        <v>FALSE</v>
      </c>
      <c r="N50" s="6" cm="1">
        <f t="array" aca="1" ref="N50" ca="1">_FV(table1[[#This Row],[DataField]],"Market cap",TRUE)</f>
        <v>108280286532</v>
      </c>
    </row>
    <row r="51" spans="1:14" x14ac:dyDescent="0.2">
      <c r="A51" t="e" vm="51">
        <v>#VALUE!</v>
      </c>
      <c r="B51" t="str" cm="1">
        <f t="array" aca="1" ref="B51" ca="1">_FV(table1[[#This Row],[DataField]],"Ticker symbol",TRUE)</f>
        <v>LOW</v>
      </c>
      <c r="C51" t="b">
        <v>1</v>
      </c>
      <c r="D51" t="s">
        <v>7</v>
      </c>
      <c r="E51" t="b">
        <v>1</v>
      </c>
      <c r="H51" s="2" cm="1">
        <f t="array" aca="1" ref="H51" ca="1">_FV(table1[[#This Row],[DataField]],"Price")</f>
        <v>246.21</v>
      </c>
      <c r="I51" s="2" cm="1">
        <f t="array" aca="1" ref="I51" ca="1">_FV(table1[[#This Row],[DataField]],"52 week low",TRUE)</f>
        <v>206.38499999999999</v>
      </c>
      <c r="J51" s="2" cm="1">
        <f t="array" aca="1" ref="J51" ca="1">_FV(table1[[#This Row],[DataField]],"52 week high",TRUE)</f>
        <v>274.98</v>
      </c>
      <c r="K51" s="4" cm="1">
        <f t="array" aca="1" ref="K51" ca="1">_FV(table1[[#This Row],[DataField]],"P/E",TRUE)</f>
        <v>20.4222</v>
      </c>
      <c r="L51" s="2" t="str">
        <f ca="1">IF(table1[[#This Row],[Price]] &lt; (table1[[#This Row],[52Low]] * 0.25) + table1[[#This Row],[52Low]],  "TRUE", "FALSE")</f>
        <v>TRUE</v>
      </c>
      <c r="M51" s="2" t="str">
        <f ca="1">IF(table1[[#This Row],[Price]] &lt; (table1[[#This Row],[52Low]] * 0.1) + table1[[#This Row],[52Low]],  "TRUE", "FALSE")</f>
        <v>FALSE</v>
      </c>
      <c r="N51" s="6" cm="1">
        <f t="array" aca="1" ref="N51" ca="1">_FV(table1[[#This Row],[DataField]],"Market cap",TRUE)</f>
        <v>138111868815</v>
      </c>
    </row>
    <row r="52" spans="1:14" x14ac:dyDescent="0.2">
      <c r="A52" t="e" vm="52">
        <v>#VALUE!</v>
      </c>
      <c r="B52" t="str" cm="1">
        <f t="array" aca="1" ref="B52" ca="1">_FV(table1[[#This Row],[DataField]],"Ticker symbol",TRUE)</f>
        <v>LRCX</v>
      </c>
      <c r="C52" t="b">
        <v>0</v>
      </c>
      <c r="D52" t="s">
        <v>6</v>
      </c>
      <c r="E52" t="b">
        <v>1</v>
      </c>
      <c r="G52" t="s">
        <v>25</v>
      </c>
      <c r="H52" s="2" cm="1">
        <f t="array" aca="1" ref="H52" ca="1">_FV(table1[[#This Row],[DataField]],"Price")</f>
        <v>168.26</v>
      </c>
      <c r="I52" s="2" cm="1">
        <f t="array" aca="1" ref="I52" ca="1">_FV(table1[[#This Row],[DataField]],"52 week low",TRUE)</f>
        <v>56.32</v>
      </c>
      <c r="J52" s="2" cm="1">
        <f t="array" aca="1" ref="J52" ca="1">_FV(table1[[#This Row],[DataField]],"52 week high",TRUE)</f>
        <v>169.69</v>
      </c>
      <c r="K52" s="4" cm="1">
        <f t="array" aca="1" ref="K52" ca="1">_FV(table1[[#This Row],[DataField]],"P/E",TRUE)</f>
        <v>37.076799999999999</v>
      </c>
      <c r="L52" s="2" t="str">
        <f ca="1">IF(table1[[#This Row],[Price]] &lt; (table1[[#This Row],[52Low]] * 0.25) + table1[[#This Row],[52Low]],  "TRUE", "FALSE")</f>
        <v>FALSE</v>
      </c>
      <c r="M52" s="2" t="str">
        <f ca="1">IF(table1[[#This Row],[Price]] &lt; (table1[[#This Row],[52Low]] * 0.1) + table1[[#This Row],[52Low]],  "TRUE", "FALSE")</f>
        <v>FALSE</v>
      </c>
      <c r="N52" s="6" cm="1">
        <f t="array" aca="1" ref="N52" ca="1">_FV(table1[[#This Row],[DataField]],"Market cap",TRUE)</f>
        <v>211339607800</v>
      </c>
    </row>
    <row r="53" spans="1:14" x14ac:dyDescent="0.2">
      <c r="A53" t="e" vm="53">
        <v>#VALUE!</v>
      </c>
      <c r="B53" t="str" cm="1">
        <f t="array" aca="1" ref="B53" ca="1">_FV(table1[[#This Row],[DataField]],"Ticker symbol",TRUE)</f>
        <v>LYB</v>
      </c>
      <c r="C53" t="b">
        <v>1</v>
      </c>
      <c r="D53" t="s">
        <v>13</v>
      </c>
      <c r="E53" t="b">
        <v>1</v>
      </c>
      <c r="H53" s="2" cm="1">
        <f t="array" aca="1" ref="H53" ca="1">_FV(table1[[#This Row],[DataField]],"Price")</f>
        <v>45.23</v>
      </c>
      <c r="I53" s="2" cm="1">
        <f t="array" aca="1" ref="I53" ca="1">_FV(table1[[#This Row],[DataField]],"52 week low",TRUE)</f>
        <v>41.58</v>
      </c>
      <c r="J53" s="2" cm="1">
        <f t="array" aca="1" ref="J53" ca="1">_FV(table1[[#This Row],[DataField]],"52 week high",TRUE)</f>
        <v>79.389899999999997</v>
      </c>
      <c r="K53" s="4" cm="1">
        <f t="array" aca="1" ref="K53" ca="1">_FV(table1[[#This Row],[DataField]],"P/E",TRUE)</f>
        <v>0</v>
      </c>
      <c r="L53" s="2" t="str">
        <f ca="1">IF(table1[[#This Row],[Price]] &lt; (table1[[#This Row],[52Low]] * 0.25) + table1[[#This Row],[52Low]],  "TRUE", "FALSE")</f>
        <v>TRUE</v>
      </c>
      <c r="M53" s="2" t="str">
        <f ca="1">IF(table1[[#This Row],[Price]] &lt; (table1[[#This Row],[52Low]] * 0.1) + table1[[#This Row],[52Low]],  "TRUE", "FALSE")</f>
        <v>TRUE</v>
      </c>
      <c r="N53" s="6" cm="1">
        <f t="array" aca="1" ref="N53" ca="1">_FV(table1[[#This Row],[DataField]],"Market cap",TRUE)</f>
        <v>14558315789</v>
      </c>
    </row>
    <row r="54" spans="1:14" x14ac:dyDescent="0.2">
      <c r="A54" t="e" vm="54">
        <v>#VALUE!</v>
      </c>
      <c r="B54" t="str" cm="1">
        <f t="array" aca="1" ref="B54" ca="1">_FV(table1[[#This Row],[DataField]],"Ticker symbol",TRUE)</f>
        <v>MAN</v>
      </c>
      <c r="H54" s="2" cm="1">
        <f t="array" aca="1" ref="H54" ca="1">_FV(table1[[#This Row],[DataField]],"Price")</f>
        <v>28.41</v>
      </c>
      <c r="I54" s="2" cm="1">
        <f t="array" aca="1" ref="I54" ca="1">_FV(table1[[#This Row],[DataField]],"52 week low",TRUE)</f>
        <v>26.14</v>
      </c>
      <c r="J54" s="2" cm="1">
        <f t="array" aca="1" ref="J54" ca="1">_FV(table1[[#This Row],[DataField]],"52 week high",TRUE)</f>
        <v>63.344999999999999</v>
      </c>
      <c r="K54" s="4" t="e" cm="1" vm="14">
        <f t="array" ref="K54">_FV(table1[[#This Row],[DataField]],"P/E",TRUE)</f>
        <v>#VALUE!</v>
      </c>
      <c r="L54" s="2" t="str">
        <f ca="1">IF(table1[[#This Row],[Price]] &lt; (table1[[#This Row],[52Low]] * 0.25) + table1[[#This Row],[52Low]],  "TRUE", "FALSE")</f>
        <v>TRUE</v>
      </c>
      <c r="M54" s="2" t="str">
        <f ca="1">IF(table1[[#This Row],[Price]] &lt; (table1[[#This Row],[52Low]] * 0.1) + table1[[#This Row],[52Low]],  "TRUE", "FALSE")</f>
        <v>TRUE</v>
      </c>
      <c r="N54" s="6" cm="1">
        <f t="array" aca="1" ref="N54" ca="1">_FV(table1[[#This Row],[DataField]],"Market cap",TRUE)</f>
        <v>1315302883</v>
      </c>
    </row>
    <row r="55" spans="1:14" x14ac:dyDescent="0.2">
      <c r="A55" t="e" vm="55">
        <v>#VALUE!</v>
      </c>
      <c r="B55" t="str" cm="1">
        <f t="array" aca="1" ref="B55" ca="1">_FV(table1[[#This Row],[DataField]],"Ticker symbol",TRUE)</f>
        <v>MCD</v>
      </c>
      <c r="C55" t="b">
        <v>0</v>
      </c>
      <c r="D55" t="s">
        <v>7</v>
      </c>
      <c r="E55" t="b">
        <v>1</v>
      </c>
      <c r="H55" s="2" cm="1">
        <f t="array" aca="1" ref="H55" ca="1">_FV(table1[[#This Row],[DataField]],"Price")</f>
        <v>310.57499999999999</v>
      </c>
      <c r="I55" s="2" cm="1">
        <f t="array" aca="1" ref="I55" ca="1">_FV(table1[[#This Row],[DataField]],"52 week low",TRUE)</f>
        <v>276.52999999999997</v>
      </c>
      <c r="J55" s="2" cm="1">
        <f t="array" aca="1" ref="J55" ca="1">_FV(table1[[#This Row],[DataField]],"52 week high",TRUE)</f>
        <v>326.32</v>
      </c>
      <c r="K55" s="4" cm="1">
        <f t="array" aca="1" ref="K55" ca="1">_FV(table1[[#This Row],[DataField]],"P/E",TRUE)</f>
        <v>26.485499999999998</v>
      </c>
      <c r="L55" s="2" t="str">
        <f ca="1">IF(table1[[#This Row],[Price]] &lt; (table1[[#This Row],[52Low]] * 0.25) + table1[[#This Row],[52Low]],  "TRUE", "FALSE")</f>
        <v>TRUE</v>
      </c>
      <c r="M55" s="2" t="str">
        <f ca="1">IF(table1[[#This Row],[Price]] &lt; (table1[[#This Row],[52Low]] * 0.1) + table1[[#This Row],[52Low]],  "TRUE", "FALSE")</f>
        <v>FALSE</v>
      </c>
      <c r="N55" s="6" cm="1">
        <f t="array" aca="1" ref="N55" ca="1">_FV(table1[[#This Row],[DataField]],"Market cap",TRUE)</f>
        <v>221177352780</v>
      </c>
    </row>
    <row r="56" spans="1:14" x14ac:dyDescent="0.2">
      <c r="A56" t="e" vm="56">
        <v>#VALUE!</v>
      </c>
      <c r="B56" t="str" cm="1">
        <f t="array" aca="1" ref="B56" ca="1">_FV(table1[[#This Row],[DataField]],"Ticker symbol",TRUE)</f>
        <v>MDLZ</v>
      </c>
      <c r="H56" s="2" cm="1">
        <f t="array" aca="1" ref="H56" ca="1">_FV(table1[[#This Row],[DataField]],"Price")</f>
        <v>53.89</v>
      </c>
      <c r="I56" s="2" cm="1">
        <f t="array" aca="1" ref="I56" ca="1">_FV(table1[[#This Row],[DataField]],"52 week low",TRUE)</f>
        <v>53.1342</v>
      </c>
      <c r="J56" s="2" cm="1">
        <f t="array" aca="1" ref="J56" ca="1">_FV(table1[[#This Row],[DataField]],"52 week high",TRUE)</f>
        <v>71.150000000000006</v>
      </c>
      <c r="K56" s="4" cm="1">
        <f t="array" aca="1" ref="K56" ca="1">_FV(table1[[#This Row],[DataField]],"P/E",TRUE)</f>
        <v>20.137699999999999</v>
      </c>
      <c r="L56" s="2" t="str">
        <f ca="1">IF(table1[[#This Row],[Price]] &lt; (table1[[#This Row],[52Low]] * 0.25) + table1[[#This Row],[52Low]],  "TRUE", "FALSE")</f>
        <v>TRUE</v>
      </c>
      <c r="M56" s="2" t="str">
        <f ca="1">IF(table1[[#This Row],[Price]] &lt; (table1[[#This Row],[52Low]] * 0.1) + table1[[#This Row],[52Low]],  "TRUE", "FALSE")</f>
        <v>TRUE</v>
      </c>
      <c r="N56" s="6" cm="1">
        <f t="array" aca="1" ref="N56" ca="1">_FV(table1[[#This Row],[DataField]],"Market cap",TRUE)</f>
        <v>69821300000</v>
      </c>
    </row>
    <row r="57" spans="1:14" x14ac:dyDescent="0.2">
      <c r="A57" t="e" vm="57">
        <v>#VALUE!</v>
      </c>
      <c r="B57" t="str" cm="1">
        <f t="array" aca="1" ref="B57" ca="1">_FV(table1[[#This Row],[DataField]],"Ticker symbol",TRUE)</f>
        <v>MDT</v>
      </c>
      <c r="C57" t="b">
        <v>1</v>
      </c>
      <c r="D57" t="s">
        <v>9</v>
      </c>
      <c r="E57" t="b">
        <v>1</v>
      </c>
      <c r="H57" s="2" cm="1">
        <f t="array" aca="1" ref="H57" ca="1">_FV(table1[[#This Row],[DataField]],"Price")</f>
        <v>100.755</v>
      </c>
      <c r="I57" s="2" cm="1">
        <f t="array" aca="1" ref="I57" ca="1">_FV(table1[[#This Row],[DataField]],"52 week low",TRUE)</f>
        <v>79.290000000000006</v>
      </c>
      <c r="J57" s="2" cm="1">
        <f t="array" aca="1" ref="J57" ca="1">_FV(table1[[#This Row],[DataField]],"52 week high",TRUE)</f>
        <v>106.33</v>
      </c>
      <c r="K57" s="4" cm="1">
        <f t="array" aca="1" ref="K57" ca="1">_FV(table1[[#This Row],[DataField]],"P/E",TRUE)</f>
        <v>27.246500000000001</v>
      </c>
      <c r="L57" s="2" t="str">
        <f ca="1">IF(table1[[#This Row],[Price]] &lt; (table1[[#This Row],[52Low]] * 0.25) + table1[[#This Row],[52Low]],  "TRUE", "FALSE")</f>
        <v>FALSE</v>
      </c>
      <c r="M57" s="2" t="str">
        <f ca="1">IF(table1[[#This Row],[Price]] &lt; (table1[[#This Row],[52Low]] * 0.1) + table1[[#This Row],[52Low]],  "TRUE", "FALSE")</f>
        <v>FALSE</v>
      </c>
      <c r="N57" s="6" cm="1">
        <f t="array" aca="1" ref="N57" ca="1">_FV(table1[[#This Row],[DataField]],"Market cap",TRUE)</f>
        <v>127714300000</v>
      </c>
    </row>
    <row r="58" spans="1:14" x14ac:dyDescent="0.2">
      <c r="A58" t="e" vm="58">
        <v>#VALUE!</v>
      </c>
      <c r="B58" t="str" cm="1">
        <f t="array" aca="1" ref="B58" ca="1">_FV(table1[[#This Row],[DataField]],"Ticker symbol",TRUE)</f>
        <v>META</v>
      </c>
      <c r="H58" s="2" cm="1">
        <f t="array" aca="1" ref="H58" ca="1">_FV(table1[[#This Row],[DataField]],"Price")</f>
        <v>650.13</v>
      </c>
      <c r="I58" s="2" cm="1">
        <f t="array" aca="1" ref="I58" ca="1">_FV(table1[[#This Row],[DataField]],"52 week low",TRUE)</f>
        <v>479.8</v>
      </c>
      <c r="J58" s="2" cm="1">
        <f t="array" aca="1" ref="J58" ca="1">_FV(table1[[#This Row],[DataField]],"52 week high",TRUE)</f>
        <v>796.25</v>
      </c>
      <c r="K58" s="4" cm="1">
        <f t="array" aca="1" ref="K58" ca="1">_FV(table1[[#This Row],[DataField]],"P/E",TRUE)</f>
        <v>22.3672</v>
      </c>
      <c r="L58" s="2" t="str">
        <f ca="1">IF(table1[[#This Row],[Price]] &lt; (table1[[#This Row],[52Low]] * 0.25) + table1[[#This Row],[52Low]],  "TRUE", "FALSE")</f>
        <v>FALSE</v>
      </c>
      <c r="M58" s="2" t="str">
        <f ca="1">IF(table1[[#This Row],[Price]] &lt; (table1[[#This Row],[52Low]] * 0.1) + table1[[#This Row],[52Low]],  "TRUE", "FALSE")</f>
        <v>FALSE</v>
      </c>
      <c r="N58" s="6" cm="1">
        <f t="array" aca="1" ref="N58" ca="1">_FV(table1[[#This Row],[DataField]],"Market cap",TRUE)</f>
        <v>1638670868640</v>
      </c>
    </row>
    <row r="59" spans="1:14" x14ac:dyDescent="0.2">
      <c r="A59" t="e" vm="59">
        <v>#VALUE!</v>
      </c>
      <c r="B59" t="str" cm="1">
        <f t="array" aca="1" ref="B59" ca="1">_FV(table1[[#This Row],[DataField]],"Ticker symbol",TRUE)</f>
        <v>MKC.V</v>
      </c>
      <c r="C59" t="b">
        <v>1</v>
      </c>
      <c r="D59" t="s">
        <v>5</v>
      </c>
      <c r="E59" t="b">
        <v>1</v>
      </c>
      <c r="H59" s="2" cm="1">
        <f t="array" aca="1" ref="H59" ca="1">_FV(table1[[#This Row],[DataField]],"Price")</f>
        <v>63.76</v>
      </c>
      <c r="I59" s="2" cm="1">
        <f t="array" aca="1" ref="I59" ca="1">_FV(table1[[#This Row],[DataField]],"52 week low",TRUE)</f>
        <v>62.78</v>
      </c>
      <c r="J59" s="2" cm="1">
        <f t="array" aca="1" ref="J59" ca="1">_FV(table1[[#This Row],[DataField]],"52 week high",TRUE)</f>
        <v>85.5</v>
      </c>
      <c r="K59" s="4" t="e" cm="1" vm="14">
        <f t="array" ref="K59">_FV(table1[[#This Row],[DataField]],"P/E",TRUE)</f>
        <v>#VALUE!</v>
      </c>
      <c r="L59" s="2" t="str">
        <f ca="1">IF(table1[[#This Row],[Price]] &lt; (table1[[#This Row],[52Low]] * 0.25) + table1[[#This Row],[52Low]],  "TRUE", "FALSE")</f>
        <v>TRUE</v>
      </c>
      <c r="M59" s="2" t="str">
        <f ca="1">IF(table1[[#This Row],[Price]] &lt; (table1[[#This Row],[52Low]] * 0.1) + table1[[#This Row],[52Low]],  "TRUE", "FALSE")</f>
        <v>TRUE</v>
      </c>
      <c r="N59" s="6" cm="1">
        <f t="array" aca="1" ref="N59" ca="1">_FV(table1[[#This Row],[DataField]],"Market cap",TRUE)</f>
        <v>17032780000</v>
      </c>
    </row>
    <row r="60" spans="1:14" x14ac:dyDescent="0.2">
      <c r="A60" t="e" vm="60">
        <v>#VALUE!</v>
      </c>
      <c r="B60" t="str" cm="1">
        <f t="array" aca="1" ref="B60" ca="1">_FV(table1[[#This Row],[DataField]],"Ticker symbol",TRUE)</f>
        <v>MMM</v>
      </c>
      <c r="H60" s="2" cm="1">
        <f t="array" aca="1" ref="H60" ca="1">_FV(table1[[#This Row],[DataField]],"Price")</f>
        <v>165.66</v>
      </c>
      <c r="I60" s="2" cm="1">
        <f t="array" aca="1" ref="I60" ca="1">_FV(table1[[#This Row],[DataField]],"52 week low",TRUE)</f>
        <v>121.97709999999999</v>
      </c>
      <c r="J60" s="2" cm="1">
        <f t="array" aca="1" ref="J60" ca="1">_FV(table1[[#This Row],[DataField]],"52 week high",TRUE)</f>
        <v>174.69</v>
      </c>
      <c r="K60" s="4" cm="1">
        <f t="array" aca="1" ref="K60" ca="1">_FV(table1[[#This Row],[DataField]],"P/E",TRUE)</f>
        <v>26.471699999999998</v>
      </c>
      <c r="L60" s="2" t="str">
        <f ca="1">IF(table1[[#This Row],[Price]] &lt; (table1[[#This Row],[52Low]] * 0.25) + table1[[#This Row],[52Low]],  "TRUE", "FALSE")</f>
        <v>FALSE</v>
      </c>
      <c r="M60" s="2" t="str">
        <f ca="1">IF(table1[[#This Row],[Price]] &lt; (table1[[#This Row],[52Low]] * 0.1) + table1[[#This Row],[52Low]],  "TRUE", "FALSE")</f>
        <v>FALSE</v>
      </c>
      <c r="N60" s="6" cm="1">
        <f t="array" aca="1" ref="N60" ca="1">_FV(table1[[#This Row],[DataField]],"Market cap",TRUE)</f>
        <v>88002733500</v>
      </c>
    </row>
    <row r="61" spans="1:14" x14ac:dyDescent="0.2">
      <c r="A61" t="e" vm="61">
        <v>#VALUE!</v>
      </c>
      <c r="B61" t="str" cm="1">
        <f t="array" aca="1" ref="B61" ca="1">_FV(table1[[#This Row],[DataField]],"Ticker symbol",TRUE)</f>
        <v>MO</v>
      </c>
      <c r="H61" s="2" cm="1">
        <f t="array" aca="1" ref="H61" ca="1">_FV(table1[[#This Row],[DataField]],"Price")</f>
        <v>58.695</v>
      </c>
      <c r="I61" s="2" cm="1">
        <f t="array" aca="1" ref="I61" ca="1">_FV(table1[[#This Row],[DataField]],"52 week low",TRUE)</f>
        <v>50.08</v>
      </c>
      <c r="J61" s="2" cm="1">
        <f t="array" aca="1" ref="J61" ca="1">_FV(table1[[#This Row],[DataField]],"52 week high",TRUE)</f>
        <v>68.599999999999994</v>
      </c>
      <c r="K61" s="4" cm="1">
        <f t="array" aca="1" ref="K61" ca="1">_FV(table1[[#This Row],[DataField]],"P/E",TRUE)</f>
        <v>11.1968</v>
      </c>
      <c r="L61" s="2" t="str">
        <f ca="1">IF(table1[[#This Row],[Price]] &lt; (table1[[#This Row],[52Low]] * 0.25) + table1[[#This Row],[52Low]],  "TRUE", "FALSE")</f>
        <v>TRUE</v>
      </c>
      <c r="M61" s="2" t="str">
        <f ca="1">IF(table1[[#This Row],[Price]] &lt; (table1[[#This Row],[52Low]] * 0.1) + table1[[#This Row],[52Low]],  "TRUE", "FALSE")</f>
        <v>FALSE</v>
      </c>
      <c r="N61" s="6" cm="1">
        <f t="array" aca="1" ref="N61" ca="1">_FV(table1[[#This Row],[DataField]],"Market cap",TRUE)</f>
        <v>98529653040</v>
      </c>
    </row>
    <row r="62" spans="1:14" x14ac:dyDescent="0.2">
      <c r="A62" t="e" vm="62">
        <v>#VALUE!</v>
      </c>
      <c r="B62" t="str" cm="1">
        <f t="array" aca="1" ref="B62" ca="1">_FV(table1[[#This Row],[DataField]],"Ticker symbol",TRUE)</f>
        <v>MRK</v>
      </c>
      <c r="H62" s="2" cm="1">
        <f t="array" aca="1" ref="H62" ca="1">_FV(table1[[#This Row],[DataField]],"Price")</f>
        <v>97.63</v>
      </c>
      <c r="I62" s="2" cm="1">
        <f t="array" aca="1" ref="I62" ca="1">_FV(table1[[#This Row],[DataField]],"52 week low",TRUE)</f>
        <v>73.31</v>
      </c>
      <c r="J62" s="2" cm="1">
        <f t="array" aca="1" ref="J62" ca="1">_FV(table1[[#This Row],[DataField]],"52 week high",TRUE)</f>
        <v>105.84</v>
      </c>
      <c r="K62" s="4" cm="1">
        <f t="array" aca="1" ref="K62" ca="1">_FV(table1[[#This Row],[DataField]],"P/E",TRUE)</f>
        <v>12.9114</v>
      </c>
      <c r="L62" s="2" t="str">
        <f ca="1">IF(table1[[#This Row],[Price]] &lt; (table1[[#This Row],[52Low]] * 0.25) + table1[[#This Row],[52Low]],  "TRUE", "FALSE")</f>
        <v>FALSE</v>
      </c>
      <c r="M62" s="2" t="str">
        <f ca="1">IF(table1[[#This Row],[Price]] &lt; (table1[[#This Row],[52Low]] * 0.1) + table1[[#This Row],[52Low]],  "TRUE", "FALSE")</f>
        <v>FALSE</v>
      </c>
      <c r="N62" s="6" cm="1">
        <f t="array" aca="1" ref="N62" ca="1">_FV(table1[[#This Row],[DataField]],"Market cap",TRUE)</f>
        <v>240483200000</v>
      </c>
    </row>
    <row r="63" spans="1:14" x14ac:dyDescent="0.2">
      <c r="A63" t="e" vm="63">
        <v>#VALUE!</v>
      </c>
      <c r="B63" t="str" cm="1">
        <f t="array" aca="1" ref="B63" ca="1">_FV(table1[[#This Row],[DataField]],"Ticker symbol",TRUE)</f>
        <v>MSFT</v>
      </c>
      <c r="C63" t="b">
        <v>1</v>
      </c>
      <c r="D63" t="s">
        <v>6</v>
      </c>
      <c r="E63" t="b">
        <v>1</v>
      </c>
      <c r="H63" s="2" cm="1">
        <f t="array" aca="1" ref="H63" ca="1">_FV(table1[[#This Row],[DataField]],"Price")</f>
        <v>478.56</v>
      </c>
      <c r="I63" s="2" cm="1">
        <f t="array" aca="1" ref="I63" ca="1">_FV(table1[[#This Row],[DataField]],"52 week low",TRUE)</f>
        <v>344.79</v>
      </c>
      <c r="J63" s="2" cm="1">
        <f t="array" aca="1" ref="J63" ca="1">_FV(table1[[#This Row],[DataField]],"52 week high",TRUE)</f>
        <v>555.45000000000005</v>
      </c>
      <c r="K63" s="4" cm="1">
        <f t="array" aca="1" ref="K63" ca="1">_FV(table1[[#This Row],[DataField]],"P/E",TRUE)</f>
        <v>34.048200000000001</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3556838337120</v>
      </c>
    </row>
    <row r="64" spans="1:14" x14ac:dyDescent="0.2">
      <c r="A64" t="e" vm="64">
        <v>#VALUE!</v>
      </c>
      <c r="B64" t="str" cm="1">
        <f t="array" aca="1" ref="B64" ca="1">_FV(table1[[#This Row],[DataField]],"Ticker symbol",TRUE)</f>
        <v>NKE</v>
      </c>
      <c r="C64" t="b">
        <v>1</v>
      </c>
      <c r="D64" t="s">
        <v>7</v>
      </c>
      <c r="E64" t="b">
        <v>1</v>
      </c>
      <c r="H64" s="2" cm="1">
        <f t="array" aca="1" ref="H64" ca="1">_FV(table1[[#This Row],[DataField]],"Price")</f>
        <v>65.790000000000006</v>
      </c>
      <c r="I64" cm="1">
        <f t="array" aca="1" ref="I64" ca="1">_FV(table1[[#This Row],[DataField]],"52 week low",TRUE)</f>
        <v>52.28</v>
      </c>
      <c r="J64" cm="1">
        <f t="array" aca="1" ref="J64" ca="1">_FV(table1[[#This Row],[DataField]],"52 week high",TRUE)</f>
        <v>82.44</v>
      </c>
      <c r="K64" s="4" cm="1">
        <f t="array" aca="1" ref="K64" ca="1">_FV(table1[[#This Row],[DataField]],"P/E",TRUE)</f>
        <v>33.7181</v>
      </c>
      <c r="L64" s="2" t="str">
        <f ca="1">IF(table1[[#This Row],[Price]] &lt; (table1[[#This Row],[52Low]] * 0.25) + table1[[#This Row],[52Low]],  "TRUE", "FALSE")</f>
        <v>FALSE</v>
      </c>
      <c r="M64" s="2" t="str">
        <f ca="1">IF(table1[[#This Row],[Price]] &lt; (table1[[#This Row],[52Low]] * 0.1) + table1[[#This Row],[52Low]],  "TRUE", "FALSE")</f>
        <v>FALSE</v>
      </c>
      <c r="N64" s="6" cm="1">
        <f t="array" aca="1" ref="N64" ca="1">_FV(table1[[#This Row],[DataField]],"Market cap",TRUE)</f>
        <v>97250843790</v>
      </c>
    </row>
    <row r="65" spans="1:14" x14ac:dyDescent="0.2">
      <c r="A65" t="e" vm="65">
        <v>#VALUE!</v>
      </c>
      <c r="B65" t="str" cm="1">
        <f t="array" aca="1" ref="B65" ca="1">_FV(table1[[#This Row],[DataField]],"Ticker symbol",TRUE)</f>
        <v>NOC</v>
      </c>
      <c r="H65" s="2" cm="1">
        <f t="array" aca="1" ref="H65" ca="1">_FV(table1[[#This Row],[DataField]],"Price")</f>
        <v>555.36</v>
      </c>
      <c r="I65" s="2" cm="1">
        <f t="array" aca="1" ref="I65" ca="1">_FV(table1[[#This Row],[DataField]],"52 week low",TRUE)</f>
        <v>426.24</v>
      </c>
      <c r="J65" s="2" cm="1">
        <f t="array" aca="1" ref="J65" ca="1">_FV(table1[[#This Row],[DataField]],"52 week high",TRUE)</f>
        <v>640.90099999999995</v>
      </c>
      <c r="K65" s="4" cm="1">
        <f t="array" aca="1" ref="K65" ca="1">_FV(table1[[#This Row],[DataField]],"P/E",TRUE)</f>
        <v>19.988399999999999</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79261034736</v>
      </c>
    </row>
    <row r="66" spans="1:14" x14ac:dyDescent="0.2">
      <c r="A66" t="e" vm="66">
        <v>#VALUE!</v>
      </c>
      <c r="B66" t="str" cm="1">
        <f t="array" aca="1" ref="B66" ca="1">_FV(table1[[#This Row],[DataField]],"Ticker symbol",TRUE)</f>
        <v>NVDA</v>
      </c>
      <c r="G66" t="s">
        <v>25</v>
      </c>
      <c r="H66" s="2" cm="1">
        <f t="array" aca="1" ref="H66" ca="1">_FV(table1[[#This Row],[DataField]],"Price")</f>
        <v>183.78</v>
      </c>
      <c r="I66" s="2" cm="1">
        <f t="array" aca="1" ref="I66" ca="1">_FV(table1[[#This Row],[DataField]],"52 week low",TRUE)</f>
        <v>86.62</v>
      </c>
      <c r="J66" s="2" cm="1">
        <f t="array" aca="1" ref="J66" ca="1">_FV(table1[[#This Row],[DataField]],"52 week high",TRUE)</f>
        <v>212.18989999999999</v>
      </c>
      <c r="K66" s="4" cm="1">
        <f t="array" aca="1" ref="K66" ca="1">_FV(table1[[#This Row],[DataField]],"P/E",TRUE)</f>
        <v>45.518799999999999</v>
      </c>
      <c r="L66" s="2" t="str">
        <f ca="1">IF(table1[[#This Row],[Price]] &lt; (table1[[#This Row],[52Low]] * 0.25) + table1[[#This Row],[52Low]],  "TRUE", "FALSE")</f>
        <v>FALSE</v>
      </c>
      <c r="M66" s="2" t="str">
        <f ca="1">IF(table1[[#This Row],[Price]] &lt; (table1[[#This Row],[52Low]] * 0.1) + table1[[#This Row],[52Low]],  "TRUE", "FALSE")</f>
        <v>FALSE</v>
      </c>
      <c r="N66" s="6" cm="1">
        <f t="array" aca="1" ref="N66" ca="1">_FV(table1[[#This Row],[DataField]],"Market cap",TRUE)</f>
        <v>4465854000000</v>
      </c>
    </row>
    <row r="67" spans="1:14" x14ac:dyDescent="0.2">
      <c r="A67" t="e" vm="67">
        <v>#VALUE!</v>
      </c>
      <c r="B67" t="str" cm="1">
        <f t="array" aca="1" ref="B67" ca="1">_FV(table1[[#This Row],[DataField]],"Ticker symbol",TRUE)</f>
        <v>O</v>
      </c>
      <c r="C67" t="b">
        <v>1</v>
      </c>
      <c r="D67" t="s">
        <v>14</v>
      </c>
      <c r="E67" t="b">
        <v>1</v>
      </c>
      <c r="H67" s="2" cm="1">
        <f t="array" aca="1" ref="H67" ca="1">_FV(table1[[#This Row],[DataField]],"Price")</f>
        <v>56.67</v>
      </c>
      <c r="I67" s="2" cm="1">
        <f t="array" aca="1" ref="I67" ca="1">_FV(table1[[#This Row],[DataField]],"52 week low",TRUE)</f>
        <v>50.71</v>
      </c>
      <c r="J67" s="2" cm="1">
        <f t="array" aca="1" ref="J67" ca="1">_FV(table1[[#This Row],[DataField]],"52 week high",TRUE)</f>
        <v>61.085000000000001</v>
      </c>
      <c r="K67" s="4" cm="1">
        <f t="array" aca="1" ref="K67" ca="1">_FV(table1[[#This Row],[DataField]],"P/E",TRUE)</f>
        <v>52.935899999999997</v>
      </c>
      <c r="L67" s="2" t="str">
        <f ca="1">IF(table1[[#This Row],[Price]] &lt; (table1[[#This Row],[52Low]] * 0.25) + table1[[#This Row],[52Low]],  "TRUE", "FALSE")</f>
        <v>TRUE</v>
      </c>
      <c r="M67" s="2" t="str">
        <f ca="1">IF(table1[[#This Row],[Price]] &lt; (table1[[#This Row],[52Low]] * 0.1) + table1[[#This Row],[52Low]],  "TRUE", "FALSE")</f>
        <v>FALSE</v>
      </c>
      <c r="N67" s="6" cm="1">
        <f t="array" aca="1" ref="N67" ca="1">_FV(table1[[#This Row],[DataField]],"Market cap",TRUE)</f>
        <v>52131061686</v>
      </c>
    </row>
    <row r="68" spans="1:14" x14ac:dyDescent="0.2">
      <c r="A68" t="e" vm="68">
        <v>#VALUE!</v>
      </c>
      <c r="B68" t="str" cm="1">
        <f t="array" aca="1" ref="B68" ca="1">_FV(table1[[#This Row],[DataField]],"Ticker symbol",TRUE)</f>
        <v>PEP</v>
      </c>
      <c r="C68" t="b">
        <v>1</v>
      </c>
      <c r="D68" t="s">
        <v>5</v>
      </c>
      <c r="E68" t="b">
        <v>1</v>
      </c>
      <c r="H68" s="2" cm="1">
        <f t="array" aca="1" ref="H68" ca="1">_FV(table1[[#This Row],[DataField]],"Price")</f>
        <v>149.69999999999999</v>
      </c>
      <c r="I68" s="2" cm="1">
        <f t="array" aca="1" ref="I68" ca="1">_FV(table1[[#This Row],[DataField]],"52 week low",TRUE)</f>
        <v>127.6</v>
      </c>
      <c r="J68" s="2" cm="1">
        <f t="array" aca="1" ref="J68" ca="1">_FV(table1[[#This Row],[DataField]],"52 week high",TRUE)</f>
        <v>160.51499999999999</v>
      </c>
      <c r="K68" s="4" cm="1">
        <f t="array" aca="1" ref="K68" ca="1">_FV(table1[[#This Row],[DataField]],"P/E",TRUE)</f>
        <v>28.465800000000002</v>
      </c>
      <c r="L68" s="2" t="str">
        <f ca="1">IF(table1[[#This Row],[Price]] &lt; (table1[[#This Row],[52Low]] * 0.25) + table1[[#This Row],[52Low]],  "TRUE", "FALSE")</f>
        <v>TRUE</v>
      </c>
      <c r="M68" s="2" t="str">
        <f ca="1">IF(table1[[#This Row],[Price]] &lt; (table1[[#This Row],[52Low]] * 0.1) + table1[[#This Row],[52Low]],  "TRUE", "FALSE")</f>
        <v>FALSE</v>
      </c>
      <c r="N68" s="6" cm="1">
        <f t="array" aca="1" ref="N68" ca="1">_FV(table1[[#This Row],[DataField]],"Market cap",TRUE)</f>
        <v>204690797999</v>
      </c>
    </row>
    <row r="69" spans="1:14" x14ac:dyDescent="0.2">
      <c r="A69" t="e" vm="69">
        <v>#VALUE!</v>
      </c>
      <c r="B69" t="str" cm="1">
        <f t="array" aca="1" ref="B69" ca="1">_FV(table1[[#This Row],[DataField]],"Ticker symbol",TRUE)</f>
        <v>PFE</v>
      </c>
      <c r="H69" s="2" cm="1">
        <f t="array" aca="1" ref="H69" ca="1">_FV(table1[[#This Row],[DataField]],"Price")</f>
        <v>25.78</v>
      </c>
      <c r="I69" s="2" cm="1">
        <f t="array" aca="1" ref="I69" ca="1">_FV(table1[[#This Row],[DataField]],"52 week low",TRUE)</f>
        <v>20.914999999999999</v>
      </c>
      <c r="J69" s="2" cm="1">
        <f t="array" aca="1" ref="J69" ca="1">_FV(table1[[#This Row],[DataField]],"52 week high",TRUE)</f>
        <v>27.69</v>
      </c>
      <c r="K69" s="4" cm="1">
        <f t="array" aca="1" ref="K69" ca="1">_FV(table1[[#This Row],[DataField]],"P/E",TRUE)</f>
        <v>15.026899999999999</v>
      </c>
      <c r="L69" s="2" t="str">
        <f ca="1">IF(table1[[#This Row],[Price]] &lt; (table1[[#This Row],[52Low]] * 0.25) + table1[[#This Row],[52Low]],  "TRUE", "FALSE")</f>
        <v>TRUE</v>
      </c>
      <c r="M69" s="2" t="str">
        <f ca="1">IF(table1[[#This Row],[Price]] &lt; (table1[[#This Row],[52Low]] * 0.1) + table1[[#This Row],[52Low]],  "TRUE", "FALSE")</f>
        <v>FALSE</v>
      </c>
      <c r="N69" s="6" cm="1">
        <f t="array" aca="1" ref="N69" ca="1">_FV(table1[[#This Row],[DataField]],"Market cap",TRUE)</f>
        <v>146577552240</v>
      </c>
    </row>
    <row r="70" spans="1:14" x14ac:dyDescent="0.2">
      <c r="A70" t="e" vm="70">
        <v>#VALUE!</v>
      </c>
      <c r="B70" t="str" cm="1">
        <f t="array" aca="1" ref="B70" ca="1">_FV(table1[[#This Row],[DataField]],"Ticker symbol",TRUE)</f>
        <v>QCOM</v>
      </c>
      <c r="H70" s="2" cm="1">
        <f t="array" aca="1" ref="H70" ca="1">_FV(table1[[#This Row],[DataField]],"Price")</f>
        <v>182.21</v>
      </c>
      <c r="I70" s="2" cm="1">
        <f t="array" aca="1" ref="I70" ca="1">_FV(table1[[#This Row],[DataField]],"52 week low",TRUE)</f>
        <v>120.8019</v>
      </c>
      <c r="J70" s="2" cm="1">
        <f t="array" aca="1" ref="J70" ca="1">_FV(table1[[#This Row],[DataField]],"52 week high",TRUE)</f>
        <v>205.95</v>
      </c>
      <c r="K70" s="4" cm="1">
        <f t="array" aca="1" ref="K70" ca="1">_FV(table1[[#This Row],[DataField]],"P/E",TRUE)</f>
        <v>37.2575</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194780485690</v>
      </c>
    </row>
    <row r="71" spans="1:14" x14ac:dyDescent="0.2">
      <c r="A71" t="e" vm="71">
        <v>#VALUE!</v>
      </c>
      <c r="B71" t="str" cm="1">
        <f t="array" aca="1" ref="B71" ca="1">_FV(table1[[#This Row],[DataField]],"Ticker symbol",TRUE)</f>
        <v>SCHW</v>
      </c>
      <c r="H71" s="2" cm="1">
        <f t="array" aca="1" ref="H71" ca="1">_FV(table1[[#This Row],[DataField]],"Price")</f>
        <v>95.81</v>
      </c>
      <c r="I71" s="2" cm="1">
        <f t="array" aca="1" ref="I71" ca="1">_FV(table1[[#This Row],[DataField]],"52 week low",TRUE)</f>
        <v>65.88</v>
      </c>
      <c r="J71" s="2" cm="1">
        <f t="array" aca="1" ref="J71" ca="1">_FV(table1[[#This Row],[DataField]],"52 week high",TRUE)</f>
        <v>99.59</v>
      </c>
      <c r="K71" s="4" cm="1">
        <f t="array" aca="1" ref="K71" ca="1">_FV(table1[[#This Row],[DataField]],"P/E",TRUE)</f>
        <v>22.465900000000001</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170248333970</v>
      </c>
    </row>
    <row r="72" spans="1:14" x14ac:dyDescent="0.2">
      <c r="A72" t="e" vm="72">
        <v>#VALUE!</v>
      </c>
      <c r="B72" t="str" cm="1">
        <f t="array" aca="1" ref="B72" ca="1">_FV(table1[[#This Row],[DataField]],"Ticker symbol",TRUE)</f>
        <v>SHW</v>
      </c>
      <c r="H72" s="2" cm="1">
        <f t="array" aca="1" ref="H72" ca="1">_FV(table1[[#This Row],[DataField]],"Price")</f>
        <v>326.27</v>
      </c>
      <c r="I72" s="2" cm="1">
        <f t="array" aca="1" ref="I72" ca="1">_FV(table1[[#This Row],[DataField]],"52 week low",TRUE)</f>
        <v>308.83999999999997</v>
      </c>
      <c r="J72" s="2" cm="1">
        <f t="array" aca="1" ref="J72" ca="1">_FV(table1[[#This Row],[DataField]],"52 week high",TRUE)</f>
        <v>379.65</v>
      </c>
      <c r="K72" s="4" cm="1">
        <f t="array" aca="1" ref="K72" ca="1">_FV(table1[[#This Row],[DataField]],"P/E",TRUE)</f>
        <v>31.843299999999999</v>
      </c>
      <c r="L72" s="2" t="str">
        <f ca="1">IF(table1[[#This Row],[Price]] &lt; (table1[[#This Row],[52Low]] * 0.25) + table1[[#This Row],[52Low]],  "TRUE", "FALSE")</f>
        <v>TRUE</v>
      </c>
      <c r="M72" s="2" t="str">
        <f ca="1">IF(table1[[#This Row],[Price]] &lt; (table1[[#This Row],[52Low]] * 0.1) + table1[[#This Row],[52Low]],  "TRUE", "FALSE")</f>
        <v>TRUE</v>
      </c>
      <c r="N72" s="6" cm="1">
        <f t="array" aca="1" ref="N72" ca="1">_FV(table1[[#This Row],[DataField]],"Market cap",TRUE)</f>
        <v>80880212245</v>
      </c>
    </row>
    <row r="73" spans="1:14" x14ac:dyDescent="0.2">
      <c r="A73" t="e" vm="73">
        <v>#VALUE!</v>
      </c>
      <c r="B73" t="str" cm="1">
        <f t="array" aca="1" ref="B73" ca="1">_FV(table1[[#This Row],[DataField]],"Ticker symbol",TRUE)</f>
        <v>SJM</v>
      </c>
      <c r="C73" t="b">
        <v>1</v>
      </c>
      <c r="D73" t="s">
        <v>5</v>
      </c>
      <c r="E73" t="b">
        <v>0</v>
      </c>
      <c r="H73" s="2" cm="1">
        <f t="array" aca="1" ref="H73" ca="1">_FV(table1[[#This Row],[DataField]],"Price")</f>
        <v>99.68</v>
      </c>
      <c r="I73" s="2" cm="1">
        <f t="array" aca="1" ref="I73" ca="1">_FV(table1[[#This Row],[DataField]],"52 week low",TRUE)</f>
        <v>93.3</v>
      </c>
      <c r="J73" s="2" cm="1">
        <f t="array" aca="1" ref="J73" ca="1">_FV(table1[[#This Row],[DataField]],"52 week high",TRUE)</f>
        <v>121.48</v>
      </c>
      <c r="K73" s="4" cm="1">
        <f t="array" aca="1" ref="K73" ca="1">_FV(table1[[#This Row],[DataField]],"P/E",TRUE)</f>
        <v>0</v>
      </c>
      <c r="L73" s="2" t="str">
        <f ca="1">IF(table1[[#This Row],[Price]] &lt; (table1[[#This Row],[52Low]] * 0.25) + table1[[#This Row],[52Low]],  "TRUE", "FALSE")</f>
        <v>TRUE</v>
      </c>
      <c r="M73" s="2" t="str">
        <f ca="1">IF(table1[[#This Row],[Price]] &lt; (table1[[#This Row],[52Low]] * 0.1) + table1[[#This Row],[52Low]],  "TRUE", "FALSE")</f>
        <v>TRUE</v>
      </c>
      <c r="N73" s="6" cm="1">
        <f t="array" aca="1" ref="N73" ca="1">_FV(table1[[#This Row],[DataField]],"Market cap",TRUE)</f>
        <v>10605420000</v>
      </c>
    </row>
    <row r="74" spans="1:14" x14ac:dyDescent="0.2">
      <c r="A74" t="e" vm="74">
        <v>#VALUE!</v>
      </c>
      <c r="B74" t="str" cm="1">
        <f t="array" aca="1" ref="B74" ca="1">_FV(table1[[#This Row],[DataField]],"Ticker symbol",TRUE)</f>
        <v>SNA</v>
      </c>
      <c r="H74" s="2" cm="1">
        <f t="array" aca="1" ref="H74" ca="1">_FV(table1[[#This Row],[DataField]],"Price")</f>
        <v>348.46</v>
      </c>
      <c r="I74" s="2" cm="1">
        <f t="array" aca="1" ref="I74" ca="1">_FV(table1[[#This Row],[DataField]],"52 week low",TRUE)</f>
        <v>289.81</v>
      </c>
      <c r="J74" s="2" cm="1">
        <f t="array" aca="1" ref="J74" ca="1">_FV(table1[[#This Row],[DataField]],"52 week high",TRUE)</f>
        <v>365.78</v>
      </c>
      <c r="K74" s="4" cm="1">
        <f t="array" aca="1" ref="K74" ca="1">_FV(table1[[#This Row],[DataField]],"P/E",TRUE)</f>
        <v>18.2668</v>
      </c>
      <c r="L74" s="2" t="str">
        <f ca="1">IF(table1[[#This Row],[Price]] &lt; (table1[[#This Row],[52Low]] * 0.25) + table1[[#This Row],[52Low]],  "TRUE", "FALSE")</f>
        <v>TRUE</v>
      </c>
      <c r="M74" s="2" t="str">
        <f ca="1">IF(table1[[#This Row],[Price]] &lt; (table1[[#This Row],[52Low]] * 0.1) + table1[[#This Row],[52Low]],  "TRUE", "FALSE")</f>
        <v>FALSE</v>
      </c>
      <c r="N74" s="6" cm="1">
        <f t="array" aca="1" ref="N74" ca="1">_FV(table1[[#This Row],[DataField]],"Market cap",TRUE)</f>
        <v>18122554357</v>
      </c>
    </row>
    <row r="75" spans="1:14" x14ac:dyDescent="0.2">
      <c r="A75" t="e" vm="75">
        <v>#VALUE!</v>
      </c>
      <c r="B75" t="str" cm="1">
        <f t="array" aca="1" ref="B75" ca="1">_FV(table1[[#This Row],[DataField]],"Ticker symbol",TRUE)</f>
        <v>SO</v>
      </c>
      <c r="H75" s="2" cm="1">
        <f t="array" aca="1" ref="H75" ca="1">_FV(table1[[#This Row],[DataField]],"Price")</f>
        <v>84.08</v>
      </c>
      <c r="I75" s="2" cm="1">
        <f t="array" aca="1" ref="I75" ca="1">_FV(table1[[#This Row],[DataField]],"52 week low",TRUE)</f>
        <v>80.459999999999994</v>
      </c>
      <c r="J75" s="2" cm="1">
        <f t="array" aca="1" ref="J75" ca="1">_FV(table1[[#This Row],[DataField]],"52 week high",TRUE)</f>
        <v>100.83499999999999</v>
      </c>
      <c r="K75" s="4" cm="1">
        <f t="array" aca="1" ref="K75" ca="1">_FV(table1[[#This Row],[DataField]],"P/E",TRUE)</f>
        <v>20.8766</v>
      </c>
      <c r="L75" s="2" t="str">
        <f ca="1">IF(table1[[#This Row],[Price]] &lt; (table1[[#This Row],[52Low]] * 0.25) + table1[[#This Row],[52Low]],  "TRUE", "FALSE")</f>
        <v>TRUE</v>
      </c>
      <c r="M75" s="2" t="str">
        <f ca="1">IF(table1[[#This Row],[Price]] &lt; (table1[[#This Row],[52Low]] * 0.1) + table1[[#This Row],[52Low]],  "TRUE", "FALSE")</f>
        <v>TRUE</v>
      </c>
      <c r="N75" s="6" cm="1">
        <f t="array" aca="1" ref="N75" ca="1">_FV(table1[[#This Row],[DataField]],"Market cap",TRUE)</f>
        <v>92580908400</v>
      </c>
    </row>
    <row r="76" spans="1:14" x14ac:dyDescent="0.2">
      <c r="A76" t="e" vm="76">
        <v>#VALUE!</v>
      </c>
      <c r="B76" t="str" cm="1">
        <f t="array" aca="1" ref="B76" ca="1">_FV(table1[[#This Row],[DataField]],"Ticker symbol",TRUE)</f>
        <v>SPG</v>
      </c>
      <c r="C76" t="b">
        <v>1</v>
      </c>
      <c r="D76" t="s">
        <v>14</v>
      </c>
      <c r="E76" t="b">
        <v>1</v>
      </c>
      <c r="H76" s="2" cm="1">
        <f t="array" aca="1" ref="H76" ca="1">_FV(table1[[#This Row],[DataField]],"Price")</f>
        <v>181.66</v>
      </c>
      <c r="I76" s="2" cm="1">
        <f t="array" aca="1" ref="I76" ca="1">_FV(table1[[#This Row],[DataField]],"52 week low",TRUE)</f>
        <v>136.34</v>
      </c>
      <c r="J76" s="2" cm="1">
        <f t="array" aca="1" ref="J76" ca="1">_FV(table1[[#This Row],[DataField]],"52 week high",TRUE)</f>
        <v>190.13499999999999</v>
      </c>
      <c r="K76" s="4" cm="1">
        <f t="array" aca="1" ref="K76" ca="1">_FV(table1[[#This Row],[DataField]],"P/E",TRUE)</f>
        <v>21.265899999999998</v>
      </c>
      <c r="L76" s="2" t="str">
        <f ca="1">IF(table1[[#This Row],[Price]] &lt; (table1[[#This Row],[52Low]] * 0.25) + table1[[#This Row],[52Low]],  "TRUE", "FALSE")</f>
        <v>FALSE</v>
      </c>
      <c r="M76" s="2" t="str">
        <f ca="1">IF(table1[[#This Row],[Price]] &lt; (table1[[#This Row],[52Low]] * 0.1) + table1[[#This Row],[52Low]],  "TRUE", "FALSE")</f>
        <v>FALSE</v>
      </c>
      <c r="N76" s="6" cm="1">
        <f t="array" aca="1" ref="N76" ca="1">_FV(table1[[#This Row],[DataField]],"Market cap",TRUE)</f>
        <v>59107410000</v>
      </c>
    </row>
    <row r="77" spans="1:14" x14ac:dyDescent="0.2">
      <c r="A77" t="e" vm="77">
        <v>#VALUE!</v>
      </c>
      <c r="B77" t="str" cm="1">
        <f t="array" aca="1" ref="B77" ca="1">_FV(table1[[#This Row],[DataField]],"Ticker symbol",TRUE)</f>
        <v>SPGI</v>
      </c>
      <c r="H77" s="2" cm="1">
        <f t="array" aca="1" ref="H77" ca="1">_FV(table1[[#This Row],[DataField]],"Price")</f>
        <v>491.32</v>
      </c>
      <c r="I77" s="2" cm="1">
        <f t="array" aca="1" ref="I77" ca="1">_FV(table1[[#This Row],[DataField]],"52 week low",TRUE)</f>
        <v>427.14</v>
      </c>
      <c r="J77" s="2" cm="1">
        <f t="array" aca="1" ref="J77" ca="1">_FV(table1[[#This Row],[DataField]],"52 week high",TRUE)</f>
        <v>579.04999999999995</v>
      </c>
      <c r="K77" s="4" cm="1">
        <f t="array" aca="1" ref="K77" ca="1">_FV(table1[[#This Row],[DataField]],"P/E",TRUE)</f>
        <v>35.718299999999999</v>
      </c>
      <c r="L77" s="2" t="str">
        <f ca="1">IF(table1[[#This Row],[Price]] &lt; (table1[[#This Row],[52Low]] * 0.25) + table1[[#This Row],[52Low]],  "TRUE", "FALSE")</f>
        <v>TRUE</v>
      </c>
      <c r="M77" s="2" t="str">
        <f ca="1">IF(table1[[#This Row],[Price]] &lt; (table1[[#This Row],[52Low]] * 0.1) + table1[[#This Row],[52Low]],  "TRUE", "FALSE")</f>
        <v>FALSE</v>
      </c>
      <c r="N77" s="6" cm="1">
        <f t="array" aca="1" ref="N77" ca="1">_FV(table1[[#This Row],[DataField]],"Market cap",TRUE)</f>
        <v>148771696000</v>
      </c>
    </row>
    <row r="78" spans="1:14" x14ac:dyDescent="0.2">
      <c r="A78" t="e" vm="78">
        <v>#VALUE!</v>
      </c>
      <c r="B78" t="str" cm="1">
        <f t="array" aca="1" ref="B78" ca="1">_FV(table1[[#This Row],[DataField]],"Ticker symbol",TRUE)</f>
        <v>T</v>
      </c>
      <c r="C78" t="b">
        <v>1</v>
      </c>
      <c r="D78" t="s">
        <v>10</v>
      </c>
      <c r="E78" t="b">
        <v>1</v>
      </c>
      <c r="H78" s="2" cm="1">
        <f t="array" aca="1" ref="H78" ca="1">_FV(table1[[#This Row],[DataField]],"Price")</f>
        <v>24.395</v>
      </c>
      <c r="I78" s="2" cm="1">
        <f t="array" aca="1" ref="I78" ca="1">_FV(table1[[#This Row],[DataField]],"52 week low",TRUE)</f>
        <v>21.38</v>
      </c>
      <c r="J78" s="2" cm="1">
        <f t="array" aca="1" ref="J78" ca="1">_FV(table1[[#This Row],[DataField]],"52 week high",TRUE)</f>
        <v>29.79</v>
      </c>
      <c r="K78" s="4" cm="1">
        <f t="array" aca="1" ref="K78" ca="1">_FV(table1[[#This Row],[DataField]],"P/E",TRUE)</f>
        <v>7.9139999999999997</v>
      </c>
      <c r="L78" s="2" t="str">
        <f ca="1">IF(table1[[#This Row],[Price]] &lt; (table1[[#This Row],[52Low]] * 0.25) + table1[[#This Row],[52Low]],  "TRUE", "FALSE")</f>
        <v>TRUE</v>
      </c>
      <c r="M78" s="2" t="str">
        <f ca="1">IF(table1[[#This Row],[Price]] &lt; (table1[[#This Row],[52Low]] * 0.1) + table1[[#This Row],[52Low]],  "TRUE", "FALSE")</f>
        <v>FALSE</v>
      </c>
      <c r="N78" s="6" cm="1">
        <f t="array" aca="1" ref="N78" ca="1">_FV(table1[[#This Row],[DataField]],"Market cap",TRUE)</f>
        <v>172947132750</v>
      </c>
    </row>
    <row r="79" spans="1:14" x14ac:dyDescent="0.2">
      <c r="A79" t="e" vm="79">
        <v>#VALUE!</v>
      </c>
      <c r="B79" t="str" cm="1">
        <f t="array" aca="1" ref="B79" ca="1">_FV(table1[[#This Row],[DataField]],"Ticker symbol",TRUE)</f>
        <v>TGT</v>
      </c>
      <c r="H79" s="2" cm="1">
        <f t="array" aca="1" ref="H79" ca="1">_FV(table1[[#This Row],[DataField]],"Price")</f>
        <v>94.62</v>
      </c>
      <c r="I79" s="2" cm="1">
        <f t="array" aca="1" ref="I79" ca="1">_FV(table1[[#This Row],[DataField]],"52 week low",TRUE)</f>
        <v>83.44</v>
      </c>
      <c r="J79" s="2" cm="1">
        <f t="array" aca="1" ref="J79" ca="1">_FV(table1[[#This Row],[DataField]],"52 week high",TRUE)</f>
        <v>145.08000000000001</v>
      </c>
      <c r="K79" s="4" cm="1">
        <f t="array" aca="1" ref="K79" ca="1">_FV(table1[[#This Row],[DataField]],"P/E",TRUE)</f>
        <v>11.481199999999999</v>
      </c>
      <c r="L79" s="2" t="str">
        <f ca="1">IF(table1[[#This Row],[Price]] &lt; (table1[[#This Row],[52Low]] * 0.25) + table1[[#This Row],[52Low]],  "TRUE", "FALSE")</f>
        <v>TRUE</v>
      </c>
      <c r="M79" s="2" t="str">
        <f ca="1">IF(table1[[#This Row],[Price]] &lt; (table1[[#This Row],[52Low]] * 0.1) + table1[[#This Row],[52Low]],  "TRUE", "FALSE")</f>
        <v>FALSE</v>
      </c>
      <c r="N79" s="6" cm="1">
        <f t="array" aca="1" ref="N79" ca="1">_FV(table1[[#This Row],[DataField]],"Market cap",TRUE)</f>
        <v>42844541568</v>
      </c>
    </row>
    <row r="80" spans="1:14" x14ac:dyDescent="0.2">
      <c r="A80" t="e" vm="80">
        <v>#VALUE!</v>
      </c>
      <c r="B80" t="str" cm="1">
        <f t="array" aca="1" ref="B80" ca="1">_FV(table1[[#This Row],[DataField]],"Ticker symbol",TRUE)</f>
        <v>TROW</v>
      </c>
      <c r="C80" t="b">
        <v>1</v>
      </c>
      <c r="D80" t="s">
        <v>8</v>
      </c>
      <c r="E80" t="b">
        <v>1</v>
      </c>
      <c r="H80" s="2" cm="1">
        <f t="array" aca="1" ref="H80" ca="1">_FV(table1[[#This Row],[DataField]],"Price")</f>
        <v>103.56</v>
      </c>
      <c r="I80" s="2" cm="1">
        <f t="array" aca="1" ref="I80" ca="1">_FV(table1[[#This Row],[DataField]],"52 week low",TRUE)</f>
        <v>77.849999999999994</v>
      </c>
      <c r="J80" s="2" cm="1">
        <f t="array" aca="1" ref="J80" ca="1">_FV(table1[[#This Row],[DataField]],"52 week high",TRUE)</f>
        <v>123.55</v>
      </c>
      <c r="K80" s="4" cm="1">
        <f t="array" aca="1" ref="K80" ca="1">_FV(table1[[#This Row],[DataField]],"P/E",TRUE)</f>
        <v>11.28</v>
      </c>
      <c r="L80" s="2" t="str">
        <f ca="1">IF(table1[[#This Row],[Price]] &lt; (table1[[#This Row],[52Low]] * 0.25) + table1[[#This Row],[52Low]],  "TRUE", "FALSE")</f>
        <v>FALSE</v>
      </c>
      <c r="M80" s="2" t="str">
        <f ca="1">IF(table1[[#This Row],[Price]] &lt; (table1[[#This Row],[52Low]] * 0.1) + table1[[#This Row],[52Low]],  "TRUE", "FALSE")</f>
        <v>FALSE</v>
      </c>
      <c r="N80" s="6" cm="1">
        <f t="array" aca="1" ref="N80" ca="1">_FV(table1[[#This Row],[DataField]],"Market cap",TRUE)</f>
        <v>22600623720</v>
      </c>
    </row>
    <row r="81" spans="1:14" x14ac:dyDescent="0.2">
      <c r="A81" t="e" vm="81">
        <v>#VALUE!</v>
      </c>
      <c r="B81" t="str" cm="1">
        <f t="array" aca="1" ref="B81" ca="1">_FV(table1[[#This Row],[DataField]],"Ticker symbol",TRUE)</f>
        <v>TSM</v>
      </c>
      <c r="H81" s="2" cm="1">
        <f t="array" aca="1" ref="H81" ca="1">_FV(table1[[#This Row],[DataField]],"Price")</f>
        <v>310.14</v>
      </c>
      <c r="I81" s="2" cm="1">
        <f t="array" aca="1" ref="I81" ca="1">_FV(table1[[#This Row],[DataField]],"52 week low",TRUE)</f>
        <v>134.25</v>
      </c>
      <c r="J81" s="2" cm="1">
        <f t="array" aca="1" ref="J81" ca="1">_FV(table1[[#This Row],[DataField]],"52 week high",TRUE)</f>
        <v>313.98</v>
      </c>
      <c r="K81" s="4" cm="1">
        <f t="array" aca="1" ref="K81" ca="1">_FV(table1[[#This Row],[DataField]],"P/E",TRUE)</f>
        <v>30.781700000000001</v>
      </c>
      <c r="L81" s="2" t="str">
        <f ca="1">IF(table1[[#This Row],[Price]] &lt; (table1[[#This Row],[52Low]] * 0.25) + table1[[#This Row],[52Low]],  "TRUE", "FALSE")</f>
        <v>FALSE</v>
      </c>
      <c r="M81" s="2" t="str">
        <f ca="1">IF(table1[[#This Row],[Price]] &lt; (table1[[#This Row],[52Low]] * 0.1) + table1[[#This Row],[52Low]],  "TRUE", "FALSE")</f>
        <v>FALSE</v>
      </c>
      <c r="N81" s="6" cm="1">
        <f t="array" aca="1" ref="N81" ca="1">_FV(table1[[#This Row],[DataField]],"Market cap",TRUE)</f>
        <v>1231830000000</v>
      </c>
    </row>
    <row r="82" spans="1:14" x14ac:dyDescent="0.2">
      <c r="A82" t="e" vm="82">
        <v>#VALUE!</v>
      </c>
      <c r="B82" t="str" cm="1">
        <f t="array" aca="1" ref="B82" ca="1">_FV(table1[[#This Row],[DataField]],"Ticker symbol",TRUE)</f>
        <v>TSN</v>
      </c>
      <c r="C82" t="b">
        <v>1</v>
      </c>
      <c r="D82" t="s">
        <v>5</v>
      </c>
      <c r="E82" t="b">
        <v>1</v>
      </c>
      <c r="H82" s="2" cm="1">
        <f t="array" aca="1" ref="H82" ca="1">_FV(table1[[#This Row],[DataField]],"Price")</f>
        <v>57.67</v>
      </c>
      <c r="I82" s="2" cm="1">
        <f t="array" aca="1" ref="I82" ca="1">_FV(table1[[#This Row],[DataField]],"52 week low",TRUE)</f>
        <v>50.56</v>
      </c>
      <c r="J82" s="2" cm="1">
        <f t="array" aca="1" ref="J82" ca="1">_FV(table1[[#This Row],[DataField]],"52 week high",TRUE)</f>
        <v>64.36</v>
      </c>
      <c r="K82" s="4" cm="1">
        <f t="array" aca="1" ref="K82" ca="1">_FV(table1[[#This Row],[DataField]],"P/E",TRUE)</f>
        <v>43.076500000000003</v>
      </c>
      <c r="L82" s="2" t="str">
        <f ca="1">IF(table1[[#This Row],[Price]] &lt; (table1[[#This Row],[52Low]] * 0.25) + table1[[#This Row],[52Low]],  "TRUE", "FALSE")</f>
        <v>TRUE</v>
      </c>
      <c r="M82" s="2" t="str">
        <f ca="1">IF(table1[[#This Row],[Price]] &lt; (table1[[#This Row],[52Low]] * 0.1) + table1[[#This Row],[52Low]],  "TRUE", "FALSE")</f>
        <v>FALSE</v>
      </c>
      <c r="N82" s="6" cm="1">
        <f t="array" aca="1" ref="N82" ca="1">_FV(table1[[#This Row],[DataField]],"Market cap",TRUE)</f>
        <v>20360629947</v>
      </c>
    </row>
    <row r="83" spans="1:14" x14ac:dyDescent="0.2">
      <c r="A83" t="e" vm="83">
        <v>#VALUE!</v>
      </c>
      <c r="B83" t="str" cm="1">
        <f t="array" aca="1" ref="B83" ca="1">_FV(table1[[#This Row],[DataField]],"Ticker symbol",TRUE)</f>
        <v>TXN</v>
      </c>
      <c r="C83" t="b">
        <v>1</v>
      </c>
      <c r="D83" t="s">
        <v>6</v>
      </c>
      <c r="E83" t="b">
        <v>1</v>
      </c>
      <c r="H83" s="2" cm="1">
        <f t="array" aca="1" ref="H83" ca="1">_FV(table1[[#This Row],[DataField]],"Price")</f>
        <v>181.67</v>
      </c>
      <c r="I83" s="2" cm="1">
        <f t="array" aca="1" ref="I83" ca="1">_FV(table1[[#This Row],[DataField]],"52 week low",TRUE)</f>
        <v>139.94999999999999</v>
      </c>
      <c r="J83" s="2" cm="1">
        <f t="array" aca="1" ref="J83" ca="1">_FV(table1[[#This Row],[DataField]],"52 week high",TRUE)</f>
        <v>221.69</v>
      </c>
      <c r="K83" s="4" cm="1">
        <f t="array" aca="1" ref="K83" ca="1">_FV(table1[[#This Row],[DataField]],"P/E",TRUE)</f>
        <v>33.150700000000001</v>
      </c>
      <c r="L83" s="2" t="str">
        <f ca="1">IF(table1[[#This Row],[Price]] &lt; (table1[[#This Row],[52Low]] * 0.25) + table1[[#This Row],[52Low]],  "TRUE", "FALSE")</f>
        <v>FALSE</v>
      </c>
      <c r="M83" s="2" t="str">
        <f ca="1">IF(table1[[#This Row],[Price]] &lt; (table1[[#This Row],[52Low]] * 0.1) + table1[[#This Row],[52Low]],  "TRUE", "FALSE")</f>
        <v>FALSE</v>
      </c>
      <c r="N83" s="6" cm="1">
        <f t="array" aca="1" ref="N83" ca="1">_FV(table1[[#This Row],[DataField]],"Market cap",TRUE)</f>
        <v>165069540410</v>
      </c>
    </row>
    <row r="84" spans="1:14" x14ac:dyDescent="0.2">
      <c r="A84" t="e" vm="84">
        <v>#VALUE!</v>
      </c>
      <c r="B84" t="str" cm="1">
        <f t="array" aca="1" ref="B84" ca="1">_FV(table1[[#This Row],[DataField]],"Ticker symbol",TRUE)</f>
        <v>UNH</v>
      </c>
      <c r="H84" s="2" cm="1">
        <f t="array" aca="1" ref="H84" ca="1">_FV(table1[[#This Row],[DataField]],"Price")</f>
        <v>280.10000000000002</v>
      </c>
      <c r="I84" s="2" cm="1">
        <f t="array" aca="1" ref="I84" ca="1">_FV(table1[[#This Row],[DataField]],"52 week low",TRUE)</f>
        <v>168.42</v>
      </c>
      <c r="J84" s="2" cm="1">
        <f t="array" aca="1" ref="J84" ca="1">_FV(table1[[#This Row],[DataField]],"52 week high",TRUE)</f>
        <v>589.70000000000005</v>
      </c>
      <c r="K84" s="4" cm="1">
        <f t="array" aca="1" ref="K84" ca="1">_FV(table1[[#This Row],[DataField]],"P/E",TRUE)</f>
        <v>17.141999999999999</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297450200000</v>
      </c>
    </row>
    <row r="85" spans="1:14" x14ac:dyDescent="0.2">
      <c r="A85" t="e" vm="85">
        <v>#VALUE!</v>
      </c>
      <c r="B85" t="str" cm="1">
        <f t="array" aca="1" ref="B85" ca="1">_FV(table1[[#This Row],[DataField]],"Ticker symbol",TRUE)</f>
        <v>UNP</v>
      </c>
      <c r="H85" s="2" cm="1">
        <f t="array" aca="1" ref="H85" ca="1">_FV(table1[[#This Row],[DataField]],"Price")</f>
        <v>235.41</v>
      </c>
      <c r="I85" s="2" cm="1">
        <f t="array" aca="1" ref="I85" ca="1">_FV(table1[[#This Row],[DataField]],"52 week low",TRUE)</f>
        <v>204.66</v>
      </c>
      <c r="J85" s="2" cm="1">
        <f t="array" aca="1" ref="J85" ca="1">_FV(table1[[#This Row],[DataField]],"52 week high",TRUE)</f>
        <v>256.83999999999997</v>
      </c>
      <c r="K85" s="4" cm="1">
        <f t="array" aca="1" ref="K85" ca="1">_FV(table1[[#This Row],[DataField]],"P/E",TRUE)</f>
        <v>19.987200000000001</v>
      </c>
      <c r="L85" s="2" t="str">
        <f ca="1">IF(table1[[#This Row],[Price]] &lt; (table1[[#This Row],[52Low]] * 0.25) + table1[[#This Row],[52Low]],  "TRUE", "FALSE")</f>
        <v>TRUE</v>
      </c>
      <c r="M85" s="2" t="str">
        <f ca="1">IF(table1[[#This Row],[Price]] &lt; (table1[[#This Row],[52Low]] * 0.1) + table1[[#This Row],[52Low]],  "TRUE", "FALSE")</f>
        <v>FALSE</v>
      </c>
      <c r="N85" s="6" cm="1">
        <f t="array" aca="1" ref="N85" ca="1">_FV(table1[[#This Row],[DataField]],"Market cap",TRUE)</f>
        <v>139636007469</v>
      </c>
    </row>
    <row r="86" spans="1:14" x14ac:dyDescent="0.2">
      <c r="A86" t="e" vm="86">
        <v>#VALUE!</v>
      </c>
      <c r="B86" t="str" cm="1">
        <f t="array" aca="1" ref="B86" ca="1">_FV(table1[[#This Row],[DataField]],"Ticker symbol",TRUE)</f>
        <v>UPS</v>
      </c>
      <c r="C86" t="b">
        <v>1</v>
      </c>
      <c r="D86" t="s">
        <v>12</v>
      </c>
      <c r="E86" t="b">
        <v>1</v>
      </c>
      <c r="H86" s="2" cm="1">
        <f t="array" aca="1" ref="H86" ca="1">_FV(table1[[#This Row],[DataField]],"Price")</f>
        <v>99.65</v>
      </c>
      <c r="I86" s="2" cm="1">
        <f t="array" aca="1" ref="I86" ca="1">_FV(table1[[#This Row],[DataField]],"52 week low",TRUE)</f>
        <v>82</v>
      </c>
      <c r="J86" s="2" cm="1">
        <f t="array" aca="1" ref="J86" ca="1">_FV(table1[[#This Row],[DataField]],"52 week high",TRUE)</f>
        <v>136.99</v>
      </c>
      <c r="K86" s="4" cm="1">
        <f t="array" aca="1" ref="K86" ca="1">_FV(table1[[#This Row],[DataField]],"P/E",TRUE)</f>
        <v>15.3973</v>
      </c>
      <c r="L86" s="2" t="str">
        <f ca="1">IF(table1[[#This Row],[Price]] &lt; (table1[[#This Row],[52Low]] * 0.25) + table1[[#This Row],[52Low]],  "TRUE", "FALSE")</f>
        <v>TRUE</v>
      </c>
      <c r="M86" s="2" t="str">
        <f ca="1">IF(table1[[#This Row],[Price]] &lt; (table1[[#This Row],[52Low]] * 0.1) + table1[[#This Row],[52Low]],  "TRUE", "FALSE")</f>
        <v>FALSE</v>
      </c>
      <c r="N86" s="6" cm="1">
        <f t="array" aca="1" ref="N86" ca="1">_FV(table1[[#This Row],[DataField]],"Market cap",TRUE)</f>
        <v>84541625040</v>
      </c>
    </row>
    <row r="87" spans="1:14" x14ac:dyDescent="0.2">
      <c r="A87" t="e" vm="87">
        <v>#VALUE!</v>
      </c>
      <c r="B87" t="str" cm="1">
        <f t="array" aca="1" ref="B87" ca="1">_FV(table1[[#This Row],[DataField]],"Ticker symbol",TRUE)</f>
        <v>V</v>
      </c>
      <c r="H87" s="2" cm="1">
        <f t="array" aca="1" ref="H87" ca="1">_FV(table1[[#This Row],[DataField]],"Price")</f>
        <v>325.73</v>
      </c>
      <c r="I87" s="2" cm="1">
        <f t="array" aca="1" ref="I87" ca="1">_FV(table1[[#This Row],[DataField]],"52 week low",TRUE)</f>
        <v>299</v>
      </c>
      <c r="J87" s="2" cm="1">
        <f t="array" aca="1" ref="J87" ca="1">_FV(table1[[#This Row],[DataField]],"52 week high",TRUE)</f>
        <v>375.51</v>
      </c>
      <c r="K87" s="4" cm="1">
        <f t="array" aca="1" ref="K87" ca="1">_FV(table1[[#This Row],[DataField]],"P/E",TRUE)</f>
        <v>31.912500000000001</v>
      </c>
      <c r="L87" s="2" t="str">
        <f ca="1">IF(table1[[#This Row],[Price]] &lt; (table1[[#This Row],[52Low]] * 0.25) + table1[[#This Row],[52Low]],  "TRUE", "FALSE")</f>
        <v>TRUE</v>
      </c>
      <c r="M87" s="2" t="str">
        <f ca="1">IF(table1[[#This Row],[Price]] &lt; (table1[[#This Row],[52Low]] * 0.1) + table1[[#This Row],[52Low]],  "TRUE", "FALSE")</f>
        <v>TRUE</v>
      </c>
      <c r="N87" s="6" cm="1">
        <f t="array" aca="1" ref="N87" ca="1">_FV(table1[[#This Row],[DataField]],"Market cap",TRUE)</f>
        <v>622873283740</v>
      </c>
    </row>
    <row r="88" spans="1:14" x14ac:dyDescent="0.2">
      <c r="A88" t="e" vm="88">
        <v>#VALUE!</v>
      </c>
      <c r="B88" t="str" cm="1">
        <f t="array" aca="1" ref="B88" ca="1">_FV(table1[[#This Row],[DataField]],"Ticker symbol",TRUE)</f>
        <v>VZ</v>
      </c>
      <c r="C88" t="b">
        <v>1</v>
      </c>
      <c r="D88" t="s">
        <v>10</v>
      </c>
      <c r="E88" t="b">
        <v>1</v>
      </c>
      <c r="H88" s="2" cm="1">
        <f t="array" aca="1" ref="H88" ca="1">_FV(table1[[#This Row],[DataField]],"Price")</f>
        <v>39.92</v>
      </c>
      <c r="I88" s="2" cm="1">
        <f t="array" aca="1" ref="I88" ca="1">_FV(table1[[#This Row],[DataField]],"52 week low",TRUE)</f>
        <v>37.585000000000001</v>
      </c>
      <c r="J88" s="2" cm="1">
        <f t="array" aca="1" ref="J88" ca="1">_FV(table1[[#This Row],[DataField]],"52 week high",TRUE)</f>
        <v>47.354999999999997</v>
      </c>
      <c r="K88" s="4" cm="1">
        <f t="array" aca="1" ref="K88" ca="1">_FV(table1[[#This Row],[DataField]],"P/E",TRUE)</f>
        <v>8.5105000000000004</v>
      </c>
      <c r="L88" s="2" t="str">
        <f ca="1">IF(table1[[#This Row],[Price]] &lt; (table1[[#This Row],[52Low]] * 0.25) + table1[[#This Row],[52Low]],  "TRUE", "FALSE")</f>
        <v>TRUE</v>
      </c>
      <c r="M88" s="2" t="str">
        <f ca="1">IF(table1[[#This Row],[Price]] &lt; (table1[[#This Row],[52Low]] * 0.1) + table1[[#This Row],[52Low]],  "TRUE", "FALSE")</f>
        <v>TRUE</v>
      </c>
      <c r="N88" s="6" cm="1">
        <f t="array" aca="1" ref="N88" ca="1">_FV(table1[[#This Row],[DataField]],"Market cap",TRUE)</f>
        <v>168319686000</v>
      </c>
    </row>
    <row r="89" spans="1:14" ht="18" customHeight="1" x14ac:dyDescent="0.2">
      <c r="A89" t="e" vm="89">
        <v>#VALUE!</v>
      </c>
      <c r="B89" t="str" cm="1">
        <f t="array" aca="1" ref="B89" ca="1">_FV(table1[[#This Row],[DataField]],"Ticker symbol",TRUE)</f>
        <v>WMT</v>
      </c>
      <c r="H89" s="2" cm="1">
        <f t="array" aca="1" ref="H89" ca="1">_FV(table1[[#This Row],[DataField]],"Price")</f>
        <v>113.18</v>
      </c>
      <c r="I89" s="2" cm="1">
        <f t="array" aca="1" ref="I89" ca="1">_FV(table1[[#This Row],[DataField]],"52 week low",TRUE)</f>
        <v>79.81</v>
      </c>
      <c r="J89" s="2" cm="1">
        <f t="array" aca="1" ref="J89" ca="1">_FV(table1[[#This Row],[DataField]],"52 week high",TRUE)</f>
        <v>116.27</v>
      </c>
      <c r="K89" s="4" cm="1">
        <f t="array" aca="1" ref="K89" ca="1">_FV(table1[[#This Row],[DataField]],"P/E",TRUE)</f>
        <v>39.697699999999998</v>
      </c>
      <c r="L89" s="2" t="str">
        <f ca="1">IF(table1[[#This Row],[Price]] &lt; (table1[[#This Row],[52Low]] * 0.25) + table1[[#This Row],[52Low]],  "TRUE", "FALSE")</f>
        <v>FALSE</v>
      </c>
      <c r="M89" s="2" t="str">
        <f ca="1">IF(table1[[#This Row],[Price]] &lt; (table1[[#This Row],[52Low]] * 0.1) + table1[[#This Row],[52Low]],  "TRUE", "FALSE")</f>
        <v>FALSE</v>
      </c>
      <c r="N89" s="6" cm="1">
        <f t="array" aca="1" ref="N89" ca="1">_FV(table1[[#This Row],[DataField]],"Market cap",TRUE)</f>
        <v>902063501060</v>
      </c>
    </row>
    <row r="90" spans="1:14" x14ac:dyDescent="0.2">
      <c r="A90" t="e" vm="90">
        <v>#VALUE!</v>
      </c>
      <c r="B90" t="str" cm="1">
        <f t="array" aca="1" ref="B90" ca="1">_FV(table1[[#This Row],[DataField]],"Ticker symbol",TRUE)</f>
        <v>XOM</v>
      </c>
      <c r="H90" s="2" cm="1">
        <f t="array" aca="1" ref="H90" ca="1">_FV(table1[[#This Row],[DataField]],"Price")</f>
        <v>119.52500000000001</v>
      </c>
      <c r="I90" s="2" cm="1">
        <f t="array" aca="1" ref="I90" ca="1">_FV(table1[[#This Row],[DataField]],"52 week low",TRUE)</f>
        <v>97.8</v>
      </c>
      <c r="J90" s="2" cm="1">
        <f t="array" aca="1" ref="J90" ca="1">_FV(table1[[#This Row],[DataField]],"52 week high",TRUE)</f>
        <v>120.8099</v>
      </c>
      <c r="K90" s="4" cm="1">
        <f t="array" aca="1" ref="K90" ca="1">_FV(table1[[#This Row],[DataField]],"P/E",TRUE)</f>
        <v>17.3766</v>
      </c>
      <c r="L90" s="2" t="str">
        <f ca="1">IF(table1[[#This Row],[Price]] &lt; (table1[[#This Row],[52Low]] * 0.25) + table1[[#This Row],[52Low]],  "TRUE", "FALSE")</f>
        <v>TRUE</v>
      </c>
      <c r="M90" s="2" t="str">
        <f ca="1">IF(table1[[#This Row],[Price]] &lt; (table1[[#This Row],[52Low]] * 0.1) + table1[[#This Row],[52Low]],  "TRUE", "FALSE")</f>
        <v>FALSE</v>
      </c>
      <c r="N90" s="6" cm="1">
        <f t="array" aca="1" ref="N90" ca="1">_FV(table1[[#This Row],[DataField]],"Market cap",TRUE)</f>
        <v>504056766150</v>
      </c>
    </row>
    <row r="91" spans="1:14" x14ac:dyDescent="0.2">
      <c r="A91" t="e" vm="91">
        <v>#VALUE!</v>
      </c>
      <c r="B91" t="str" cm="1">
        <f t="array" aca="1" ref="B91" ca="1">_FV(table1[[#This Row],[DataField]],"Ticker symbol",TRUE)</f>
        <v>ZTS</v>
      </c>
      <c r="H91" s="2" cm="1">
        <f t="array" aca="1" ref="H91" ca="1">_FV(table1[[#This Row],[DataField]],"Price")</f>
        <v>118.07</v>
      </c>
      <c r="I91" s="2" cm="1">
        <f t="array" aca="1" ref="I91" ca="1">_FV(table1[[#This Row],[DataField]],"52 week low",TRUE)</f>
        <v>115.25</v>
      </c>
      <c r="J91" s="2" cm="1">
        <f t="array" aca="1" ref="J91" ca="1">_FV(table1[[#This Row],[DataField]],"52 week high",TRUE)</f>
        <v>181.85</v>
      </c>
      <c r="K91" s="4" cm="1">
        <f t="array" aca="1" ref="K91" ca="1">_FV(table1[[#This Row],[DataField]],"P/E",TRUE)</f>
        <v>19.893999999999998</v>
      </c>
      <c r="L91" s="2" t="str">
        <f ca="1">IF(table1[[#This Row],[Price]] &lt; (table1[[#This Row],[52Low]] * 0.25) + table1[[#This Row],[52Low]],  "TRUE", "FALSE")</f>
        <v>TRUE</v>
      </c>
      <c r="M91" s="2" t="str">
        <f ca="1">IF(table1[[#This Row],[Price]] &lt; (table1[[#This Row],[52Low]] * 0.1) + table1[[#This Row],[52Low]],  "TRUE", "FALSE")</f>
        <v>TRUE</v>
      </c>
      <c r="N91" s="6" cm="1">
        <f t="array" aca="1" ref="N91" ca="1">_FV(table1[[#This Row],[DataField]],"Market cap",TRUE)</f>
        <v>52032646124</v>
      </c>
    </row>
    <row r="92" spans="1:14" x14ac:dyDescent="0.2">
      <c r="A92" t="e" vm="92">
        <v>#VALUE!</v>
      </c>
      <c r="B92" t="str" cm="1">
        <f t="array" aca="1" ref="B92" ca="1">_FV(table1[[#This Row],[DataField]],"Ticker symbol",TRUE)</f>
        <v>DLR</v>
      </c>
      <c r="H92" s="2" cm="1">
        <f t="array" aca="1" ref="H92" ca="1">_FV(table1[[#This Row],[DataField]],"Price")</f>
        <v>159.49</v>
      </c>
      <c r="I92" s="2" cm="1">
        <f t="array" aca="1" ref="I92" ca="1">_FV(table1[[#This Row],[DataField]],"52 week low",TRUE)</f>
        <v>129.94999999999999</v>
      </c>
      <c r="J92" s="2" cm="1">
        <f t="array" aca="1" ref="J92" ca="1">_FV(table1[[#This Row],[DataField]],"52 week high",TRUE)</f>
        <v>189.21</v>
      </c>
      <c r="K92" s="4" cm="1">
        <f t="array" aca="1" ref="K92" ca="1">_FV(table1[[#This Row],[DataField]],"P/E",TRUE)</f>
        <v>41.323799999999999</v>
      </c>
      <c r="L92" s="2" t="str">
        <f ca="1">IF(table1[[#This Row],[Price]] &lt; (table1[[#This Row],[52Low]] * 0.25) + table1[[#This Row],[52Low]],  "TRUE", "FALSE")</f>
        <v>TRUE</v>
      </c>
      <c r="M92" s="2" t="str">
        <f ca="1">IF(table1[[#This Row],[Price]] &lt; (table1[[#This Row],[52Low]] * 0.1) + table1[[#This Row],[52Low]],  "TRUE", "FALSE")</f>
        <v>FALSE</v>
      </c>
      <c r="N92" s="6" cm="1">
        <f t="array" aca="1" ref="N92" ca="1">_FV(table1[[#This Row],[DataField]],"Market cap",TRUE)</f>
        <v>54785070184</v>
      </c>
    </row>
    <row r="93" spans="1:14" x14ac:dyDescent="0.2">
      <c r="A93" t="e" vm="93">
        <v>#VALUE!</v>
      </c>
      <c r="B93" t="str" cm="1">
        <f t="array" aca="1" ref="B93" ca="1">_FV(table1[[#This Row],[DataField]],"Ticker symbol",TRUE)</f>
        <v>EQIX</v>
      </c>
      <c r="H93" s="2" cm="1">
        <f t="array" aca="1" ref="H93" ca="1">_FV(table1[[#This Row],[DataField]],"Price")</f>
        <v>734.4</v>
      </c>
      <c r="I93" s="2" cm="1">
        <f t="array" aca="1" ref="I93" ca="1">_FV(table1[[#This Row],[DataField]],"52 week low",TRUE)</f>
        <v>701.41</v>
      </c>
      <c r="J93" s="2" cm="1">
        <f t="array" aca="1" ref="J93" ca="1">_FV(table1[[#This Row],[DataField]],"52 week high",TRUE)</f>
        <v>986.5</v>
      </c>
      <c r="K93" s="4" cm="1">
        <f t="array" aca="1" ref="K93" ca="1">_FV(table1[[#This Row],[DataField]],"P/E",TRUE)</f>
        <v>67.239000000000004</v>
      </c>
      <c r="L93" s="2" t="str">
        <f ca="1">IF(table1[[#This Row],[Price]] &lt; (table1[[#This Row],[52Low]] * 0.25) + table1[[#This Row],[52Low]],  "TRUE", "FALSE")</f>
        <v>TRUE</v>
      </c>
      <c r="M93" s="2" t="str">
        <f ca="1">IF(table1[[#This Row],[Price]] &lt; (table1[[#This Row],[52Low]] * 0.1) + table1[[#This Row],[52Low]],  "TRUE", "FALSE")</f>
        <v>TRUE</v>
      </c>
      <c r="N93" s="6" cm="1">
        <f t="array" aca="1" ref="N93" ca="1">_FV(table1[[#This Row],[DataField]],"Market cap",TRUE)</f>
        <v>72107857152</v>
      </c>
    </row>
    <row r="94" spans="1:14" x14ac:dyDescent="0.2">
      <c r="A94" t="e" vm="94">
        <v>#VALUE!</v>
      </c>
      <c r="B94" t="str" cm="1">
        <f t="array" aca="1" ref="B94" ca="1">_FV(table1[[#This Row],[DataField]],"Ticker symbol",TRUE)</f>
        <v>IRM</v>
      </c>
      <c r="H94" s="2" cm="1">
        <f t="array" aca="1" ref="H94" ca="1">_FV(table1[[#This Row],[DataField]],"Price")</f>
        <v>85.5</v>
      </c>
      <c r="I94" s="2" cm="1">
        <f t="array" aca="1" ref="I94" ca="1">_FV(table1[[#This Row],[DataField]],"52 week low",TRUE)</f>
        <v>72.33</v>
      </c>
      <c r="J94" s="2" cm="1">
        <f t="array" aca="1" ref="J94" ca="1">_FV(table1[[#This Row],[DataField]],"52 week high",TRUE)</f>
        <v>114.8</v>
      </c>
      <c r="K94" s="4" cm="1">
        <f t="array" aca="1" ref="K94" ca="1">_FV(table1[[#This Row],[DataField]],"P/E",TRUE)</f>
        <v>160.07040000000001</v>
      </c>
      <c r="L94" s="2" t="str">
        <f ca="1">IF(table1[[#This Row],[Price]] &lt; (table1[[#This Row],[52Low]] * 0.25) + table1[[#This Row],[52Low]],  "TRUE", "FALSE")</f>
        <v>TRUE</v>
      </c>
      <c r="M94" s="2" t="str">
        <f ca="1">IF(table1[[#This Row],[Price]] &lt; (table1[[#This Row],[52Low]] * 0.1) + table1[[#This Row],[52Low]],  "TRUE", "FALSE")</f>
        <v>FALSE</v>
      </c>
      <c r="N94" s="6" cm="1">
        <f t="array" aca="1" ref="N94" ca="1">_FV(table1[[#This Row],[DataField]],"Market cap",TRUE)</f>
        <v>25272902250</v>
      </c>
    </row>
  </sheetData>
  <phoneticPr fontId="2" type="noConversion"/>
  <conditionalFormatting sqref="B1:B1048576">
    <cfRule type="duplicateValues" dxfId="1" priority="1"/>
  </conditionalFormatting>
  <conditionalFormatting sqref="L1:M94 N95:N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2025-12-11T13:28:32Z</dcterms:modified>
</cp:coreProperties>
</file>